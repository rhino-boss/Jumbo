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0_Project (專案紀錄)\工作紀錄\260707_瓦隆要的數據\"/>
    </mc:Choice>
  </mc:AlternateContent>
  <xr:revisionPtr revIDLastSave="0" documentId="13_ncr:1_{C2AADAB5-AF6B-4BC9-B2D8-54F6CB5808D6}" xr6:coauthVersionLast="47" xr6:coauthVersionMax="47" xr10:uidLastSave="{00000000-0000-0000-0000-000000000000}"/>
  <bookViews>
    <workbookView xWindow="-108" yWindow="-108" windowWidth="23256" windowHeight="12456" xr2:uid="{A761DCBD-D63A-4EB6-953A-34187A20298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3" i="1" l="1" a="1"/>
  <c r="AK3" i="1" s="1"/>
  <c r="AJ3" i="1" a="1"/>
  <c r="AJ3" i="1" s="1"/>
  <c r="AJ64" i="1" s="1"/>
  <c r="AG3" i="1" a="1"/>
  <c r="AG3" i="1" s="1"/>
  <c r="AD60" i="1"/>
  <c r="AC60" i="1"/>
  <c r="AB60" i="1"/>
  <c r="AA60" i="1"/>
  <c r="Z60" i="1"/>
  <c r="Y60" i="1"/>
  <c r="X60" i="1"/>
  <c r="W60" i="1"/>
  <c r="V60" i="1"/>
  <c r="U60" i="1"/>
  <c r="S60" i="1"/>
  <c r="R60" i="1"/>
  <c r="Q60" i="1"/>
  <c r="AD59" i="1"/>
  <c r="AC59" i="1"/>
  <c r="AB59" i="1"/>
  <c r="AA59" i="1"/>
  <c r="Z59" i="1"/>
  <c r="Y59" i="1"/>
  <c r="X59" i="1"/>
  <c r="W59" i="1"/>
  <c r="V59" i="1"/>
  <c r="U59" i="1"/>
  <c r="S59" i="1"/>
  <c r="R59" i="1"/>
  <c r="Q59" i="1"/>
  <c r="AD58" i="1"/>
  <c r="AC58" i="1"/>
  <c r="AB58" i="1"/>
  <c r="AA58" i="1"/>
  <c r="Z58" i="1"/>
  <c r="Y58" i="1"/>
  <c r="X58" i="1"/>
  <c r="W58" i="1"/>
  <c r="V58" i="1"/>
  <c r="U58" i="1"/>
  <c r="S58" i="1"/>
  <c r="R58" i="1"/>
  <c r="Q58" i="1"/>
  <c r="AD57" i="1"/>
  <c r="AC57" i="1"/>
  <c r="AB57" i="1"/>
  <c r="AA57" i="1"/>
  <c r="Z57" i="1"/>
  <c r="Y57" i="1"/>
  <c r="X57" i="1"/>
  <c r="W57" i="1"/>
  <c r="V57" i="1"/>
  <c r="U57" i="1"/>
  <c r="S57" i="1"/>
  <c r="R57" i="1"/>
  <c r="Q57" i="1"/>
  <c r="AD56" i="1"/>
  <c r="AC56" i="1"/>
  <c r="AB56" i="1"/>
  <c r="AA56" i="1"/>
  <c r="Z56" i="1"/>
  <c r="Y56" i="1"/>
  <c r="X56" i="1"/>
  <c r="W56" i="1"/>
  <c r="V56" i="1"/>
  <c r="U56" i="1"/>
  <c r="S56" i="1"/>
  <c r="R56" i="1"/>
  <c r="Q56" i="1"/>
  <c r="AD55" i="1"/>
  <c r="AC55" i="1"/>
  <c r="AB55" i="1"/>
  <c r="AA55" i="1"/>
  <c r="Z55" i="1"/>
  <c r="Y55" i="1"/>
  <c r="X55" i="1"/>
  <c r="W55" i="1"/>
  <c r="V55" i="1"/>
  <c r="U55" i="1"/>
  <c r="S55" i="1"/>
  <c r="R55" i="1"/>
  <c r="Q55" i="1"/>
  <c r="AD54" i="1"/>
  <c r="AC54" i="1"/>
  <c r="AB54" i="1"/>
  <c r="AA54" i="1"/>
  <c r="Z54" i="1"/>
  <c r="Y54" i="1"/>
  <c r="X54" i="1"/>
  <c r="W54" i="1"/>
  <c r="V54" i="1"/>
  <c r="U54" i="1"/>
  <c r="S54" i="1"/>
  <c r="R54" i="1"/>
  <c r="Q54" i="1"/>
  <c r="AD53" i="1"/>
  <c r="AC53" i="1"/>
  <c r="AB53" i="1"/>
  <c r="AA53" i="1"/>
  <c r="Z53" i="1"/>
  <c r="Y53" i="1"/>
  <c r="X53" i="1"/>
  <c r="W53" i="1"/>
  <c r="V53" i="1"/>
  <c r="U53" i="1"/>
  <c r="S53" i="1"/>
  <c r="R53" i="1"/>
  <c r="Q53" i="1"/>
  <c r="AD52" i="1"/>
  <c r="AC52" i="1"/>
  <c r="AB52" i="1"/>
  <c r="AA52" i="1"/>
  <c r="Z52" i="1"/>
  <c r="Y52" i="1"/>
  <c r="X52" i="1"/>
  <c r="W52" i="1"/>
  <c r="V52" i="1"/>
  <c r="U52" i="1"/>
  <c r="S52" i="1"/>
  <c r="R52" i="1"/>
  <c r="Q52" i="1"/>
  <c r="AD51" i="1"/>
  <c r="AC51" i="1"/>
  <c r="AB51" i="1"/>
  <c r="AA51" i="1"/>
  <c r="Z51" i="1"/>
  <c r="Y51" i="1"/>
  <c r="X51" i="1"/>
  <c r="W51" i="1"/>
  <c r="V51" i="1"/>
  <c r="U51" i="1"/>
  <c r="S51" i="1"/>
  <c r="R51" i="1"/>
  <c r="Q51" i="1"/>
  <c r="AD50" i="1"/>
  <c r="AC50" i="1"/>
  <c r="AB50" i="1"/>
  <c r="AA50" i="1"/>
  <c r="Z50" i="1"/>
  <c r="Y50" i="1"/>
  <c r="X50" i="1"/>
  <c r="W50" i="1"/>
  <c r="V50" i="1"/>
  <c r="U50" i="1"/>
  <c r="S50" i="1"/>
  <c r="R50" i="1"/>
  <c r="Q50" i="1"/>
  <c r="AD49" i="1"/>
  <c r="AC49" i="1"/>
  <c r="AB49" i="1"/>
  <c r="AA49" i="1"/>
  <c r="Z49" i="1"/>
  <c r="Y49" i="1"/>
  <c r="X49" i="1"/>
  <c r="W49" i="1"/>
  <c r="V49" i="1"/>
  <c r="U49" i="1"/>
  <c r="S49" i="1"/>
  <c r="R49" i="1"/>
  <c r="Q49" i="1"/>
  <c r="AD48" i="1"/>
  <c r="AC48" i="1"/>
  <c r="AB48" i="1"/>
  <c r="AA48" i="1"/>
  <c r="Z48" i="1"/>
  <c r="Y48" i="1"/>
  <c r="X48" i="1"/>
  <c r="W48" i="1"/>
  <c r="V48" i="1"/>
  <c r="U48" i="1"/>
  <c r="S48" i="1"/>
  <c r="R48" i="1"/>
  <c r="Q48" i="1"/>
  <c r="AD47" i="1"/>
  <c r="AC47" i="1"/>
  <c r="AB47" i="1"/>
  <c r="AA47" i="1"/>
  <c r="Z47" i="1"/>
  <c r="Y47" i="1"/>
  <c r="X47" i="1"/>
  <c r="W47" i="1"/>
  <c r="V47" i="1"/>
  <c r="U47" i="1"/>
  <c r="S47" i="1"/>
  <c r="R47" i="1"/>
  <c r="Q47" i="1"/>
  <c r="AD46" i="1"/>
  <c r="AC46" i="1"/>
  <c r="AB46" i="1"/>
  <c r="AA46" i="1"/>
  <c r="Z46" i="1"/>
  <c r="Y46" i="1"/>
  <c r="X46" i="1"/>
  <c r="W46" i="1"/>
  <c r="V46" i="1"/>
  <c r="U46" i="1"/>
  <c r="S46" i="1"/>
  <c r="R46" i="1"/>
  <c r="Q46" i="1"/>
  <c r="AD45" i="1"/>
  <c r="AC45" i="1"/>
  <c r="AB45" i="1"/>
  <c r="AA45" i="1"/>
  <c r="Z45" i="1"/>
  <c r="Y45" i="1"/>
  <c r="X45" i="1"/>
  <c r="W45" i="1"/>
  <c r="V45" i="1"/>
  <c r="U45" i="1"/>
  <c r="S45" i="1"/>
  <c r="R45" i="1"/>
  <c r="Q45" i="1"/>
  <c r="AD44" i="1"/>
  <c r="AC44" i="1"/>
  <c r="AB44" i="1"/>
  <c r="AA44" i="1"/>
  <c r="Z44" i="1"/>
  <c r="Y44" i="1"/>
  <c r="X44" i="1"/>
  <c r="W44" i="1"/>
  <c r="V44" i="1"/>
  <c r="U44" i="1"/>
  <c r="S44" i="1"/>
  <c r="R44" i="1"/>
  <c r="Q44" i="1"/>
  <c r="AD43" i="1"/>
  <c r="AC43" i="1"/>
  <c r="AB43" i="1"/>
  <c r="AA43" i="1"/>
  <c r="Z43" i="1"/>
  <c r="Y43" i="1"/>
  <c r="X43" i="1"/>
  <c r="W43" i="1"/>
  <c r="V43" i="1"/>
  <c r="U43" i="1"/>
  <c r="S43" i="1"/>
  <c r="R43" i="1"/>
  <c r="Q43" i="1"/>
  <c r="AD42" i="1"/>
  <c r="AC42" i="1"/>
  <c r="AB42" i="1"/>
  <c r="AA42" i="1"/>
  <c r="Z42" i="1"/>
  <c r="Y42" i="1"/>
  <c r="X42" i="1"/>
  <c r="W42" i="1"/>
  <c r="V42" i="1"/>
  <c r="U42" i="1"/>
  <c r="S42" i="1"/>
  <c r="R42" i="1"/>
  <c r="Q42" i="1"/>
  <c r="AD41" i="1"/>
  <c r="AC41" i="1"/>
  <c r="AB41" i="1"/>
  <c r="AA41" i="1"/>
  <c r="Z41" i="1"/>
  <c r="Y41" i="1"/>
  <c r="X41" i="1"/>
  <c r="W41" i="1"/>
  <c r="V41" i="1"/>
  <c r="U41" i="1"/>
  <c r="S41" i="1"/>
  <c r="R41" i="1"/>
  <c r="Q41" i="1"/>
  <c r="AD40" i="1"/>
  <c r="AC40" i="1"/>
  <c r="AB40" i="1"/>
  <c r="AA40" i="1"/>
  <c r="Z40" i="1"/>
  <c r="Y40" i="1"/>
  <c r="X40" i="1"/>
  <c r="W40" i="1"/>
  <c r="V40" i="1"/>
  <c r="U40" i="1"/>
  <c r="S40" i="1"/>
  <c r="R40" i="1"/>
  <c r="Q40" i="1"/>
  <c r="AD39" i="1"/>
  <c r="AC39" i="1"/>
  <c r="AB39" i="1"/>
  <c r="AA39" i="1"/>
  <c r="Z39" i="1"/>
  <c r="Y39" i="1"/>
  <c r="X39" i="1"/>
  <c r="W39" i="1"/>
  <c r="V39" i="1"/>
  <c r="U39" i="1"/>
  <c r="S39" i="1"/>
  <c r="R39" i="1"/>
  <c r="Q39" i="1"/>
  <c r="AD38" i="1"/>
  <c r="AC38" i="1"/>
  <c r="AB38" i="1"/>
  <c r="AA38" i="1"/>
  <c r="Z38" i="1"/>
  <c r="Y38" i="1"/>
  <c r="X38" i="1"/>
  <c r="W38" i="1"/>
  <c r="V38" i="1"/>
  <c r="U38" i="1"/>
  <c r="S38" i="1"/>
  <c r="R38" i="1"/>
  <c r="Q38" i="1"/>
  <c r="AD37" i="1"/>
  <c r="AC37" i="1"/>
  <c r="AB37" i="1"/>
  <c r="AA37" i="1"/>
  <c r="Z37" i="1"/>
  <c r="Y37" i="1"/>
  <c r="X37" i="1"/>
  <c r="W37" i="1"/>
  <c r="V37" i="1"/>
  <c r="U37" i="1"/>
  <c r="S37" i="1"/>
  <c r="R37" i="1"/>
  <c r="Q37" i="1"/>
  <c r="AD36" i="1"/>
  <c r="AC36" i="1"/>
  <c r="AB36" i="1"/>
  <c r="AA36" i="1"/>
  <c r="Z36" i="1"/>
  <c r="Y36" i="1"/>
  <c r="X36" i="1"/>
  <c r="W36" i="1"/>
  <c r="V36" i="1"/>
  <c r="U36" i="1"/>
  <c r="S36" i="1"/>
  <c r="R36" i="1"/>
  <c r="Q36" i="1"/>
  <c r="AD35" i="1"/>
  <c r="AC35" i="1"/>
  <c r="AB35" i="1"/>
  <c r="AA35" i="1"/>
  <c r="Z35" i="1"/>
  <c r="Y35" i="1"/>
  <c r="X35" i="1"/>
  <c r="W35" i="1"/>
  <c r="V35" i="1"/>
  <c r="U35" i="1"/>
  <c r="S35" i="1"/>
  <c r="R35" i="1"/>
  <c r="Q35" i="1"/>
  <c r="AD34" i="1"/>
  <c r="AC34" i="1"/>
  <c r="AB34" i="1"/>
  <c r="AA34" i="1"/>
  <c r="Z34" i="1"/>
  <c r="Y34" i="1"/>
  <c r="X34" i="1"/>
  <c r="W34" i="1"/>
  <c r="V34" i="1"/>
  <c r="U34" i="1"/>
  <c r="S34" i="1"/>
  <c r="R34" i="1"/>
  <c r="Q34" i="1"/>
  <c r="AD33" i="1"/>
  <c r="AC33" i="1"/>
  <c r="AB33" i="1"/>
  <c r="AA33" i="1"/>
  <c r="Z33" i="1"/>
  <c r="Y33" i="1"/>
  <c r="X33" i="1"/>
  <c r="W33" i="1"/>
  <c r="V33" i="1"/>
  <c r="U33" i="1"/>
  <c r="S33" i="1"/>
  <c r="R33" i="1"/>
  <c r="Q33" i="1"/>
  <c r="AD32" i="1"/>
  <c r="AC32" i="1"/>
  <c r="AB32" i="1"/>
  <c r="AA32" i="1"/>
  <c r="Z32" i="1"/>
  <c r="Y32" i="1"/>
  <c r="X32" i="1"/>
  <c r="W32" i="1"/>
  <c r="V32" i="1"/>
  <c r="U32" i="1"/>
  <c r="S32" i="1"/>
  <c r="R32" i="1"/>
  <c r="Q32" i="1"/>
  <c r="AD31" i="1"/>
  <c r="AC31" i="1"/>
  <c r="AB31" i="1"/>
  <c r="AA31" i="1"/>
  <c r="Z31" i="1"/>
  <c r="Y31" i="1"/>
  <c r="X31" i="1"/>
  <c r="W31" i="1"/>
  <c r="V31" i="1"/>
  <c r="U31" i="1"/>
  <c r="S31" i="1"/>
  <c r="R31" i="1"/>
  <c r="Q31" i="1"/>
  <c r="AD30" i="1"/>
  <c r="AC30" i="1"/>
  <c r="AB30" i="1"/>
  <c r="AA30" i="1"/>
  <c r="Z30" i="1"/>
  <c r="Y30" i="1"/>
  <c r="X30" i="1"/>
  <c r="W30" i="1"/>
  <c r="V30" i="1"/>
  <c r="U30" i="1"/>
  <c r="S30" i="1"/>
  <c r="R30" i="1"/>
  <c r="Q30" i="1"/>
  <c r="AD29" i="1"/>
  <c r="AC29" i="1"/>
  <c r="AB29" i="1"/>
  <c r="AA29" i="1"/>
  <c r="Z29" i="1"/>
  <c r="Y29" i="1"/>
  <c r="X29" i="1"/>
  <c r="W29" i="1"/>
  <c r="V29" i="1"/>
  <c r="U29" i="1"/>
  <c r="S29" i="1"/>
  <c r="R29" i="1"/>
  <c r="Q29" i="1"/>
  <c r="AD28" i="1"/>
  <c r="AC28" i="1"/>
  <c r="AB28" i="1"/>
  <c r="AA28" i="1"/>
  <c r="Z28" i="1"/>
  <c r="Y28" i="1"/>
  <c r="X28" i="1"/>
  <c r="W28" i="1"/>
  <c r="V28" i="1"/>
  <c r="U28" i="1"/>
  <c r="S28" i="1"/>
  <c r="R28" i="1"/>
  <c r="Q28" i="1"/>
  <c r="AD27" i="1"/>
  <c r="AC27" i="1"/>
  <c r="AB27" i="1"/>
  <c r="AA27" i="1"/>
  <c r="Z27" i="1"/>
  <c r="Y27" i="1"/>
  <c r="X27" i="1"/>
  <c r="W27" i="1"/>
  <c r="V27" i="1"/>
  <c r="U27" i="1"/>
  <c r="S27" i="1"/>
  <c r="R27" i="1"/>
  <c r="Q27" i="1"/>
  <c r="AD26" i="1"/>
  <c r="AC26" i="1"/>
  <c r="AB26" i="1"/>
  <c r="AA26" i="1"/>
  <c r="Z26" i="1"/>
  <c r="Y26" i="1"/>
  <c r="X26" i="1"/>
  <c r="W26" i="1"/>
  <c r="V26" i="1"/>
  <c r="U26" i="1"/>
  <c r="S26" i="1"/>
  <c r="R26" i="1"/>
  <c r="Q26" i="1"/>
  <c r="AD25" i="1"/>
  <c r="AC25" i="1"/>
  <c r="AB25" i="1"/>
  <c r="AA25" i="1"/>
  <c r="Z25" i="1"/>
  <c r="Y25" i="1"/>
  <c r="X25" i="1"/>
  <c r="W25" i="1"/>
  <c r="V25" i="1"/>
  <c r="U25" i="1"/>
  <c r="S25" i="1"/>
  <c r="R25" i="1"/>
  <c r="Q25" i="1"/>
  <c r="AD24" i="1"/>
  <c r="AC24" i="1"/>
  <c r="AB24" i="1"/>
  <c r="AA24" i="1"/>
  <c r="Z24" i="1"/>
  <c r="Y24" i="1"/>
  <c r="X24" i="1"/>
  <c r="W24" i="1"/>
  <c r="V24" i="1"/>
  <c r="U24" i="1"/>
  <c r="S24" i="1"/>
  <c r="R24" i="1"/>
  <c r="Q24" i="1"/>
  <c r="AD23" i="1"/>
  <c r="AC23" i="1"/>
  <c r="AB23" i="1"/>
  <c r="AA23" i="1"/>
  <c r="Z23" i="1"/>
  <c r="Y23" i="1"/>
  <c r="X23" i="1"/>
  <c r="W23" i="1"/>
  <c r="V23" i="1"/>
  <c r="U23" i="1"/>
  <c r="S23" i="1"/>
  <c r="R23" i="1"/>
  <c r="Q23" i="1"/>
  <c r="AD22" i="1"/>
  <c r="AC22" i="1"/>
  <c r="AB22" i="1"/>
  <c r="AA22" i="1"/>
  <c r="Z22" i="1"/>
  <c r="Y22" i="1"/>
  <c r="X22" i="1"/>
  <c r="W22" i="1"/>
  <c r="V22" i="1"/>
  <c r="U22" i="1"/>
  <c r="S22" i="1"/>
  <c r="R22" i="1"/>
  <c r="Q22" i="1"/>
  <c r="AD21" i="1"/>
  <c r="AC21" i="1"/>
  <c r="AB21" i="1"/>
  <c r="AA21" i="1"/>
  <c r="Z21" i="1"/>
  <c r="Y21" i="1"/>
  <c r="X21" i="1"/>
  <c r="W21" i="1"/>
  <c r="V21" i="1"/>
  <c r="U21" i="1"/>
  <c r="S21" i="1"/>
  <c r="R21" i="1"/>
  <c r="Q21" i="1"/>
  <c r="AD20" i="1"/>
  <c r="AC20" i="1"/>
  <c r="AB20" i="1"/>
  <c r="AA20" i="1"/>
  <c r="Z20" i="1"/>
  <c r="Y20" i="1"/>
  <c r="X20" i="1"/>
  <c r="W20" i="1"/>
  <c r="V20" i="1"/>
  <c r="U20" i="1"/>
  <c r="S20" i="1"/>
  <c r="R20" i="1"/>
  <c r="Q20" i="1"/>
  <c r="AD19" i="1"/>
  <c r="AC19" i="1"/>
  <c r="AB19" i="1"/>
  <c r="AA19" i="1"/>
  <c r="Z19" i="1"/>
  <c r="Y19" i="1"/>
  <c r="X19" i="1"/>
  <c r="W19" i="1"/>
  <c r="V19" i="1"/>
  <c r="U19" i="1"/>
  <c r="S19" i="1"/>
  <c r="R19" i="1"/>
  <c r="Q19" i="1"/>
  <c r="AD18" i="1"/>
  <c r="AC18" i="1"/>
  <c r="AB18" i="1"/>
  <c r="AA18" i="1"/>
  <c r="Z18" i="1"/>
  <c r="Y18" i="1"/>
  <c r="X18" i="1"/>
  <c r="W18" i="1"/>
  <c r="V18" i="1"/>
  <c r="U18" i="1"/>
  <c r="S18" i="1"/>
  <c r="R18" i="1"/>
  <c r="Q18" i="1"/>
  <c r="AD17" i="1"/>
  <c r="AC17" i="1"/>
  <c r="AB17" i="1"/>
  <c r="AA17" i="1"/>
  <c r="Z17" i="1"/>
  <c r="Y17" i="1"/>
  <c r="X17" i="1"/>
  <c r="W17" i="1"/>
  <c r="V17" i="1"/>
  <c r="U17" i="1"/>
  <c r="S17" i="1"/>
  <c r="R17" i="1"/>
  <c r="Q17" i="1"/>
  <c r="AD16" i="1"/>
  <c r="AC16" i="1"/>
  <c r="AB16" i="1"/>
  <c r="AA16" i="1"/>
  <c r="Z16" i="1"/>
  <c r="Y16" i="1"/>
  <c r="X16" i="1"/>
  <c r="W16" i="1"/>
  <c r="V16" i="1"/>
  <c r="U16" i="1"/>
  <c r="S16" i="1"/>
  <c r="R16" i="1"/>
  <c r="Q16" i="1"/>
  <c r="AD15" i="1"/>
  <c r="AC15" i="1"/>
  <c r="AB15" i="1"/>
  <c r="AA15" i="1"/>
  <c r="Z15" i="1"/>
  <c r="Y15" i="1"/>
  <c r="X15" i="1"/>
  <c r="W15" i="1"/>
  <c r="V15" i="1"/>
  <c r="U15" i="1"/>
  <c r="S15" i="1"/>
  <c r="R15" i="1"/>
  <c r="Q15" i="1"/>
  <c r="AD14" i="1"/>
  <c r="AC14" i="1"/>
  <c r="AB14" i="1"/>
  <c r="AA14" i="1"/>
  <c r="Z14" i="1"/>
  <c r="Y14" i="1"/>
  <c r="X14" i="1"/>
  <c r="W14" i="1"/>
  <c r="V14" i="1"/>
  <c r="U14" i="1"/>
  <c r="S14" i="1"/>
  <c r="R14" i="1"/>
  <c r="Q14" i="1"/>
  <c r="AD13" i="1"/>
  <c r="AC13" i="1"/>
  <c r="AB13" i="1"/>
  <c r="AA13" i="1"/>
  <c r="Z13" i="1"/>
  <c r="Y13" i="1"/>
  <c r="X13" i="1"/>
  <c r="W13" i="1"/>
  <c r="V13" i="1"/>
  <c r="U13" i="1"/>
  <c r="S13" i="1"/>
  <c r="R13" i="1"/>
  <c r="Q13" i="1"/>
  <c r="AD12" i="1"/>
  <c r="AC12" i="1"/>
  <c r="AB12" i="1"/>
  <c r="AA12" i="1"/>
  <c r="Z12" i="1"/>
  <c r="Y12" i="1"/>
  <c r="X12" i="1"/>
  <c r="W12" i="1"/>
  <c r="V12" i="1"/>
  <c r="U12" i="1"/>
  <c r="S12" i="1"/>
  <c r="R12" i="1"/>
  <c r="Q12" i="1"/>
  <c r="AD11" i="1"/>
  <c r="AC11" i="1"/>
  <c r="AB11" i="1"/>
  <c r="AA11" i="1"/>
  <c r="Z11" i="1"/>
  <c r="Y11" i="1"/>
  <c r="X11" i="1"/>
  <c r="W11" i="1"/>
  <c r="V11" i="1"/>
  <c r="U11" i="1"/>
  <c r="S11" i="1"/>
  <c r="R11" i="1"/>
  <c r="Q11" i="1"/>
  <c r="AD10" i="1"/>
  <c r="AC10" i="1"/>
  <c r="AB10" i="1"/>
  <c r="AA10" i="1"/>
  <c r="Z10" i="1"/>
  <c r="Y10" i="1"/>
  <c r="X10" i="1"/>
  <c r="W10" i="1"/>
  <c r="V10" i="1"/>
  <c r="U10" i="1"/>
  <c r="S10" i="1"/>
  <c r="R10" i="1"/>
  <c r="Q10" i="1"/>
  <c r="AD9" i="1"/>
  <c r="AC9" i="1"/>
  <c r="AB9" i="1"/>
  <c r="AA9" i="1"/>
  <c r="Z9" i="1"/>
  <c r="Y9" i="1"/>
  <c r="X9" i="1"/>
  <c r="W9" i="1"/>
  <c r="V9" i="1"/>
  <c r="U9" i="1"/>
  <c r="S9" i="1"/>
  <c r="R9" i="1"/>
  <c r="Q9" i="1"/>
  <c r="AD8" i="1"/>
  <c r="AC8" i="1"/>
  <c r="AB8" i="1"/>
  <c r="AA8" i="1"/>
  <c r="Z8" i="1"/>
  <c r="Y8" i="1"/>
  <c r="X8" i="1"/>
  <c r="W8" i="1"/>
  <c r="V8" i="1"/>
  <c r="U8" i="1"/>
  <c r="S8" i="1"/>
  <c r="R8" i="1"/>
  <c r="Q8" i="1"/>
  <c r="AD7" i="1"/>
  <c r="AC7" i="1"/>
  <c r="AB7" i="1"/>
  <c r="AA7" i="1"/>
  <c r="Z7" i="1"/>
  <c r="Y7" i="1"/>
  <c r="X7" i="1"/>
  <c r="W7" i="1"/>
  <c r="V7" i="1"/>
  <c r="U7" i="1"/>
  <c r="S7" i="1"/>
  <c r="R7" i="1"/>
  <c r="Q7" i="1"/>
  <c r="AD6" i="1"/>
  <c r="AC6" i="1"/>
  <c r="AB6" i="1"/>
  <c r="AA6" i="1"/>
  <c r="Z6" i="1"/>
  <c r="Y6" i="1"/>
  <c r="X6" i="1"/>
  <c r="W6" i="1"/>
  <c r="V6" i="1"/>
  <c r="U6" i="1"/>
  <c r="S6" i="1"/>
  <c r="R6" i="1"/>
  <c r="Q6" i="1"/>
  <c r="AD5" i="1"/>
  <c r="AC5" i="1"/>
  <c r="AB5" i="1"/>
  <c r="AA5" i="1"/>
  <c r="Z5" i="1"/>
  <c r="Y5" i="1"/>
  <c r="X5" i="1"/>
  <c r="W5" i="1"/>
  <c r="V5" i="1"/>
  <c r="U5" i="1"/>
  <c r="S5" i="1"/>
  <c r="R5" i="1"/>
  <c r="Q5" i="1"/>
  <c r="AD4" i="1"/>
  <c r="AC4" i="1"/>
  <c r="AB4" i="1"/>
  <c r="AA4" i="1"/>
  <c r="Z4" i="1"/>
  <c r="Y4" i="1"/>
  <c r="X4" i="1"/>
  <c r="W4" i="1"/>
  <c r="V4" i="1"/>
  <c r="U4" i="1"/>
  <c r="S4" i="1"/>
  <c r="R4" i="1"/>
  <c r="Q4" i="1"/>
  <c r="AD3" i="1"/>
  <c r="AC3" i="1"/>
  <c r="AB3" i="1"/>
  <c r="AA3" i="1"/>
  <c r="Z3" i="1"/>
  <c r="Y3" i="1"/>
  <c r="X3" i="1"/>
  <c r="W3" i="1"/>
  <c r="V3" i="1"/>
  <c r="U3" i="1"/>
  <c r="S3" i="1"/>
  <c r="R3" i="1"/>
  <c r="Q3" i="1"/>
  <c r="AG6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<sst xmlns="http://schemas.openxmlformats.org/spreadsheetml/2006/main" count="42" uniqueCount="36">
  <si>
    <t>Lower</t>
  </si>
  <si>
    <t>Upper</t>
  </si>
  <si>
    <t>H020192</t>
  </si>
  <si>
    <t>H014192 (NoExtra)</t>
  </si>
  <si>
    <t>H014192_Extra</t>
  </si>
  <si>
    <t>Normal Bet Weight</t>
  </si>
  <si>
    <t>Extra Bet 1 Weight</t>
  </si>
  <si>
    <t>Extra Bet 2 Weight</t>
  </si>
  <si>
    <t>Bet1 Weight</t>
  </si>
  <si>
    <t>Bet5 Weight</t>
  </si>
  <si>
    <t>Bet10 Weight</t>
  </si>
  <si>
    <t>Bet50 Weight</t>
  </si>
  <si>
    <t>Bet100 Weight</t>
  </si>
  <si>
    <t>寶飾</t>
    <phoneticPr fontId="2" type="noConversion"/>
  </si>
  <si>
    <t>NB-H&amp;S</t>
    <phoneticPr fontId="2" type="noConversion"/>
  </si>
  <si>
    <t>節慶</t>
    <phoneticPr fontId="2" type="noConversion"/>
  </si>
  <si>
    <t>寶石</t>
    <phoneticPr fontId="2" type="noConversion"/>
  </si>
  <si>
    <t>錢來襲</t>
    <phoneticPr fontId="2" type="noConversion"/>
  </si>
  <si>
    <t>NB</t>
    <phoneticPr fontId="2" type="noConversion"/>
  </si>
  <si>
    <t>NB-Bet1</t>
    <phoneticPr fontId="2" type="noConversion"/>
  </si>
  <si>
    <t>NB-Bet5</t>
    <phoneticPr fontId="2" type="noConversion"/>
  </si>
  <si>
    <t>NB-Bet10</t>
    <phoneticPr fontId="2" type="noConversion"/>
  </si>
  <si>
    <t>NB-Bet50</t>
    <phoneticPr fontId="2" type="noConversion"/>
  </si>
  <si>
    <t>NB-Bet100</t>
    <phoneticPr fontId="2" type="noConversion"/>
  </si>
  <si>
    <t>EB-Bet1</t>
    <phoneticPr fontId="2" type="noConversion"/>
  </si>
  <si>
    <t>EB-Bet5</t>
    <phoneticPr fontId="2" type="noConversion"/>
  </si>
  <si>
    <t>EB-Bet10</t>
    <phoneticPr fontId="2" type="noConversion"/>
  </si>
  <si>
    <t>EB-Bet50</t>
    <phoneticPr fontId="2" type="noConversion"/>
  </si>
  <si>
    <t>EB-Bet100</t>
    <phoneticPr fontId="2" type="noConversion"/>
  </si>
  <si>
    <t>EB1</t>
    <phoneticPr fontId="2" type="noConversion"/>
  </si>
  <si>
    <t>B2</t>
    <phoneticPr fontId="2" type="noConversion"/>
  </si>
  <si>
    <t>週期</t>
    <phoneticPr fontId="2" type="noConversion"/>
  </si>
  <si>
    <t>中位數</t>
    <phoneticPr fontId="2" type="noConversion"/>
  </si>
  <si>
    <t>20-25x</t>
    <phoneticPr fontId="2" type="noConversion"/>
  </si>
  <si>
    <t>25-30x</t>
    <phoneticPr fontId="2" type="noConversion"/>
  </si>
  <si>
    <t>平均倍數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</si>
</sst>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00"/>
  </numFmts>
  <fonts count="10">
    <font>
      <sz val="12"/>
      <color theme="1"/>
      <name val="Courier New"/>
      <family val="2"/>
      <charset val="136"/>
    </font>
    <font>
      <b/>
      <sz val="12"/>
      <color theme="1"/>
      <name val="Courier New"/>
      <family val="2"/>
      <charset val="136"/>
    </font>
    <font>
      <sz val="9"/>
      <name val="Courier New"/>
      <family val="2"/>
      <charset val="136"/>
    </font>
    <font>
      <b/>
      <sz val="12"/>
      <name val="Courier New"/>
      <family val="3"/>
    </font>
    <font>
      <sz val="12"/>
      <name val="Courier New"/>
      <family val="3"/>
    </font>
    <font>
      <sz val="12"/>
      <color rgb="FF000000"/>
      <name val="Courier New"/>
      <family val="3"/>
    </font>
    <font>
      <b/>
      <sz val="12"/>
      <color theme="1"/>
      <name val="Courier New"/>
      <family val="3"/>
    </font>
    <font>
      <sz val="12"/>
      <color theme="1"/>
      <name val="Courier New"/>
      <family val="2"/>
      <charset val="136"/>
    </font>
    <font>
      <sz val="12"/>
      <color theme="1"/>
      <name val="細明體"/>
      <family val="2"/>
      <charset val="136"/>
    </font>
    <font>
      <sz val="12"/>
      <color rgb="FF000000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3" fontId="1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176" fontId="0" fillId="0" borderId="0" xfId="1" applyNumberFormat="1" applyFont="1">
      <alignment vertical="center"/>
    </xf>
    <xf numFmtId="177" fontId="0" fillId="0" borderId="0" xfId="0" applyNumberFormat="1">
      <alignment vertical="center"/>
    </xf>
    <xf numFmtId="2" fontId="0" fillId="0" borderId="0" xfId="1" applyNumberFormat="1" applyFont="1">
      <alignment vertical="center"/>
    </xf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" fontId="8" fillId="0" borderId="0" xfId="0" applyNumberFormat="1" applyFont="1">
      <alignment vertical="center"/>
    </xf>
    <xf numFmtId="1" fontId="0" fillId="0" borderId="0" xfId="1" applyNumberFormat="1" applyFont="1">
      <alignment vertical="center"/>
    </xf>
    <xf numFmtId="2" fontId="0" fillId="0" borderId="0" xfId="0" quotePrefix="1" applyNumberFormat="1">
      <alignment vertical="center"/>
    </xf>
    <xf numFmtId="177" fontId="0" fillId="0" borderId="0" xfId="1" applyNumberFormat="1" applyFon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2" fontId="0" fillId="0" borderId="0" xfId="1" applyNumberFormat="1" applyFont="1" applyAlignment="1">
      <alignment horizontal="right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1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41F7FE6-8603-4172-85D2-6DEB9DB582A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5fa9d4c-c080-4e1d-a519-1ede163ecfb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D04B-4F2E-4DCE-B977-98477EFE8BA9}">
  <dimension ref="A1:AK66"/>
  <sheetViews>
    <sheetView tabSelected="1" workbookViewId="0">
      <selection activeCell="AL10" sqref="AL10"/>
    </sheetView>
  </sheetViews>
  <sheetFormatPr defaultRowHeight="15.6"/>
  <cols>
    <col min="1" max="2" width="7.6640625" bestFit="1" customWidth="1"/>
    <col min="3" max="15" width="13.5" hidden="1" customWidth="1"/>
    <col min="16" max="16" width="0" hidden="1" customWidth="1"/>
    <col min="17" max="30" width="6.5" customWidth="1"/>
    <col min="31" max="31" width="7.83203125" bestFit="1" customWidth="1"/>
    <col min="32" max="32" width="0" style="16" hidden="1" customWidth="1"/>
    <col min="34" max="34" width="0" hidden="1" customWidth="1"/>
    <col min="35" max="35" width="0" style="16" hidden="1" customWidth="1"/>
  </cols>
  <sheetData>
    <row r="1" spans="1:37" ht="16.2">
      <c r="C1" s="3" t="s">
        <v>2</v>
      </c>
      <c r="F1" s="3" t="s">
        <v>3</v>
      </c>
      <c r="K1" s="3" t="s">
        <v>4</v>
      </c>
      <c r="Q1" s="11" t="s">
        <v>16</v>
      </c>
      <c r="T1" s="8"/>
      <c r="U1" s="11" t="s">
        <v>17</v>
      </c>
      <c r="Z1" s="3"/>
      <c r="AG1" s="10" t="s">
        <v>13</v>
      </c>
      <c r="AJ1" s="10" t="s">
        <v>15</v>
      </c>
    </row>
    <row r="2" spans="1:37" ht="16.2">
      <c r="A2" s="1" t="s">
        <v>0</v>
      </c>
      <c r="B2" s="1" t="s">
        <v>1</v>
      </c>
      <c r="C2" s="5" t="s">
        <v>5</v>
      </c>
      <c r="D2" s="5" t="s">
        <v>6</v>
      </c>
      <c r="E2" s="5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Q2" s="6" t="s">
        <v>18</v>
      </c>
      <c r="R2" s="6" t="s">
        <v>29</v>
      </c>
      <c r="S2" s="6" t="s">
        <v>30</v>
      </c>
      <c r="T2" s="8"/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G2" s="6" t="s">
        <v>14</v>
      </c>
      <c r="AJ2" s="6" t="s">
        <v>14</v>
      </c>
    </row>
    <row r="3" spans="1:37">
      <c r="A3" s="2">
        <v>0</v>
      </c>
      <c r="B3" s="2">
        <v>0</v>
      </c>
      <c r="C3" s="7">
        <v>885913313</v>
      </c>
      <c r="D3" s="7">
        <v>884641100</v>
      </c>
      <c r="E3" s="7">
        <v>110431432</v>
      </c>
      <c r="F3" s="7">
        <v>862115</v>
      </c>
      <c r="G3" s="7">
        <v>868313</v>
      </c>
      <c r="H3" s="7">
        <v>871237</v>
      </c>
      <c r="I3" s="7">
        <v>855852</v>
      </c>
      <c r="J3" s="7">
        <v>881370</v>
      </c>
      <c r="K3" s="7">
        <v>791728</v>
      </c>
      <c r="L3" s="7">
        <v>803427</v>
      </c>
      <c r="M3" s="7">
        <v>808528</v>
      </c>
      <c r="N3" s="7">
        <v>806081</v>
      </c>
      <c r="O3" s="7">
        <v>822557</v>
      </c>
      <c r="Q3" s="8">
        <f t="shared" ref="Q3:S3" si="0">C3/SUM(C$3:C$60)</f>
        <v>0.88596776103472219</v>
      </c>
      <c r="R3" s="8">
        <f t="shared" si="0"/>
        <v>0.88464973418140558</v>
      </c>
      <c r="S3" s="8">
        <f t="shared" si="0"/>
        <v>0.8541379010537502</v>
      </c>
      <c r="T3" s="8"/>
      <c r="U3" s="8">
        <f t="shared" ref="U3:AD3" si="1">F3/SUM(F$3:F$60)</f>
        <v>0.86211499999999996</v>
      </c>
      <c r="V3" s="8">
        <f t="shared" si="1"/>
        <v>0.868313</v>
      </c>
      <c r="W3" s="8">
        <f t="shared" si="1"/>
        <v>0.87123700000000004</v>
      </c>
      <c r="X3" s="8">
        <f t="shared" si="1"/>
        <v>0.85585199999999995</v>
      </c>
      <c r="Y3" s="8">
        <f t="shared" si="1"/>
        <v>0.88136999999999999</v>
      </c>
      <c r="Z3" s="8">
        <f t="shared" si="1"/>
        <v>0.79172799999999999</v>
      </c>
      <c r="AA3" s="8">
        <f t="shared" si="1"/>
        <v>0.803427</v>
      </c>
      <c r="AB3" s="8">
        <f t="shared" si="1"/>
        <v>0.80852800000000002</v>
      </c>
      <c r="AC3" s="8">
        <f t="shared" si="1"/>
        <v>0.80608100000000005</v>
      </c>
      <c r="AD3" s="8">
        <f t="shared" si="1"/>
        <v>0.82255699999999998</v>
      </c>
      <c r="AF3" s="16">
        <v>0</v>
      </c>
      <c r="AG3" s="12" cm="1">
        <f t="array" ref="AG3:AG60">_xlfn.LET(_xlpm.x, AF3:AF60, IF(_xlpm.x=0, 0, _xlpm.x/SUM(_xlpm.x)))</f>
        <v>0</v>
      </c>
      <c r="AH3" s="12"/>
      <c r="AI3" s="18">
        <v>2</v>
      </c>
      <c r="AJ3" s="12" cm="1">
        <f t="array" ref="AJ3:AJ60">_xlfn.LET(_xlpm.x, AI3:AI60, IF(_xlpm.x=0, 0, _xlpm.x/SUM(_xlpm.x)))</f>
        <v>1.3791771828926862E-5</v>
      </c>
      <c r="AK3" cm="1">
        <f t="array" ref="AK3:AK60">(B3:B60+A3:A60)/2</f>
        <v>0</v>
      </c>
    </row>
    <row r="4" spans="1:37">
      <c r="A4" s="2">
        <v>0</v>
      </c>
      <c r="B4" s="2">
        <v>1</v>
      </c>
      <c r="C4" s="7">
        <v>11764624</v>
      </c>
      <c r="D4" s="7">
        <v>4036131</v>
      </c>
      <c r="E4" s="7">
        <v>0</v>
      </c>
      <c r="F4" s="7">
        <v>65047</v>
      </c>
      <c r="G4" s="7">
        <v>65255</v>
      </c>
      <c r="H4" s="7">
        <v>24707</v>
      </c>
      <c r="I4" s="7">
        <v>65047</v>
      </c>
      <c r="J4" s="7">
        <v>7475</v>
      </c>
      <c r="K4" s="7">
        <v>97570</v>
      </c>
      <c r="L4" s="7">
        <v>97883</v>
      </c>
      <c r="M4" s="7">
        <v>37060</v>
      </c>
      <c r="N4" s="7">
        <v>74630</v>
      </c>
      <c r="O4" s="7">
        <v>11212</v>
      </c>
      <c r="Q4" s="8">
        <f t="shared" ref="Q4:Q60" si="2">C4/SUM(C$3:C$60)</f>
        <v>1.1765347051168376E-2</v>
      </c>
      <c r="R4" s="8">
        <f t="shared" ref="R4:R60" si="3">D4/SUM(D$3:D$60)</f>
        <v>4.0361703930230355E-3</v>
      </c>
      <c r="S4" s="8">
        <f t="shared" ref="S4:S60" si="4">E4/SUM(E$3:E$60)</f>
        <v>0</v>
      </c>
      <c r="T4" s="8"/>
      <c r="U4" s="8">
        <f t="shared" ref="U4:U60" si="5">F4/SUM(F$3:F$60)</f>
        <v>6.5046999999999994E-2</v>
      </c>
      <c r="V4" s="8">
        <f t="shared" ref="V4:V60" si="6">G4/SUM(G$3:G$60)</f>
        <v>6.5254999999999994E-2</v>
      </c>
      <c r="W4" s="8">
        <f t="shared" ref="W4:W60" si="7">H4/SUM(H$3:H$60)</f>
        <v>2.4707E-2</v>
      </c>
      <c r="X4" s="8">
        <f t="shared" ref="X4:X60" si="8">I4/SUM(I$3:I$60)</f>
        <v>6.5046999999999994E-2</v>
      </c>
      <c r="Y4" s="8">
        <f t="shared" ref="Y4:Y60" si="9">J4/SUM(J$3:J$60)</f>
        <v>7.4749999999999999E-3</v>
      </c>
      <c r="Z4" s="8">
        <f t="shared" ref="Z4:Z60" si="10">K4/SUM(K$3:K$60)</f>
        <v>9.7570000000000004E-2</v>
      </c>
      <c r="AA4" s="8">
        <f t="shared" ref="AA4:AA60" si="11">L4/SUM(L$3:L$60)</f>
        <v>9.7882999999999998E-2</v>
      </c>
      <c r="AB4" s="8">
        <f t="shared" ref="AB4:AB60" si="12">M4/SUM(M$3:M$60)</f>
        <v>3.7060000000000003E-2</v>
      </c>
      <c r="AC4" s="8">
        <f t="shared" ref="AC4:AC60" si="13">N4/SUM(N$3:N$60)</f>
        <v>7.4630000000000002E-2</v>
      </c>
      <c r="AD4" s="8">
        <f t="shared" ref="AD4:AD60" si="14">O4/SUM(O$3:O$60)</f>
        <v>1.1212E-2</v>
      </c>
      <c r="AF4" s="16">
        <v>72</v>
      </c>
      <c r="AG4" s="12">
        <v>5.1660675463331685E-4</v>
      </c>
      <c r="AH4" s="12"/>
      <c r="AI4" s="18">
        <v>78</v>
      </c>
      <c r="AJ4" s="12">
        <v>5.3787910132814759E-4</v>
      </c>
      <c r="AK4">
        <v>0.5</v>
      </c>
    </row>
    <row r="5" spans="1:37">
      <c r="A5" s="2">
        <v>1</v>
      </c>
      <c r="B5" s="2">
        <v>2</v>
      </c>
      <c r="C5" s="7">
        <v>16365756</v>
      </c>
      <c r="D5" s="7">
        <v>11713167</v>
      </c>
      <c r="E5" s="7">
        <v>0</v>
      </c>
      <c r="F5" s="7">
        <v>1016</v>
      </c>
      <c r="G5" s="7">
        <v>2054</v>
      </c>
      <c r="H5" s="7">
        <v>39300</v>
      </c>
      <c r="I5" s="7">
        <v>1000</v>
      </c>
      <c r="J5" s="7">
        <v>26494</v>
      </c>
      <c r="K5" s="7">
        <v>1523</v>
      </c>
      <c r="L5" s="7">
        <v>3000</v>
      </c>
      <c r="M5" s="7">
        <v>58950</v>
      </c>
      <c r="N5" s="7">
        <v>23758</v>
      </c>
      <c r="O5" s="7">
        <v>39741</v>
      </c>
      <c r="Q5" s="8">
        <f t="shared" si="2"/>
        <v>1.6366761835715376E-2</v>
      </c>
      <c r="R5" s="8">
        <f t="shared" si="3"/>
        <v>1.1713281321625699E-2</v>
      </c>
      <c r="S5" s="8">
        <f t="shared" si="4"/>
        <v>0</v>
      </c>
      <c r="T5" s="8"/>
      <c r="U5" s="8">
        <f t="shared" si="5"/>
        <v>1.016E-3</v>
      </c>
      <c r="V5" s="8">
        <f t="shared" si="6"/>
        <v>2.0539999999999998E-3</v>
      </c>
      <c r="W5" s="8">
        <f t="shared" si="7"/>
        <v>3.9300000000000002E-2</v>
      </c>
      <c r="X5" s="8">
        <f t="shared" si="8"/>
        <v>1E-3</v>
      </c>
      <c r="Y5" s="8">
        <f t="shared" si="9"/>
        <v>2.6494E-2</v>
      </c>
      <c r="Z5" s="8">
        <f t="shared" si="10"/>
        <v>1.523E-3</v>
      </c>
      <c r="AA5" s="8">
        <f t="shared" si="11"/>
        <v>3.0000000000000001E-3</v>
      </c>
      <c r="AB5" s="8">
        <f t="shared" si="12"/>
        <v>5.8950000000000002E-2</v>
      </c>
      <c r="AC5" s="8">
        <f t="shared" si="13"/>
        <v>2.3758000000000001E-2</v>
      </c>
      <c r="AD5" s="8">
        <f t="shared" si="14"/>
        <v>3.9740999999999999E-2</v>
      </c>
      <c r="AF5" s="16">
        <v>237</v>
      </c>
      <c r="AG5" s="12">
        <v>1.7004972340013346E-3</v>
      </c>
      <c r="AH5" s="12"/>
      <c r="AI5" s="18">
        <v>182</v>
      </c>
      <c r="AJ5" s="12">
        <v>1.2550512364323445E-3</v>
      </c>
      <c r="AK5">
        <v>1.5</v>
      </c>
    </row>
    <row r="6" spans="1:37">
      <c r="A6" s="2">
        <v>2</v>
      </c>
      <c r="B6" s="2">
        <v>3</v>
      </c>
      <c r="C6" s="7">
        <v>11623926</v>
      </c>
      <c r="D6" s="7">
        <v>6004218</v>
      </c>
      <c r="E6" s="7">
        <v>0</v>
      </c>
      <c r="F6" s="7">
        <v>0</v>
      </c>
      <c r="G6" s="7">
        <v>4066</v>
      </c>
      <c r="H6" s="7">
        <v>333</v>
      </c>
      <c r="I6" s="7">
        <v>0</v>
      </c>
      <c r="J6" s="7">
        <v>630</v>
      </c>
      <c r="K6" s="7">
        <v>0</v>
      </c>
      <c r="L6" s="7">
        <v>6000</v>
      </c>
      <c r="M6" s="7">
        <v>500</v>
      </c>
      <c r="N6" s="7">
        <v>4482</v>
      </c>
      <c r="O6" s="7">
        <v>945</v>
      </c>
      <c r="Q6" s="8">
        <f t="shared" si="2"/>
        <v>1.1624640403900662E-2</v>
      </c>
      <c r="R6" s="8">
        <f t="shared" si="3"/>
        <v>6.0042766017396332E-3</v>
      </c>
      <c r="S6" s="8">
        <f t="shared" si="4"/>
        <v>0</v>
      </c>
      <c r="T6" s="8"/>
      <c r="U6" s="8">
        <f t="shared" si="5"/>
        <v>0</v>
      </c>
      <c r="V6" s="8">
        <f t="shared" si="6"/>
        <v>4.0660000000000002E-3</v>
      </c>
      <c r="W6" s="8">
        <f t="shared" si="7"/>
        <v>3.3300000000000002E-4</v>
      </c>
      <c r="X6" s="8">
        <f t="shared" si="8"/>
        <v>0</v>
      </c>
      <c r="Y6" s="8">
        <f t="shared" si="9"/>
        <v>6.3000000000000003E-4</v>
      </c>
      <c r="Z6" s="8">
        <f t="shared" si="10"/>
        <v>0</v>
      </c>
      <c r="AA6" s="8">
        <f t="shared" si="11"/>
        <v>6.0000000000000001E-3</v>
      </c>
      <c r="AB6" s="8">
        <f t="shared" si="12"/>
        <v>5.0000000000000001E-4</v>
      </c>
      <c r="AC6" s="8">
        <f t="shared" si="13"/>
        <v>4.4819999999999999E-3</v>
      </c>
      <c r="AD6" s="8">
        <f t="shared" si="14"/>
        <v>9.4499999999999998E-4</v>
      </c>
      <c r="AF6" s="16">
        <v>341</v>
      </c>
      <c r="AG6" s="12">
        <v>2.4467069906939035E-3</v>
      </c>
      <c r="AH6" s="12"/>
      <c r="AI6" s="18">
        <v>211</v>
      </c>
      <c r="AJ6" s="12">
        <v>1.4550319279517841E-3</v>
      </c>
      <c r="AK6">
        <v>2.5</v>
      </c>
    </row>
    <row r="7" spans="1:37">
      <c r="A7" s="2">
        <v>3</v>
      </c>
      <c r="B7" s="2">
        <v>4</v>
      </c>
      <c r="C7" s="7">
        <v>12367038</v>
      </c>
      <c r="D7" s="7">
        <v>11078967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1218</v>
      </c>
      <c r="O7" s="7">
        <v>0</v>
      </c>
      <c r="Q7" s="8">
        <f t="shared" si="2"/>
        <v>1.2367798075398522E-2</v>
      </c>
      <c r="R7" s="8">
        <f t="shared" si="3"/>
        <v>1.1079075131773286E-2</v>
      </c>
      <c r="S7" s="8">
        <f t="shared" si="4"/>
        <v>0</v>
      </c>
      <c r="T7" s="8"/>
      <c r="U7" s="8">
        <f t="shared" si="5"/>
        <v>0</v>
      </c>
      <c r="V7" s="8">
        <f t="shared" si="6"/>
        <v>0</v>
      </c>
      <c r="W7" s="8">
        <f t="shared" si="7"/>
        <v>0</v>
      </c>
      <c r="X7" s="8">
        <f t="shared" si="8"/>
        <v>0</v>
      </c>
      <c r="Y7" s="8">
        <f t="shared" si="9"/>
        <v>0</v>
      </c>
      <c r="Z7" s="8">
        <f t="shared" si="10"/>
        <v>0</v>
      </c>
      <c r="AA7" s="8">
        <f t="shared" si="11"/>
        <v>0</v>
      </c>
      <c r="AB7" s="8">
        <f t="shared" si="12"/>
        <v>0</v>
      </c>
      <c r="AC7" s="8">
        <f t="shared" si="13"/>
        <v>1.2179999999999999E-3</v>
      </c>
      <c r="AD7" s="8">
        <f t="shared" si="14"/>
        <v>0</v>
      </c>
      <c r="AF7" s="16">
        <v>548</v>
      </c>
      <c r="AG7" s="12">
        <v>3.9319514102646889E-3</v>
      </c>
      <c r="AH7" s="12"/>
      <c r="AI7" s="18">
        <v>315</v>
      </c>
      <c r="AJ7" s="12">
        <v>2.1722040630559806E-3</v>
      </c>
      <c r="AK7">
        <v>3.5</v>
      </c>
    </row>
    <row r="8" spans="1:37">
      <c r="A8" s="2">
        <v>4</v>
      </c>
      <c r="B8" s="2">
        <v>5</v>
      </c>
      <c r="C8" s="7">
        <v>10095520</v>
      </c>
      <c r="D8" s="7">
        <v>10345960</v>
      </c>
      <c r="E8" s="7">
        <v>0</v>
      </c>
      <c r="F8" s="7">
        <v>42830</v>
      </c>
      <c r="G8" s="7">
        <v>29879</v>
      </c>
      <c r="H8" s="7">
        <v>15365</v>
      </c>
      <c r="I8" s="7">
        <v>44040</v>
      </c>
      <c r="J8" s="7">
        <v>20000</v>
      </c>
      <c r="K8" s="7">
        <v>64244</v>
      </c>
      <c r="L8" s="7">
        <v>45000</v>
      </c>
      <c r="M8" s="7">
        <v>23100</v>
      </c>
      <c r="N8" s="7">
        <v>45000</v>
      </c>
      <c r="O8" s="7">
        <v>30000</v>
      </c>
      <c r="Q8" s="8">
        <f t="shared" si="2"/>
        <v>1.0096140468408626E-2</v>
      </c>
      <c r="R8" s="8">
        <f t="shared" si="3"/>
        <v>1.0346060977555142E-2</v>
      </c>
      <c r="S8" s="8">
        <f t="shared" si="4"/>
        <v>0</v>
      </c>
      <c r="T8" s="8"/>
      <c r="U8" s="8">
        <f t="shared" si="5"/>
        <v>4.283E-2</v>
      </c>
      <c r="V8" s="8">
        <f t="shared" si="6"/>
        <v>2.9878999999999999E-2</v>
      </c>
      <c r="W8" s="8">
        <f t="shared" si="7"/>
        <v>1.5365E-2</v>
      </c>
      <c r="X8" s="8">
        <f t="shared" si="8"/>
        <v>4.4040000000000003E-2</v>
      </c>
      <c r="Y8" s="8">
        <f t="shared" si="9"/>
        <v>0.02</v>
      </c>
      <c r="Z8" s="8">
        <f t="shared" si="10"/>
        <v>6.4243999999999996E-2</v>
      </c>
      <c r="AA8" s="8">
        <f t="shared" si="11"/>
        <v>4.4999999999999998E-2</v>
      </c>
      <c r="AB8" s="8">
        <f t="shared" si="12"/>
        <v>2.3099999999999999E-2</v>
      </c>
      <c r="AC8" s="8">
        <f t="shared" si="13"/>
        <v>4.4999999999999998E-2</v>
      </c>
      <c r="AD8" s="8">
        <f t="shared" si="14"/>
        <v>0.03</v>
      </c>
      <c r="AF8" s="16">
        <v>835</v>
      </c>
      <c r="AG8" s="12">
        <v>5.9912033349836047E-3</v>
      </c>
      <c r="AH8" s="12"/>
      <c r="AI8" s="18">
        <v>439</v>
      </c>
      <c r="AJ8" s="12">
        <v>3.0272939164494462E-3</v>
      </c>
      <c r="AK8">
        <v>4.5</v>
      </c>
    </row>
    <row r="9" spans="1:37">
      <c r="A9" s="2">
        <v>5</v>
      </c>
      <c r="B9" s="2">
        <v>6</v>
      </c>
      <c r="C9" s="7">
        <v>8063906</v>
      </c>
      <c r="D9" s="7">
        <v>9145346</v>
      </c>
      <c r="E9" s="7">
        <v>0</v>
      </c>
      <c r="F9" s="7">
        <v>1153</v>
      </c>
      <c r="G9" s="7">
        <v>1030</v>
      </c>
      <c r="H9" s="7">
        <v>18320</v>
      </c>
      <c r="I9" s="7">
        <v>2000</v>
      </c>
      <c r="J9" s="7">
        <v>33480</v>
      </c>
      <c r="K9" s="7">
        <v>1729</v>
      </c>
      <c r="L9" s="7">
        <v>1545</v>
      </c>
      <c r="M9" s="7">
        <v>27525</v>
      </c>
      <c r="N9" s="7">
        <v>1490</v>
      </c>
      <c r="O9" s="7">
        <v>50250</v>
      </c>
      <c r="Q9" s="8">
        <f t="shared" si="2"/>
        <v>8.0644016058650896E-3</v>
      </c>
      <c r="R9" s="8">
        <f t="shared" si="3"/>
        <v>9.1454352594481318E-3</v>
      </c>
      <c r="S9" s="8">
        <f t="shared" si="4"/>
        <v>0</v>
      </c>
      <c r="T9" s="8"/>
      <c r="U9" s="8">
        <f t="shared" si="5"/>
        <v>1.1529999999999999E-3</v>
      </c>
      <c r="V9" s="8">
        <f t="shared" si="6"/>
        <v>1.0300000000000001E-3</v>
      </c>
      <c r="W9" s="8">
        <f t="shared" si="7"/>
        <v>1.8319999999999999E-2</v>
      </c>
      <c r="X9" s="8">
        <f t="shared" si="8"/>
        <v>2E-3</v>
      </c>
      <c r="Y9" s="8">
        <f t="shared" si="9"/>
        <v>3.3480000000000003E-2</v>
      </c>
      <c r="Z9" s="8">
        <f t="shared" si="10"/>
        <v>1.7290000000000001E-3</v>
      </c>
      <c r="AA9" s="8">
        <f t="shared" si="11"/>
        <v>1.5449999999999999E-3</v>
      </c>
      <c r="AB9" s="8">
        <f t="shared" si="12"/>
        <v>2.7525000000000001E-2</v>
      </c>
      <c r="AC9" s="8">
        <f t="shared" si="13"/>
        <v>1.49E-3</v>
      </c>
      <c r="AD9" s="8">
        <f t="shared" si="14"/>
        <v>5.0250000000000003E-2</v>
      </c>
      <c r="AF9" s="16">
        <v>1353</v>
      </c>
      <c r="AG9" s="12">
        <v>9.7079019308177455E-3</v>
      </c>
      <c r="AH9" s="12"/>
      <c r="AI9" s="18">
        <v>615</v>
      </c>
      <c r="AJ9" s="12">
        <v>4.2409698373950099E-3</v>
      </c>
      <c r="AK9">
        <v>5.5</v>
      </c>
    </row>
    <row r="10" spans="1:37">
      <c r="A10" s="2">
        <v>6</v>
      </c>
      <c r="B10" s="2">
        <v>7</v>
      </c>
      <c r="C10" s="7">
        <v>1960044</v>
      </c>
      <c r="D10" s="7">
        <v>2087574</v>
      </c>
      <c r="E10" s="7">
        <v>0</v>
      </c>
      <c r="F10" s="7">
        <v>0</v>
      </c>
      <c r="G10" s="7">
        <v>0</v>
      </c>
      <c r="H10" s="7">
        <v>70</v>
      </c>
      <c r="I10" s="7">
        <v>0</v>
      </c>
      <c r="J10" s="7">
        <v>37</v>
      </c>
      <c r="K10" s="7">
        <v>0</v>
      </c>
      <c r="L10" s="7">
        <v>0</v>
      </c>
      <c r="M10" s="7">
        <v>105</v>
      </c>
      <c r="N10" s="7">
        <v>0</v>
      </c>
      <c r="O10" s="7">
        <v>56</v>
      </c>
      <c r="Q10" s="8">
        <f t="shared" si="2"/>
        <v>1.9601644638672913E-3</v>
      </c>
      <c r="R10" s="8">
        <f t="shared" si="3"/>
        <v>2.0875943749210993E-3</v>
      </c>
      <c r="S10" s="8">
        <f t="shared" si="4"/>
        <v>0</v>
      </c>
      <c r="T10" s="8"/>
      <c r="U10" s="8">
        <f t="shared" si="5"/>
        <v>0</v>
      </c>
      <c r="V10" s="8">
        <f t="shared" si="6"/>
        <v>0</v>
      </c>
      <c r="W10" s="8">
        <f t="shared" si="7"/>
        <v>6.9999999999999994E-5</v>
      </c>
      <c r="X10" s="8">
        <f t="shared" si="8"/>
        <v>0</v>
      </c>
      <c r="Y10" s="8">
        <f t="shared" si="9"/>
        <v>3.6999999999999998E-5</v>
      </c>
      <c r="Z10" s="8">
        <f t="shared" si="10"/>
        <v>0</v>
      </c>
      <c r="AA10" s="8">
        <f t="shared" si="11"/>
        <v>0</v>
      </c>
      <c r="AB10" s="8">
        <f t="shared" si="12"/>
        <v>1.05E-4</v>
      </c>
      <c r="AC10" s="8">
        <f t="shared" si="13"/>
        <v>0</v>
      </c>
      <c r="AD10" s="8">
        <f t="shared" si="14"/>
        <v>5.5999999999999999E-5</v>
      </c>
      <c r="AF10" s="16">
        <v>1697</v>
      </c>
      <c r="AG10" s="12">
        <v>1.2176134202954703E-2</v>
      </c>
      <c r="AH10" s="12"/>
      <c r="AI10" s="18">
        <v>781</v>
      </c>
      <c r="AJ10" s="12">
        <v>5.3856868991959397E-3</v>
      </c>
      <c r="AK10">
        <v>6.5</v>
      </c>
    </row>
    <row r="11" spans="1:37">
      <c r="A11" s="2">
        <v>7</v>
      </c>
      <c r="B11" s="2">
        <v>8</v>
      </c>
      <c r="C11" s="7">
        <v>8419726</v>
      </c>
      <c r="D11" s="7">
        <v>9519892</v>
      </c>
      <c r="E11" s="7">
        <v>4346920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Q11" s="8">
        <f t="shared" si="2"/>
        <v>8.4202434744829677E-3</v>
      </c>
      <c r="R11" s="8">
        <f t="shared" si="3"/>
        <v>9.5199849150527701E-3</v>
      </c>
      <c r="S11" s="8">
        <f t="shared" si="4"/>
        <v>3.3621488534610035E-2</v>
      </c>
      <c r="T11" s="8"/>
      <c r="U11" s="8">
        <f t="shared" si="5"/>
        <v>0</v>
      </c>
      <c r="V11" s="8">
        <f t="shared" si="6"/>
        <v>0</v>
      </c>
      <c r="W11" s="8">
        <f t="shared" si="7"/>
        <v>0</v>
      </c>
      <c r="X11" s="8">
        <f t="shared" si="8"/>
        <v>0</v>
      </c>
      <c r="Y11" s="8">
        <f t="shared" si="9"/>
        <v>0</v>
      </c>
      <c r="Z11" s="8">
        <f t="shared" si="10"/>
        <v>0</v>
      </c>
      <c r="AA11" s="8">
        <f t="shared" si="11"/>
        <v>0</v>
      </c>
      <c r="AB11" s="8">
        <f t="shared" si="12"/>
        <v>0</v>
      </c>
      <c r="AC11" s="8">
        <f t="shared" si="13"/>
        <v>0</v>
      </c>
      <c r="AD11" s="8">
        <f t="shared" si="14"/>
        <v>0</v>
      </c>
      <c r="AF11" s="16">
        <v>2002</v>
      </c>
      <c r="AG11" s="12">
        <v>1.4364537816331948E-2</v>
      </c>
      <c r="AH11" s="12"/>
      <c r="AI11" s="18">
        <v>944</v>
      </c>
      <c r="AJ11" s="12">
        <v>6.5097163032534792E-3</v>
      </c>
      <c r="AK11">
        <v>7.5</v>
      </c>
    </row>
    <row r="12" spans="1:37">
      <c r="A12" s="2">
        <v>8</v>
      </c>
      <c r="B12" s="2">
        <v>9</v>
      </c>
      <c r="C12" s="7">
        <v>3082035</v>
      </c>
      <c r="D12" s="7">
        <v>3596097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Q12" s="8">
        <f t="shared" si="2"/>
        <v>3.0822244211840284E-3</v>
      </c>
      <c r="R12" s="8">
        <f t="shared" si="3"/>
        <v>3.5961320982492791E-3</v>
      </c>
      <c r="S12" s="8">
        <f t="shared" si="4"/>
        <v>0</v>
      </c>
      <c r="T12" s="8"/>
      <c r="U12" s="8">
        <f t="shared" si="5"/>
        <v>0</v>
      </c>
      <c r="V12" s="8">
        <f t="shared" si="6"/>
        <v>0</v>
      </c>
      <c r="W12" s="8">
        <f t="shared" si="7"/>
        <v>0</v>
      </c>
      <c r="X12" s="8">
        <f t="shared" si="8"/>
        <v>0</v>
      </c>
      <c r="Y12" s="8">
        <f t="shared" si="9"/>
        <v>0</v>
      </c>
      <c r="Z12" s="8">
        <f t="shared" si="10"/>
        <v>0</v>
      </c>
      <c r="AA12" s="8">
        <f t="shared" si="11"/>
        <v>0</v>
      </c>
      <c r="AB12" s="8">
        <f t="shared" si="12"/>
        <v>0</v>
      </c>
      <c r="AC12" s="8">
        <f t="shared" si="13"/>
        <v>0</v>
      </c>
      <c r="AD12" s="8">
        <f t="shared" si="14"/>
        <v>0</v>
      </c>
      <c r="AF12" s="16">
        <v>2439</v>
      </c>
      <c r="AG12" s="12">
        <v>1.7500053813203607E-2</v>
      </c>
      <c r="AH12" s="12"/>
      <c r="AI12" s="18">
        <v>1251</v>
      </c>
      <c r="AJ12" s="12">
        <v>8.6267532789937526E-3</v>
      </c>
      <c r="AK12">
        <v>8.5</v>
      </c>
    </row>
    <row r="13" spans="1:37">
      <c r="A13" s="2">
        <v>9</v>
      </c>
      <c r="B13" s="2">
        <v>10</v>
      </c>
      <c r="C13" s="7">
        <v>6201756</v>
      </c>
      <c r="D13" s="7">
        <v>8367532</v>
      </c>
      <c r="E13" s="7">
        <v>3277630</v>
      </c>
      <c r="F13" s="7">
        <v>8422</v>
      </c>
      <c r="G13" s="7">
        <v>5015</v>
      </c>
      <c r="H13" s="7">
        <v>4515</v>
      </c>
      <c r="I13" s="7">
        <v>9000</v>
      </c>
      <c r="J13" s="7">
        <v>5400</v>
      </c>
      <c r="K13" s="7">
        <v>14006</v>
      </c>
      <c r="L13" s="7">
        <v>6914</v>
      </c>
      <c r="M13" s="7">
        <v>6035</v>
      </c>
      <c r="N13" s="7">
        <v>5394</v>
      </c>
      <c r="O13" s="7">
        <v>8627</v>
      </c>
      <c r="Q13" s="8">
        <f t="shared" si="2"/>
        <v>6.2021371585412157E-3</v>
      </c>
      <c r="R13" s="8">
        <f t="shared" si="3"/>
        <v>8.3676136679093991E-3</v>
      </c>
      <c r="S13" s="8">
        <f t="shared" si="4"/>
        <v>2.5351007026974019E-2</v>
      </c>
      <c r="T13" s="8"/>
      <c r="U13" s="8">
        <f t="shared" si="5"/>
        <v>8.4220000000000007E-3</v>
      </c>
      <c r="V13" s="8">
        <f t="shared" si="6"/>
        <v>5.0150000000000004E-3</v>
      </c>
      <c r="W13" s="8">
        <f t="shared" si="7"/>
        <v>4.5149999999999999E-3</v>
      </c>
      <c r="X13" s="8">
        <f t="shared" si="8"/>
        <v>8.9999999999999993E-3</v>
      </c>
      <c r="Y13" s="8">
        <f t="shared" si="9"/>
        <v>5.4000000000000003E-3</v>
      </c>
      <c r="Z13" s="8">
        <f t="shared" si="10"/>
        <v>1.4005999999999999E-2</v>
      </c>
      <c r="AA13" s="8">
        <f t="shared" si="11"/>
        <v>6.914E-3</v>
      </c>
      <c r="AB13" s="8">
        <f t="shared" si="12"/>
        <v>6.0350000000000004E-3</v>
      </c>
      <c r="AC13" s="8">
        <f t="shared" si="13"/>
        <v>5.3940000000000004E-3</v>
      </c>
      <c r="AD13" s="8">
        <f t="shared" si="14"/>
        <v>8.6269999999999993E-3</v>
      </c>
      <c r="AF13" s="16">
        <v>14370</v>
      </c>
      <c r="AG13" s="12">
        <v>0.10310609811223281</v>
      </c>
      <c r="AH13" s="12"/>
      <c r="AI13" s="18">
        <v>10825</v>
      </c>
      <c r="AJ13" s="12">
        <v>7.4647965024066648E-2</v>
      </c>
      <c r="AK13">
        <v>9.5</v>
      </c>
    </row>
    <row r="14" spans="1:37">
      <c r="A14" s="2">
        <v>10</v>
      </c>
      <c r="B14" s="2">
        <v>15</v>
      </c>
      <c r="C14" s="7">
        <v>9885740</v>
      </c>
      <c r="D14" s="7">
        <v>14606129</v>
      </c>
      <c r="E14" s="7">
        <v>523644</v>
      </c>
      <c r="F14" s="7">
        <v>5000</v>
      </c>
      <c r="G14" s="7">
        <v>5887</v>
      </c>
      <c r="H14" s="7">
        <v>9523</v>
      </c>
      <c r="I14" s="7">
        <v>6300</v>
      </c>
      <c r="J14" s="7">
        <v>10000</v>
      </c>
      <c r="K14" s="7">
        <v>7500</v>
      </c>
      <c r="L14" s="7">
        <v>8700</v>
      </c>
      <c r="M14" s="7">
        <v>14284</v>
      </c>
      <c r="N14" s="7">
        <v>9612</v>
      </c>
      <c r="O14" s="7">
        <v>15000</v>
      </c>
      <c r="Q14" s="8">
        <f t="shared" si="2"/>
        <v>9.886347575376592E-3</v>
      </c>
      <c r="R14" s="8">
        <f t="shared" si="3"/>
        <v>1.4606271557210398E-2</v>
      </c>
      <c r="S14" s="8">
        <f t="shared" si="4"/>
        <v>4.0501529225790535E-3</v>
      </c>
      <c r="T14" s="8"/>
      <c r="U14" s="8">
        <f t="shared" si="5"/>
        <v>5.0000000000000001E-3</v>
      </c>
      <c r="V14" s="8">
        <f t="shared" si="6"/>
        <v>5.8869999999999999E-3</v>
      </c>
      <c r="W14" s="8">
        <f t="shared" si="7"/>
        <v>9.5230000000000002E-3</v>
      </c>
      <c r="X14" s="8">
        <f t="shared" si="8"/>
        <v>6.3E-3</v>
      </c>
      <c r="Y14" s="8">
        <f t="shared" si="9"/>
        <v>0.01</v>
      </c>
      <c r="Z14" s="8">
        <f t="shared" si="10"/>
        <v>7.4999999999999997E-3</v>
      </c>
      <c r="AA14" s="8">
        <f t="shared" si="11"/>
        <v>8.6999999999999994E-3</v>
      </c>
      <c r="AB14" s="8">
        <f t="shared" si="12"/>
        <v>1.4284E-2</v>
      </c>
      <c r="AC14" s="8">
        <f t="shared" si="13"/>
        <v>9.6120000000000008E-3</v>
      </c>
      <c r="AD14" s="8">
        <f t="shared" si="14"/>
        <v>1.4999999999999999E-2</v>
      </c>
      <c r="AF14" s="16">
        <v>15233</v>
      </c>
      <c r="AG14" s="12">
        <v>0.10929820407401827</v>
      </c>
      <c r="AH14" s="12"/>
      <c r="AI14" s="18">
        <v>16612</v>
      </c>
      <c r="AJ14" s="12">
        <v>0.11455445681106652</v>
      </c>
      <c r="AK14">
        <v>12.5</v>
      </c>
    </row>
    <row r="15" spans="1:37">
      <c r="A15" s="2">
        <v>15</v>
      </c>
      <c r="B15" s="2">
        <v>20</v>
      </c>
      <c r="C15" s="7">
        <v>5874476</v>
      </c>
      <c r="D15" s="7">
        <v>9202792</v>
      </c>
      <c r="E15" s="7">
        <v>1800254</v>
      </c>
      <c r="F15" s="7">
        <v>5000</v>
      </c>
      <c r="G15" s="7">
        <v>2870</v>
      </c>
      <c r="H15" s="7">
        <v>4912</v>
      </c>
      <c r="I15" s="7">
        <v>6000</v>
      </c>
      <c r="J15" s="7">
        <v>7900</v>
      </c>
      <c r="K15" s="7">
        <v>7500</v>
      </c>
      <c r="L15" s="7">
        <v>4305</v>
      </c>
      <c r="M15" s="7">
        <v>7368</v>
      </c>
      <c r="N15" s="7">
        <v>6825</v>
      </c>
      <c r="O15" s="7">
        <v>10500</v>
      </c>
      <c r="Q15" s="8">
        <f t="shared" si="2"/>
        <v>5.8748370439853752E-3</v>
      </c>
      <c r="R15" s="8">
        <f t="shared" si="3"/>
        <v>9.2028818201265652E-3</v>
      </c>
      <c r="S15" s="8">
        <f t="shared" si="4"/>
        <v>1.3924162216094582E-2</v>
      </c>
      <c r="T15" s="8"/>
      <c r="U15" s="8">
        <f t="shared" si="5"/>
        <v>5.0000000000000001E-3</v>
      </c>
      <c r="V15" s="8">
        <f t="shared" si="6"/>
        <v>2.8700000000000002E-3</v>
      </c>
      <c r="W15" s="8">
        <f t="shared" si="7"/>
        <v>4.9119999999999997E-3</v>
      </c>
      <c r="X15" s="8">
        <f t="shared" si="8"/>
        <v>6.0000000000000001E-3</v>
      </c>
      <c r="Y15" s="8">
        <f t="shared" si="9"/>
        <v>7.9000000000000008E-3</v>
      </c>
      <c r="Z15" s="8">
        <f t="shared" si="10"/>
        <v>7.4999999999999997E-3</v>
      </c>
      <c r="AA15" s="8">
        <f t="shared" si="11"/>
        <v>4.3049999999999998E-3</v>
      </c>
      <c r="AB15" s="8">
        <f t="shared" si="12"/>
        <v>7.3680000000000004E-3</v>
      </c>
      <c r="AC15" s="8">
        <f t="shared" si="13"/>
        <v>6.8250000000000003E-3</v>
      </c>
      <c r="AD15" s="8">
        <f t="shared" si="14"/>
        <v>1.0500000000000001E-2</v>
      </c>
      <c r="AF15" s="16">
        <v>14457</v>
      </c>
      <c r="AG15" s="12">
        <v>0.10373033127408141</v>
      </c>
      <c r="AH15" s="12"/>
      <c r="AI15" s="18">
        <v>18924</v>
      </c>
      <c r="AJ15" s="12">
        <v>0.13049774504530598</v>
      </c>
      <c r="AK15">
        <v>17.5</v>
      </c>
    </row>
    <row r="16" spans="1:37">
      <c r="A16" s="2">
        <v>20</v>
      </c>
      <c r="B16" s="2">
        <v>25</v>
      </c>
      <c r="C16" s="7">
        <v>2464217</v>
      </c>
      <c r="D16" s="7">
        <v>5141385</v>
      </c>
      <c r="E16" s="7">
        <v>1134864</v>
      </c>
      <c r="F16" s="7">
        <v>3000</v>
      </c>
      <c r="G16" s="7">
        <v>6300</v>
      </c>
      <c r="H16" s="7">
        <v>4400</v>
      </c>
      <c r="I16" s="7">
        <v>3600</v>
      </c>
      <c r="J16" s="7">
        <v>1720</v>
      </c>
      <c r="K16" s="7">
        <v>5100</v>
      </c>
      <c r="L16" s="7">
        <v>9450</v>
      </c>
      <c r="M16" s="7">
        <v>6600</v>
      </c>
      <c r="N16" s="7">
        <v>7140</v>
      </c>
      <c r="O16" s="7">
        <v>2940</v>
      </c>
      <c r="Q16" s="8">
        <f t="shared" si="2"/>
        <v>2.464368450227477E-3</v>
      </c>
      <c r="R16" s="8">
        <f t="shared" si="3"/>
        <v>5.1414351804073607E-3</v>
      </c>
      <c r="S16" s="8">
        <f t="shared" si="4"/>
        <v>8.7776671676363226E-3</v>
      </c>
      <c r="T16" s="8"/>
      <c r="U16" s="8">
        <f t="shared" si="5"/>
        <v>3.0000000000000001E-3</v>
      </c>
      <c r="V16" s="8">
        <f t="shared" si="6"/>
        <v>6.3E-3</v>
      </c>
      <c r="W16" s="8">
        <f t="shared" si="7"/>
        <v>4.4000000000000003E-3</v>
      </c>
      <c r="X16" s="8">
        <f t="shared" si="8"/>
        <v>3.5999999999999999E-3</v>
      </c>
      <c r="Y16" s="8">
        <f t="shared" si="9"/>
        <v>1.72E-3</v>
      </c>
      <c r="Z16" s="8">
        <f t="shared" si="10"/>
        <v>5.1000000000000004E-3</v>
      </c>
      <c r="AA16" s="8">
        <f t="shared" si="11"/>
        <v>9.4500000000000001E-3</v>
      </c>
      <c r="AB16" s="8">
        <f t="shared" si="12"/>
        <v>6.6E-3</v>
      </c>
      <c r="AC16" s="8">
        <f t="shared" si="13"/>
        <v>7.1399999999999996E-3</v>
      </c>
      <c r="AD16" s="8">
        <f t="shared" si="14"/>
        <v>2.9399999999999999E-3</v>
      </c>
      <c r="AF16" s="16">
        <v>12714</v>
      </c>
      <c r="AG16" s="12">
        <v>9.1224142755666524E-2</v>
      </c>
      <c r="AH16" s="12"/>
      <c r="AI16" s="18">
        <v>17950</v>
      </c>
      <c r="AJ16" s="12">
        <v>0.12378115216461859</v>
      </c>
      <c r="AK16">
        <v>22.5</v>
      </c>
    </row>
    <row r="17" spans="1:37">
      <c r="A17" s="2">
        <v>25</v>
      </c>
      <c r="B17" s="2">
        <v>30</v>
      </c>
      <c r="C17" s="7">
        <v>2137165</v>
      </c>
      <c r="D17" s="7">
        <v>3428356</v>
      </c>
      <c r="E17" s="7">
        <v>900740</v>
      </c>
      <c r="F17" s="7">
        <v>1200</v>
      </c>
      <c r="G17" s="7">
        <v>1700</v>
      </c>
      <c r="H17" s="7">
        <v>1838</v>
      </c>
      <c r="I17" s="7">
        <v>1230</v>
      </c>
      <c r="J17" s="7">
        <v>500</v>
      </c>
      <c r="K17" s="7">
        <v>1695</v>
      </c>
      <c r="L17" s="7">
        <v>2550</v>
      </c>
      <c r="M17" s="7">
        <v>1650</v>
      </c>
      <c r="N17" s="7">
        <v>3381</v>
      </c>
      <c r="O17" s="7">
        <v>765</v>
      </c>
      <c r="Q17" s="8">
        <f t="shared" si="2"/>
        <v>2.1372963496844662E-3</v>
      </c>
      <c r="R17" s="8">
        <f t="shared" si="3"/>
        <v>3.4283894610811403E-3</v>
      </c>
      <c r="S17" s="8">
        <f t="shared" si="4"/>
        <v>6.9668223897989025E-3</v>
      </c>
      <c r="T17" s="8"/>
      <c r="U17" s="8">
        <f t="shared" si="5"/>
        <v>1.1999999999999999E-3</v>
      </c>
      <c r="V17" s="8">
        <f t="shared" si="6"/>
        <v>1.6999999999999999E-3</v>
      </c>
      <c r="W17" s="8">
        <f t="shared" si="7"/>
        <v>1.838E-3</v>
      </c>
      <c r="X17" s="8">
        <f t="shared" si="8"/>
        <v>1.23E-3</v>
      </c>
      <c r="Y17" s="8">
        <f t="shared" si="9"/>
        <v>5.0000000000000001E-4</v>
      </c>
      <c r="Z17" s="8">
        <f t="shared" si="10"/>
        <v>1.6949999999999999E-3</v>
      </c>
      <c r="AA17" s="8">
        <f t="shared" si="11"/>
        <v>2.5500000000000002E-3</v>
      </c>
      <c r="AB17" s="8">
        <f t="shared" si="12"/>
        <v>1.65E-3</v>
      </c>
      <c r="AC17" s="8">
        <f t="shared" si="13"/>
        <v>3.3809999999999999E-3</v>
      </c>
      <c r="AD17" s="8">
        <f t="shared" si="14"/>
        <v>7.6499999999999995E-4</v>
      </c>
      <c r="AF17" s="16">
        <v>10852</v>
      </c>
      <c r="AG17" s="12">
        <v>7.7864118073343813E-2</v>
      </c>
      <c r="AH17" s="12"/>
      <c r="AI17" s="18">
        <v>14659</v>
      </c>
      <c r="AJ17" s="12">
        <v>0.10108679162011944</v>
      </c>
      <c r="AK17">
        <v>27.5</v>
      </c>
    </row>
    <row r="18" spans="1:37">
      <c r="A18" s="2">
        <v>30</v>
      </c>
      <c r="B18" s="2">
        <v>35</v>
      </c>
      <c r="C18" s="7">
        <v>408530</v>
      </c>
      <c r="D18" s="7">
        <v>615817</v>
      </c>
      <c r="E18" s="7">
        <v>603000</v>
      </c>
      <c r="F18" s="7">
        <v>0</v>
      </c>
      <c r="G18" s="7">
        <v>1800</v>
      </c>
      <c r="H18" s="7">
        <v>0</v>
      </c>
      <c r="I18" s="7">
        <v>0</v>
      </c>
      <c r="J18" s="7">
        <v>258</v>
      </c>
      <c r="K18" s="7">
        <v>0</v>
      </c>
      <c r="L18" s="7">
        <v>2700</v>
      </c>
      <c r="M18" s="7">
        <v>0</v>
      </c>
      <c r="N18" s="7">
        <v>1500</v>
      </c>
      <c r="O18" s="7">
        <v>389</v>
      </c>
      <c r="Q18" s="8">
        <f t="shared" si="2"/>
        <v>4.0855510816272726E-4</v>
      </c>
      <c r="R18" s="8">
        <f t="shared" si="3"/>
        <v>6.1582301043258182E-4</v>
      </c>
      <c r="S18" s="8">
        <f t="shared" si="4"/>
        <v>4.6639362091710577E-3</v>
      </c>
      <c r="T18" s="8"/>
      <c r="U18" s="8">
        <f t="shared" si="5"/>
        <v>0</v>
      </c>
      <c r="V18" s="8">
        <f t="shared" si="6"/>
        <v>1.8E-3</v>
      </c>
      <c r="W18" s="8">
        <f t="shared" si="7"/>
        <v>0</v>
      </c>
      <c r="X18" s="8">
        <f t="shared" si="8"/>
        <v>0</v>
      </c>
      <c r="Y18" s="8">
        <f t="shared" si="9"/>
        <v>2.5799999999999998E-4</v>
      </c>
      <c r="Z18" s="8">
        <f t="shared" si="10"/>
        <v>0</v>
      </c>
      <c r="AA18" s="8">
        <f t="shared" si="11"/>
        <v>2.7000000000000001E-3</v>
      </c>
      <c r="AB18" s="8">
        <f t="shared" si="12"/>
        <v>0</v>
      </c>
      <c r="AC18" s="8">
        <f t="shared" si="13"/>
        <v>1.5E-3</v>
      </c>
      <c r="AD18" s="8">
        <f t="shared" si="14"/>
        <v>3.8900000000000002E-4</v>
      </c>
      <c r="AF18" s="16">
        <v>9573</v>
      </c>
      <c r="AG18" s="12">
        <v>6.8687173084788083E-2</v>
      </c>
      <c r="AH18" s="12"/>
      <c r="AI18" s="18">
        <v>11362</v>
      </c>
      <c r="AJ18" s="12">
        <v>7.8351055760133501E-2</v>
      </c>
      <c r="AK18">
        <v>32.5</v>
      </c>
    </row>
    <row r="19" spans="1:37">
      <c r="A19" s="2">
        <v>35</v>
      </c>
      <c r="B19" s="2">
        <v>40</v>
      </c>
      <c r="C19" s="7">
        <v>953627</v>
      </c>
      <c r="D19" s="7">
        <v>2068043</v>
      </c>
      <c r="E19" s="7">
        <v>528645</v>
      </c>
      <c r="F19" s="7">
        <v>0</v>
      </c>
      <c r="G19" s="7">
        <v>0</v>
      </c>
      <c r="H19" s="7">
        <v>0</v>
      </c>
      <c r="I19" s="7">
        <v>0</v>
      </c>
      <c r="J19" s="7">
        <v>185</v>
      </c>
      <c r="K19" s="7">
        <v>0</v>
      </c>
      <c r="L19" s="7">
        <v>0</v>
      </c>
      <c r="M19" s="7">
        <v>0</v>
      </c>
      <c r="N19" s="7">
        <v>2550</v>
      </c>
      <c r="O19" s="7">
        <v>278</v>
      </c>
      <c r="Q19" s="8">
        <f t="shared" si="2"/>
        <v>9.536856097028299E-4</v>
      </c>
      <c r="R19" s="8">
        <f t="shared" si="3"/>
        <v>2.0680631842966788E-3</v>
      </c>
      <c r="S19" s="8">
        <f t="shared" si="4"/>
        <v>4.0888334283536217E-3</v>
      </c>
      <c r="T19" s="8"/>
      <c r="U19" s="8">
        <f t="shared" si="5"/>
        <v>0</v>
      </c>
      <c r="V19" s="8">
        <f t="shared" si="6"/>
        <v>0</v>
      </c>
      <c r="W19" s="8">
        <f t="shared" si="7"/>
        <v>0</v>
      </c>
      <c r="X19" s="8">
        <f t="shared" si="8"/>
        <v>0</v>
      </c>
      <c r="Y19" s="8">
        <f t="shared" si="9"/>
        <v>1.85E-4</v>
      </c>
      <c r="Z19" s="8">
        <f t="shared" si="10"/>
        <v>0</v>
      </c>
      <c r="AA19" s="8">
        <f t="shared" si="11"/>
        <v>0</v>
      </c>
      <c r="AB19" s="8">
        <f t="shared" si="12"/>
        <v>0</v>
      </c>
      <c r="AC19" s="8">
        <f t="shared" si="13"/>
        <v>2.5500000000000002E-3</v>
      </c>
      <c r="AD19" s="8">
        <f t="shared" si="14"/>
        <v>2.7799999999999998E-4</v>
      </c>
      <c r="AF19" s="16">
        <v>8287</v>
      </c>
      <c r="AG19" s="12">
        <v>5.9460002439531895E-2</v>
      </c>
      <c r="AH19" s="12"/>
      <c r="AI19" s="18">
        <v>8620</v>
      </c>
      <c r="AJ19" s="12">
        <v>5.9442536582674774E-2</v>
      </c>
      <c r="AK19">
        <v>37.5</v>
      </c>
    </row>
    <row r="20" spans="1:37">
      <c r="A20" s="2">
        <v>40</v>
      </c>
      <c r="B20" s="2">
        <v>45</v>
      </c>
      <c r="C20" s="7">
        <v>221560</v>
      </c>
      <c r="D20" s="7">
        <v>706581</v>
      </c>
      <c r="E20" s="7">
        <v>1123390</v>
      </c>
      <c r="F20" s="7">
        <v>0</v>
      </c>
      <c r="G20" s="7">
        <v>0</v>
      </c>
      <c r="H20" s="7">
        <v>0</v>
      </c>
      <c r="I20" s="7">
        <v>0</v>
      </c>
      <c r="J20" s="7">
        <v>517</v>
      </c>
      <c r="K20" s="7">
        <v>0</v>
      </c>
      <c r="L20" s="7">
        <v>0</v>
      </c>
      <c r="M20" s="7">
        <v>0</v>
      </c>
      <c r="N20" s="7">
        <v>1050</v>
      </c>
      <c r="O20" s="7">
        <v>777</v>
      </c>
      <c r="Q20" s="8">
        <f t="shared" si="2"/>
        <v>2.215736170282081E-4</v>
      </c>
      <c r="R20" s="8">
        <f t="shared" si="3"/>
        <v>7.065878962978679E-4</v>
      </c>
      <c r="S20" s="8">
        <f t="shared" si="4"/>
        <v>8.6889208922399236E-3</v>
      </c>
      <c r="T20" s="8"/>
      <c r="U20" s="8">
        <f t="shared" si="5"/>
        <v>0</v>
      </c>
      <c r="V20" s="8">
        <f t="shared" si="6"/>
        <v>0</v>
      </c>
      <c r="W20" s="8">
        <f t="shared" si="7"/>
        <v>0</v>
      </c>
      <c r="X20" s="8">
        <f t="shared" si="8"/>
        <v>0</v>
      </c>
      <c r="Y20" s="8">
        <f t="shared" si="9"/>
        <v>5.1699999999999999E-4</v>
      </c>
      <c r="Z20" s="8">
        <f t="shared" si="10"/>
        <v>0</v>
      </c>
      <c r="AA20" s="8">
        <f t="shared" si="11"/>
        <v>0</v>
      </c>
      <c r="AB20" s="8">
        <f t="shared" si="12"/>
        <v>0</v>
      </c>
      <c r="AC20" s="8">
        <f t="shared" si="13"/>
        <v>1.0499999999999999E-3</v>
      </c>
      <c r="AD20" s="8">
        <f t="shared" si="14"/>
        <v>7.7700000000000002E-4</v>
      </c>
      <c r="AF20" s="16">
        <v>6953</v>
      </c>
      <c r="AG20" s="12">
        <v>4.9888427291186831E-2</v>
      </c>
      <c r="AH20" s="12"/>
      <c r="AI20" s="18">
        <v>6533</v>
      </c>
      <c r="AJ20" s="12">
        <v>4.5050822679189598E-2</v>
      </c>
      <c r="AK20">
        <v>42.5</v>
      </c>
    </row>
    <row r="21" spans="1:37">
      <c r="A21" s="2">
        <v>45</v>
      </c>
      <c r="B21" s="2">
        <v>50</v>
      </c>
      <c r="C21" s="7">
        <v>1108012</v>
      </c>
      <c r="D21" s="7">
        <v>1031723</v>
      </c>
      <c r="E21" s="7">
        <v>383111</v>
      </c>
      <c r="F21" s="7">
        <v>3500</v>
      </c>
      <c r="G21" s="7">
        <v>5700</v>
      </c>
      <c r="H21" s="7">
        <v>1740</v>
      </c>
      <c r="I21" s="7">
        <v>4000</v>
      </c>
      <c r="J21" s="7">
        <v>826</v>
      </c>
      <c r="K21" s="7">
        <v>5400</v>
      </c>
      <c r="L21" s="7">
        <v>8265</v>
      </c>
      <c r="M21" s="7">
        <v>2610</v>
      </c>
      <c r="N21" s="7">
        <v>5700</v>
      </c>
      <c r="O21" s="7">
        <v>1388</v>
      </c>
      <c r="Q21" s="8">
        <f t="shared" si="2"/>
        <v>1.1080800981705132E-3</v>
      </c>
      <c r="R21" s="8">
        <f t="shared" si="3"/>
        <v>1.0317330697147604E-3</v>
      </c>
      <c r="S21" s="8">
        <f t="shared" si="4"/>
        <v>2.963192810997899E-3</v>
      </c>
      <c r="T21" s="8"/>
      <c r="U21" s="8">
        <f t="shared" si="5"/>
        <v>3.5000000000000001E-3</v>
      </c>
      <c r="V21" s="8">
        <f t="shared" si="6"/>
        <v>5.7000000000000002E-3</v>
      </c>
      <c r="W21" s="8">
        <f t="shared" si="7"/>
        <v>1.74E-3</v>
      </c>
      <c r="X21" s="8">
        <f t="shared" si="8"/>
        <v>4.0000000000000001E-3</v>
      </c>
      <c r="Y21" s="8">
        <f t="shared" si="9"/>
        <v>8.2600000000000002E-4</v>
      </c>
      <c r="Z21" s="8">
        <f t="shared" si="10"/>
        <v>5.4000000000000003E-3</v>
      </c>
      <c r="AA21" s="8">
        <f t="shared" si="11"/>
        <v>8.2649999999999998E-3</v>
      </c>
      <c r="AB21" s="8">
        <f t="shared" si="12"/>
        <v>2.6099999999999999E-3</v>
      </c>
      <c r="AC21" s="8">
        <f t="shared" si="13"/>
        <v>5.7000000000000002E-3</v>
      </c>
      <c r="AD21" s="8">
        <f t="shared" si="14"/>
        <v>1.3879999999999999E-3</v>
      </c>
      <c r="AF21" s="16">
        <v>10597</v>
      </c>
      <c r="AG21" s="12">
        <v>7.6034469150684139E-2</v>
      </c>
      <c r="AH21" s="12"/>
      <c r="AI21" s="18">
        <v>9278</v>
      </c>
      <c r="AJ21" s="12">
        <v>6.3980029514391717E-2</v>
      </c>
      <c r="AK21">
        <v>47.5</v>
      </c>
    </row>
    <row r="22" spans="1:37">
      <c r="A22" s="2">
        <v>50</v>
      </c>
      <c r="B22" s="2">
        <v>60</v>
      </c>
      <c r="C22" s="7">
        <v>432204</v>
      </c>
      <c r="D22" s="7">
        <v>996107</v>
      </c>
      <c r="E22" s="7">
        <v>397975</v>
      </c>
      <c r="F22" s="7">
        <v>1600</v>
      </c>
      <c r="G22" s="7">
        <v>0</v>
      </c>
      <c r="H22" s="7">
        <v>3580</v>
      </c>
      <c r="I22" s="7">
        <v>1800</v>
      </c>
      <c r="J22" s="7">
        <v>3060</v>
      </c>
      <c r="K22" s="7">
        <v>1800</v>
      </c>
      <c r="L22" s="7">
        <v>0</v>
      </c>
      <c r="M22" s="7">
        <v>5370</v>
      </c>
      <c r="N22" s="7">
        <v>0</v>
      </c>
      <c r="O22" s="7">
        <v>4350</v>
      </c>
      <c r="Q22" s="8">
        <f t="shared" si="2"/>
        <v>4.3223056316148964E-4</v>
      </c>
      <c r="R22" s="8">
        <f t="shared" si="3"/>
        <v>9.961167220992077E-4</v>
      </c>
      <c r="S22" s="8">
        <f t="shared" si="4"/>
        <v>3.0781592252816774E-3</v>
      </c>
      <c r="T22" s="8"/>
      <c r="U22" s="8">
        <f t="shared" si="5"/>
        <v>1.6000000000000001E-3</v>
      </c>
      <c r="V22" s="8">
        <f t="shared" si="6"/>
        <v>0</v>
      </c>
      <c r="W22" s="8">
        <f t="shared" si="7"/>
        <v>3.5799999999999998E-3</v>
      </c>
      <c r="X22" s="8">
        <f t="shared" si="8"/>
        <v>1.8E-3</v>
      </c>
      <c r="Y22" s="8">
        <f t="shared" si="9"/>
        <v>3.0599999999999998E-3</v>
      </c>
      <c r="Z22" s="8">
        <f t="shared" si="10"/>
        <v>1.8E-3</v>
      </c>
      <c r="AA22" s="8">
        <f t="shared" si="11"/>
        <v>0</v>
      </c>
      <c r="AB22" s="8">
        <f t="shared" si="12"/>
        <v>5.3699999999999998E-3</v>
      </c>
      <c r="AC22" s="8">
        <f t="shared" si="13"/>
        <v>0</v>
      </c>
      <c r="AD22" s="8">
        <f t="shared" si="14"/>
        <v>4.3499999999999997E-3</v>
      </c>
      <c r="AF22" s="16">
        <v>7197</v>
      </c>
      <c r="AG22" s="12">
        <v>5.1639150181888631E-2</v>
      </c>
      <c r="AH22" s="12"/>
      <c r="AI22" s="18">
        <v>6386</v>
      </c>
      <c r="AJ22" s="12">
        <v>4.4037127449763472E-2</v>
      </c>
      <c r="AK22">
        <v>55</v>
      </c>
    </row>
    <row r="23" spans="1:37">
      <c r="A23" s="2">
        <v>60</v>
      </c>
      <c r="B23" s="2">
        <v>70</v>
      </c>
      <c r="C23" s="7">
        <v>44452</v>
      </c>
      <c r="D23" s="7">
        <v>114891</v>
      </c>
      <c r="E23" s="7">
        <v>108972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Q23" s="8">
        <f t="shared" si="2"/>
        <v>4.4454732010010405E-5</v>
      </c>
      <c r="R23" s="8">
        <f t="shared" si="3"/>
        <v>1.1489212134710435E-4</v>
      </c>
      <c r="S23" s="8">
        <f t="shared" si="4"/>
        <v>8.4284984508422635E-4</v>
      </c>
      <c r="T23" s="8"/>
      <c r="U23" s="8">
        <f t="shared" si="5"/>
        <v>0</v>
      </c>
      <c r="V23" s="8">
        <f t="shared" si="6"/>
        <v>0</v>
      </c>
      <c r="W23" s="8">
        <f t="shared" si="7"/>
        <v>0</v>
      </c>
      <c r="X23" s="8">
        <f t="shared" si="8"/>
        <v>0</v>
      </c>
      <c r="Y23" s="8">
        <f t="shared" si="9"/>
        <v>0</v>
      </c>
      <c r="Z23" s="8">
        <f t="shared" si="10"/>
        <v>0</v>
      </c>
      <c r="AA23" s="8">
        <f t="shared" si="11"/>
        <v>0</v>
      </c>
      <c r="AB23" s="8">
        <f t="shared" si="12"/>
        <v>0</v>
      </c>
      <c r="AC23" s="8">
        <f t="shared" si="13"/>
        <v>0</v>
      </c>
      <c r="AD23" s="8">
        <f t="shared" si="14"/>
        <v>0</v>
      </c>
      <c r="AF23" s="16">
        <v>5020</v>
      </c>
      <c r="AG23" s="12">
        <v>3.6018970948045147E-2</v>
      </c>
      <c r="AH23" s="12"/>
      <c r="AI23" s="18">
        <v>4599</v>
      </c>
      <c r="AJ23" s="12">
        <v>3.1714179320617319E-2</v>
      </c>
      <c r="AK23">
        <v>65</v>
      </c>
    </row>
    <row r="24" spans="1:37">
      <c r="A24" s="2">
        <v>70</v>
      </c>
      <c r="B24" s="2">
        <v>80</v>
      </c>
      <c r="C24" s="7">
        <v>190628</v>
      </c>
      <c r="D24" s="7">
        <v>380366</v>
      </c>
      <c r="E24" s="7">
        <v>203663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Q24" s="8">
        <f t="shared" si="2"/>
        <v>1.9063971595438369E-4</v>
      </c>
      <c r="R24" s="8">
        <f t="shared" si="3"/>
        <v>3.803697124083931E-4</v>
      </c>
      <c r="S24" s="8">
        <f t="shared" si="4"/>
        <v>1.5752425210089635E-3</v>
      </c>
      <c r="T24" s="8"/>
      <c r="U24" s="8">
        <f t="shared" si="5"/>
        <v>0</v>
      </c>
      <c r="V24" s="8">
        <f t="shared" si="6"/>
        <v>0</v>
      </c>
      <c r="W24" s="8">
        <f t="shared" si="7"/>
        <v>0</v>
      </c>
      <c r="X24" s="8">
        <f t="shared" si="8"/>
        <v>0</v>
      </c>
      <c r="Y24" s="8">
        <f t="shared" si="9"/>
        <v>0</v>
      </c>
      <c r="Z24" s="8">
        <f t="shared" si="10"/>
        <v>0</v>
      </c>
      <c r="AA24" s="8">
        <f t="shared" si="11"/>
        <v>0</v>
      </c>
      <c r="AB24" s="8">
        <f t="shared" si="12"/>
        <v>0</v>
      </c>
      <c r="AC24" s="8">
        <f t="shared" si="13"/>
        <v>0</v>
      </c>
      <c r="AD24" s="8">
        <f t="shared" si="14"/>
        <v>0</v>
      </c>
      <c r="AF24" s="16">
        <v>3429</v>
      </c>
      <c r="AG24" s="12">
        <v>2.4603396689411715E-2</v>
      </c>
      <c r="AH24" s="12"/>
      <c r="AI24" s="18">
        <v>3501</v>
      </c>
      <c r="AJ24" s="12">
        <v>2.4142496586536472E-2</v>
      </c>
      <c r="AK24">
        <v>75</v>
      </c>
    </row>
    <row r="25" spans="1:37">
      <c r="A25" s="2">
        <v>80</v>
      </c>
      <c r="B25" s="2">
        <v>90</v>
      </c>
      <c r="C25" s="7">
        <v>73375</v>
      </c>
      <c r="D25" s="7">
        <v>221740</v>
      </c>
      <c r="E25" s="7">
        <v>1914248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Q25" s="8">
        <f t="shared" si="2"/>
        <v>7.3379509611142663E-5</v>
      </c>
      <c r="R25" s="8">
        <f t="shared" si="3"/>
        <v>2.2174216420352264E-4</v>
      </c>
      <c r="S25" s="8">
        <f t="shared" si="4"/>
        <v>1.4805854992592501E-2</v>
      </c>
      <c r="T25" s="8"/>
      <c r="U25" s="8">
        <f t="shared" si="5"/>
        <v>0</v>
      </c>
      <c r="V25" s="8">
        <f t="shared" si="6"/>
        <v>0</v>
      </c>
      <c r="W25" s="8">
        <f t="shared" si="7"/>
        <v>0</v>
      </c>
      <c r="X25" s="8">
        <f t="shared" si="8"/>
        <v>0</v>
      </c>
      <c r="Y25" s="8">
        <f t="shared" si="9"/>
        <v>0</v>
      </c>
      <c r="Z25" s="8">
        <f t="shared" si="10"/>
        <v>0</v>
      </c>
      <c r="AA25" s="8">
        <f t="shared" si="11"/>
        <v>0</v>
      </c>
      <c r="AB25" s="8">
        <f t="shared" si="12"/>
        <v>0</v>
      </c>
      <c r="AC25" s="8">
        <f t="shared" si="13"/>
        <v>0</v>
      </c>
      <c r="AD25" s="8">
        <f t="shared" si="14"/>
        <v>0</v>
      </c>
      <c r="AF25" s="16">
        <v>2529</v>
      </c>
      <c r="AG25" s="12">
        <v>1.8145812256495253E-2</v>
      </c>
      <c r="AH25" s="12"/>
      <c r="AI25" s="18">
        <v>2657</v>
      </c>
      <c r="AJ25" s="12">
        <v>1.8322368874729336E-2</v>
      </c>
      <c r="AK25">
        <v>85</v>
      </c>
    </row>
    <row r="26" spans="1:37">
      <c r="A26" s="2">
        <v>90</v>
      </c>
      <c r="B26" s="2">
        <v>100</v>
      </c>
      <c r="C26" s="7">
        <v>138440</v>
      </c>
      <c r="D26" s="7">
        <v>372247</v>
      </c>
      <c r="E26" s="7">
        <v>288392</v>
      </c>
      <c r="F26" s="7">
        <v>16</v>
      </c>
      <c r="G26" s="7">
        <v>43</v>
      </c>
      <c r="H26" s="7">
        <v>24</v>
      </c>
      <c r="I26" s="7">
        <v>22</v>
      </c>
      <c r="J26" s="7">
        <v>36</v>
      </c>
      <c r="K26" s="7">
        <v>98</v>
      </c>
      <c r="L26" s="7">
        <v>138</v>
      </c>
      <c r="M26" s="7">
        <v>110</v>
      </c>
      <c r="N26" s="7">
        <v>30</v>
      </c>
      <c r="O26" s="7">
        <v>56</v>
      </c>
      <c r="Q26" s="8">
        <f t="shared" si="2"/>
        <v>1.3844850849153786E-4</v>
      </c>
      <c r="R26" s="8">
        <f t="shared" si="3"/>
        <v>3.7225063316617972E-4</v>
      </c>
      <c r="S26" s="8">
        <f t="shared" si="4"/>
        <v>2.2305835675543277E-3</v>
      </c>
      <c r="T26" s="8"/>
      <c r="U26" s="8">
        <f t="shared" si="5"/>
        <v>1.5999999999999999E-5</v>
      </c>
      <c r="V26" s="8">
        <f t="shared" si="6"/>
        <v>4.3000000000000002E-5</v>
      </c>
      <c r="W26" s="8">
        <f t="shared" si="7"/>
        <v>2.4000000000000001E-5</v>
      </c>
      <c r="X26" s="8">
        <f t="shared" si="8"/>
        <v>2.1999999999999999E-5</v>
      </c>
      <c r="Y26" s="8">
        <f t="shared" si="9"/>
        <v>3.6000000000000001E-5</v>
      </c>
      <c r="Z26" s="8">
        <f t="shared" si="10"/>
        <v>9.7999999999999997E-5</v>
      </c>
      <c r="AA26" s="8">
        <f t="shared" si="11"/>
        <v>1.3799999999999999E-4</v>
      </c>
      <c r="AB26" s="8">
        <f t="shared" si="12"/>
        <v>1.1E-4</v>
      </c>
      <c r="AC26" s="8">
        <f t="shared" si="13"/>
        <v>3.0000000000000001E-5</v>
      </c>
      <c r="AD26" s="8">
        <f t="shared" si="14"/>
        <v>5.5999999999999999E-5</v>
      </c>
      <c r="AF26" s="16">
        <v>3409</v>
      </c>
      <c r="AG26" s="12">
        <v>2.4459894813124682E-2</v>
      </c>
      <c r="AH26" s="12"/>
      <c r="AI26" s="18">
        <v>3542</v>
      </c>
      <c r="AJ26" s="12">
        <v>2.4425227909029474E-2</v>
      </c>
      <c r="AK26">
        <v>95</v>
      </c>
    </row>
    <row r="27" spans="1:37">
      <c r="A27" s="2">
        <v>100</v>
      </c>
      <c r="B27" s="2">
        <v>120</v>
      </c>
      <c r="C27" s="7">
        <v>87332</v>
      </c>
      <c r="D27" s="7">
        <v>190719</v>
      </c>
      <c r="E27" s="7">
        <v>79209</v>
      </c>
      <c r="F27" s="7">
        <v>89</v>
      </c>
      <c r="G27" s="7">
        <v>45</v>
      </c>
      <c r="H27" s="7">
        <v>100</v>
      </c>
      <c r="I27" s="7">
        <v>100</v>
      </c>
      <c r="J27" s="7">
        <v>70</v>
      </c>
      <c r="K27" s="7">
        <v>105</v>
      </c>
      <c r="L27" s="7">
        <v>68</v>
      </c>
      <c r="M27" s="7">
        <v>150</v>
      </c>
      <c r="N27" s="7">
        <v>90</v>
      </c>
      <c r="O27" s="7">
        <v>111</v>
      </c>
      <c r="Q27" s="8">
        <f t="shared" si="2"/>
        <v>8.7337367405251263E-5</v>
      </c>
      <c r="R27" s="8">
        <f t="shared" si="3"/>
        <v>1.9072086143560762E-4</v>
      </c>
      <c r="S27" s="8">
        <f t="shared" si="4"/>
        <v>6.1264630711812651E-4</v>
      </c>
      <c r="T27" s="8"/>
      <c r="U27" s="8">
        <f t="shared" si="5"/>
        <v>8.8999999999999995E-5</v>
      </c>
      <c r="V27" s="8">
        <f t="shared" si="6"/>
        <v>4.5000000000000003E-5</v>
      </c>
      <c r="W27" s="8">
        <f t="shared" si="7"/>
        <v>1E-4</v>
      </c>
      <c r="X27" s="8">
        <f t="shared" si="8"/>
        <v>1E-4</v>
      </c>
      <c r="Y27" s="8">
        <f t="shared" si="9"/>
        <v>6.9999999999999994E-5</v>
      </c>
      <c r="Z27" s="8">
        <f t="shared" si="10"/>
        <v>1.05E-4</v>
      </c>
      <c r="AA27" s="8">
        <f t="shared" si="11"/>
        <v>6.7999999999999999E-5</v>
      </c>
      <c r="AB27" s="8">
        <f t="shared" si="12"/>
        <v>1.4999999999999999E-4</v>
      </c>
      <c r="AC27" s="8">
        <f t="shared" si="13"/>
        <v>9.0000000000000006E-5</v>
      </c>
      <c r="AD27" s="8">
        <f t="shared" si="14"/>
        <v>1.11E-4</v>
      </c>
      <c r="AF27" s="16">
        <v>2081</v>
      </c>
      <c r="AG27" s="12">
        <v>1.4931370227665726E-2</v>
      </c>
      <c r="AH27" s="12"/>
      <c r="AI27" s="18">
        <v>1942</v>
      </c>
      <c r="AJ27" s="12">
        <v>1.3391810445887983E-2</v>
      </c>
      <c r="AK27">
        <v>110</v>
      </c>
    </row>
    <row r="28" spans="1:37">
      <c r="A28" s="2">
        <v>120</v>
      </c>
      <c r="B28" s="2">
        <v>140</v>
      </c>
      <c r="C28" s="7">
        <v>21172</v>
      </c>
      <c r="D28" s="7">
        <v>43658</v>
      </c>
      <c r="E28" s="7">
        <v>11245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Q28" s="8">
        <f t="shared" si="2"/>
        <v>2.1173301226400169E-5</v>
      </c>
      <c r="R28" s="8">
        <f t="shared" si="3"/>
        <v>4.3658426106238795E-5</v>
      </c>
      <c r="S28" s="8">
        <f t="shared" si="4"/>
        <v>8.6975062474508355E-5</v>
      </c>
      <c r="T28" s="8"/>
      <c r="U28" s="8">
        <f t="shared" si="5"/>
        <v>0</v>
      </c>
      <c r="V28" s="8">
        <f t="shared" si="6"/>
        <v>0</v>
      </c>
      <c r="W28" s="8">
        <f t="shared" si="7"/>
        <v>0</v>
      </c>
      <c r="X28" s="8">
        <f t="shared" si="8"/>
        <v>0</v>
      </c>
      <c r="Y28" s="8">
        <f t="shared" si="9"/>
        <v>0</v>
      </c>
      <c r="Z28" s="8">
        <f t="shared" si="10"/>
        <v>0</v>
      </c>
      <c r="AA28" s="8">
        <f t="shared" si="11"/>
        <v>0</v>
      </c>
      <c r="AB28" s="8">
        <f t="shared" si="12"/>
        <v>0</v>
      </c>
      <c r="AC28" s="8">
        <f t="shared" si="13"/>
        <v>0</v>
      </c>
      <c r="AD28" s="8">
        <f t="shared" si="14"/>
        <v>0</v>
      </c>
      <c r="AF28" s="16">
        <v>1186</v>
      </c>
      <c r="AG28" s="12">
        <v>8.509661263821024E-3</v>
      </c>
      <c r="AH28" s="12"/>
      <c r="AI28" s="18">
        <v>1158</v>
      </c>
      <c r="AJ28" s="12">
        <v>7.9854358889486533E-3</v>
      </c>
      <c r="AK28">
        <v>130</v>
      </c>
    </row>
    <row r="29" spans="1:37">
      <c r="A29" s="2">
        <v>140</v>
      </c>
      <c r="B29" s="2">
        <v>160</v>
      </c>
      <c r="C29" s="7">
        <v>14257</v>
      </c>
      <c r="D29" s="7">
        <v>141316</v>
      </c>
      <c r="E29" s="7">
        <v>19777</v>
      </c>
      <c r="F29" s="7">
        <v>3</v>
      </c>
      <c r="G29" s="7">
        <v>0</v>
      </c>
      <c r="H29" s="7">
        <v>1</v>
      </c>
      <c r="I29" s="7">
        <v>0</v>
      </c>
      <c r="J29" s="7">
        <v>0</v>
      </c>
      <c r="K29" s="7">
        <v>0</v>
      </c>
      <c r="L29" s="7">
        <v>0</v>
      </c>
      <c r="M29" s="7">
        <v>2</v>
      </c>
      <c r="N29" s="7">
        <v>0</v>
      </c>
      <c r="O29" s="7">
        <v>0</v>
      </c>
      <c r="Q29" s="8">
        <f t="shared" si="2"/>
        <v>1.4257876232041717E-5</v>
      </c>
      <c r="R29" s="8">
        <f t="shared" si="3"/>
        <v>1.4131737925762155E-4</v>
      </c>
      <c r="S29" s="8">
        <f t="shared" si="4"/>
        <v>1.5296627928486898E-4</v>
      </c>
      <c r="T29" s="8"/>
      <c r="U29" s="8">
        <f t="shared" si="5"/>
        <v>3.0000000000000001E-6</v>
      </c>
      <c r="V29" s="8">
        <f t="shared" si="6"/>
        <v>0</v>
      </c>
      <c r="W29" s="8">
        <f t="shared" si="7"/>
        <v>9.9999999999999995E-7</v>
      </c>
      <c r="X29" s="8">
        <f t="shared" si="8"/>
        <v>0</v>
      </c>
      <c r="Y29" s="8">
        <f t="shared" si="9"/>
        <v>0</v>
      </c>
      <c r="Z29" s="8">
        <f t="shared" si="10"/>
        <v>0</v>
      </c>
      <c r="AA29" s="8">
        <f t="shared" si="11"/>
        <v>0</v>
      </c>
      <c r="AB29" s="8">
        <f t="shared" si="12"/>
        <v>1.9999999999999999E-6</v>
      </c>
      <c r="AC29" s="8">
        <f t="shared" si="13"/>
        <v>0</v>
      </c>
      <c r="AD29" s="8">
        <f t="shared" si="14"/>
        <v>0</v>
      </c>
      <c r="AF29" s="16">
        <v>779</v>
      </c>
      <c r="AG29" s="12">
        <v>5.5893980813799139E-3</v>
      </c>
      <c r="AH29" s="12"/>
      <c r="AI29" s="18">
        <v>618</v>
      </c>
      <c r="AJ29" s="12">
        <v>4.2616574951384002E-3</v>
      </c>
      <c r="AK29">
        <v>150</v>
      </c>
    </row>
    <row r="30" spans="1:37">
      <c r="A30" s="2">
        <v>160</v>
      </c>
      <c r="B30" s="2">
        <v>180</v>
      </c>
      <c r="C30" s="7">
        <v>12709</v>
      </c>
      <c r="D30" s="7">
        <v>34467</v>
      </c>
      <c r="E30" s="7">
        <v>658260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Q30" s="8">
        <f t="shared" si="2"/>
        <v>1.2709781092306809E-5</v>
      </c>
      <c r="R30" s="8">
        <f t="shared" si="3"/>
        <v>3.4467336401203274E-5</v>
      </c>
      <c r="S30" s="8">
        <f t="shared" si="4"/>
        <v>5.0913476766980765E-3</v>
      </c>
      <c r="T30" s="8"/>
      <c r="U30" s="8">
        <f t="shared" si="5"/>
        <v>0</v>
      </c>
      <c r="V30" s="8">
        <f t="shared" si="6"/>
        <v>0</v>
      </c>
      <c r="W30" s="8">
        <f t="shared" si="7"/>
        <v>0</v>
      </c>
      <c r="X30" s="8">
        <f t="shared" si="8"/>
        <v>0</v>
      </c>
      <c r="Y30" s="8">
        <f t="shared" si="9"/>
        <v>0</v>
      </c>
      <c r="Z30" s="8">
        <f t="shared" si="10"/>
        <v>0</v>
      </c>
      <c r="AA30" s="8">
        <f t="shared" si="11"/>
        <v>0</v>
      </c>
      <c r="AB30" s="8">
        <f t="shared" si="12"/>
        <v>0</v>
      </c>
      <c r="AC30" s="8">
        <f t="shared" si="13"/>
        <v>0</v>
      </c>
      <c r="AD30" s="8">
        <f t="shared" si="14"/>
        <v>0</v>
      </c>
      <c r="AF30" s="16">
        <v>461</v>
      </c>
      <c r="AG30" s="12">
        <v>3.3077182484160979E-3</v>
      </c>
      <c r="AH30" s="12"/>
      <c r="AI30" s="18">
        <v>348</v>
      </c>
      <c r="AJ30" s="12">
        <v>2.3997682982332741E-3</v>
      </c>
      <c r="AK30">
        <v>170</v>
      </c>
    </row>
    <row r="31" spans="1:37">
      <c r="A31" s="2">
        <v>180</v>
      </c>
      <c r="B31" s="2">
        <v>200</v>
      </c>
      <c r="C31" s="7">
        <v>5645</v>
      </c>
      <c r="D31" s="7">
        <v>42509</v>
      </c>
      <c r="E31" s="7">
        <v>10495</v>
      </c>
      <c r="F31" s="7">
        <v>0</v>
      </c>
      <c r="G31" s="7">
        <v>22</v>
      </c>
      <c r="H31" s="7">
        <v>34</v>
      </c>
      <c r="I31" s="7">
        <v>0</v>
      </c>
      <c r="J31" s="7">
        <v>35</v>
      </c>
      <c r="K31" s="7">
        <v>0</v>
      </c>
      <c r="L31" s="7">
        <v>30</v>
      </c>
      <c r="M31" s="7">
        <v>51</v>
      </c>
      <c r="N31" s="7">
        <v>52</v>
      </c>
      <c r="O31" s="7">
        <v>45</v>
      </c>
      <c r="Q31" s="8">
        <f t="shared" si="2"/>
        <v>5.6453469404415714E-6</v>
      </c>
      <c r="R31" s="8">
        <f t="shared" si="3"/>
        <v>4.2509414891889347E-5</v>
      </c>
      <c r="S31" s="8">
        <f t="shared" si="4"/>
        <v>8.1174146791459785E-5</v>
      </c>
      <c r="T31" s="8"/>
      <c r="U31" s="8">
        <f t="shared" si="5"/>
        <v>0</v>
      </c>
      <c r="V31" s="8">
        <f t="shared" si="6"/>
        <v>2.1999999999999999E-5</v>
      </c>
      <c r="W31" s="8">
        <f t="shared" si="7"/>
        <v>3.4E-5</v>
      </c>
      <c r="X31" s="8">
        <f t="shared" si="8"/>
        <v>0</v>
      </c>
      <c r="Y31" s="8">
        <f t="shared" si="9"/>
        <v>3.4999999999999997E-5</v>
      </c>
      <c r="Z31" s="8">
        <f t="shared" si="10"/>
        <v>0</v>
      </c>
      <c r="AA31" s="8">
        <f t="shared" si="11"/>
        <v>3.0000000000000001E-5</v>
      </c>
      <c r="AB31" s="8">
        <f t="shared" si="12"/>
        <v>5.1E-5</v>
      </c>
      <c r="AC31" s="8">
        <f t="shared" si="13"/>
        <v>5.1999999999999997E-5</v>
      </c>
      <c r="AD31" s="8">
        <f t="shared" si="14"/>
        <v>4.5000000000000003E-5</v>
      </c>
      <c r="AF31" s="16">
        <v>483</v>
      </c>
      <c r="AG31" s="12">
        <v>3.4655703123318339E-3</v>
      </c>
      <c r="AH31" s="12"/>
      <c r="AI31" s="18">
        <v>458</v>
      </c>
      <c r="AJ31" s="12">
        <v>3.1583157488242514E-3</v>
      </c>
      <c r="AK31">
        <v>190</v>
      </c>
    </row>
    <row r="32" spans="1:37">
      <c r="A32" s="2">
        <v>200</v>
      </c>
      <c r="B32" s="2">
        <v>250</v>
      </c>
      <c r="C32" s="7">
        <v>6007</v>
      </c>
      <c r="D32" s="7">
        <v>58594</v>
      </c>
      <c r="E32" s="7">
        <v>4061</v>
      </c>
      <c r="F32" s="7">
        <v>0</v>
      </c>
      <c r="G32" s="7">
        <v>12</v>
      </c>
      <c r="H32" s="7">
        <v>0</v>
      </c>
      <c r="I32" s="7">
        <v>0</v>
      </c>
      <c r="J32" s="7">
        <v>0</v>
      </c>
      <c r="K32" s="7">
        <v>0</v>
      </c>
      <c r="L32" s="7">
        <v>15</v>
      </c>
      <c r="M32" s="7">
        <v>0</v>
      </c>
      <c r="N32" s="7">
        <v>0</v>
      </c>
      <c r="O32" s="7">
        <v>0</v>
      </c>
      <c r="Q32" s="8">
        <f t="shared" si="2"/>
        <v>6.0073691888808718E-6</v>
      </c>
      <c r="R32" s="8">
        <f t="shared" si="3"/>
        <v>5.8594571883021578E-5</v>
      </c>
      <c r="S32" s="8">
        <f t="shared" si="4"/>
        <v>3.1410024785147038E-5</v>
      </c>
      <c r="T32" s="8"/>
      <c r="U32" s="8">
        <f t="shared" si="5"/>
        <v>0</v>
      </c>
      <c r="V32" s="8">
        <f t="shared" si="6"/>
        <v>1.2E-5</v>
      </c>
      <c r="W32" s="8">
        <f t="shared" si="7"/>
        <v>0</v>
      </c>
      <c r="X32" s="8">
        <f t="shared" si="8"/>
        <v>0</v>
      </c>
      <c r="Y32" s="8">
        <f t="shared" si="9"/>
        <v>0</v>
      </c>
      <c r="Z32" s="8">
        <f t="shared" si="10"/>
        <v>0</v>
      </c>
      <c r="AA32" s="8">
        <f t="shared" si="11"/>
        <v>1.5E-5</v>
      </c>
      <c r="AB32" s="8">
        <f t="shared" si="12"/>
        <v>0</v>
      </c>
      <c r="AC32" s="8">
        <f t="shared" si="13"/>
        <v>0</v>
      </c>
      <c r="AD32" s="8">
        <f t="shared" si="14"/>
        <v>0</v>
      </c>
      <c r="AF32" s="16">
        <v>163</v>
      </c>
      <c r="AG32" s="12">
        <v>1.1695402917393145E-3</v>
      </c>
      <c r="AH32" s="12"/>
      <c r="AI32" s="18">
        <v>137</v>
      </c>
      <c r="AJ32" s="12">
        <v>9.447363702814901E-4</v>
      </c>
      <c r="AK32">
        <v>225</v>
      </c>
    </row>
    <row r="33" spans="1:37">
      <c r="A33" s="2">
        <v>250</v>
      </c>
      <c r="B33" s="2">
        <v>300</v>
      </c>
      <c r="C33" s="7">
        <v>707</v>
      </c>
      <c r="D33" s="7">
        <v>22978</v>
      </c>
      <c r="E33" s="7">
        <v>281925</v>
      </c>
      <c r="F33" s="7">
        <v>0</v>
      </c>
      <c r="G33" s="7">
        <v>3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Q33" s="8">
        <f t="shared" si="2"/>
        <v>7.0704345206238994E-7</v>
      </c>
      <c r="R33" s="8">
        <f t="shared" si="3"/>
        <v>2.2978224267468849E-5</v>
      </c>
      <c r="S33" s="8">
        <f t="shared" si="4"/>
        <v>2.1805642052579607E-3</v>
      </c>
      <c r="T33" s="8"/>
      <c r="U33" s="8">
        <f t="shared" si="5"/>
        <v>0</v>
      </c>
      <c r="V33" s="8">
        <f t="shared" si="6"/>
        <v>3.0000000000000001E-6</v>
      </c>
      <c r="W33" s="8">
        <f t="shared" si="7"/>
        <v>0</v>
      </c>
      <c r="X33" s="8">
        <f t="shared" si="8"/>
        <v>0</v>
      </c>
      <c r="Y33" s="8">
        <f t="shared" si="9"/>
        <v>0</v>
      </c>
      <c r="Z33" s="8">
        <f t="shared" si="10"/>
        <v>0</v>
      </c>
      <c r="AA33" s="8">
        <f t="shared" si="11"/>
        <v>0</v>
      </c>
      <c r="AB33" s="8">
        <f t="shared" si="12"/>
        <v>0</v>
      </c>
      <c r="AC33" s="8">
        <f t="shared" si="13"/>
        <v>0</v>
      </c>
      <c r="AD33" s="8">
        <f t="shared" si="14"/>
        <v>0</v>
      </c>
      <c r="AF33" s="16">
        <v>55</v>
      </c>
      <c r="AG33" s="12">
        <v>3.9463015978933924E-4</v>
      </c>
      <c r="AH33" s="12"/>
      <c r="AI33" s="18">
        <v>43</v>
      </c>
      <c r="AJ33" s="12">
        <v>2.9652309432192753E-4</v>
      </c>
      <c r="AK33">
        <v>275</v>
      </c>
    </row>
    <row r="34" spans="1:37">
      <c r="A34" s="2">
        <v>300</v>
      </c>
      <c r="B34" s="2">
        <v>350</v>
      </c>
      <c r="C34" s="7">
        <v>355</v>
      </c>
      <c r="D34" s="7">
        <v>2297</v>
      </c>
      <c r="E34" s="7">
        <v>84539</v>
      </c>
      <c r="F34" s="7">
        <v>0</v>
      </c>
      <c r="G34" s="7">
        <v>3</v>
      </c>
      <c r="H34" s="7">
        <v>0</v>
      </c>
      <c r="I34" s="7">
        <v>0</v>
      </c>
      <c r="J34" s="7">
        <v>0</v>
      </c>
      <c r="K34" s="7">
        <v>0</v>
      </c>
      <c r="L34" s="7">
        <v>5</v>
      </c>
      <c r="M34" s="7">
        <v>0</v>
      </c>
      <c r="N34" s="7">
        <v>0</v>
      </c>
      <c r="O34" s="7">
        <v>0</v>
      </c>
      <c r="Q34" s="8">
        <f t="shared" si="2"/>
        <v>3.550218182208606E-7</v>
      </c>
      <c r="R34" s="8">
        <f t="shared" si="3"/>
        <v>2.297022418938809E-6</v>
      </c>
      <c r="S34" s="8">
        <f t="shared" si="4"/>
        <v>6.5387148123899179E-4</v>
      </c>
      <c r="T34" s="8"/>
      <c r="U34" s="8">
        <f t="shared" si="5"/>
        <v>0</v>
      </c>
      <c r="V34" s="8">
        <f t="shared" si="6"/>
        <v>3.0000000000000001E-6</v>
      </c>
      <c r="W34" s="8">
        <f t="shared" si="7"/>
        <v>0</v>
      </c>
      <c r="X34" s="8">
        <f t="shared" si="8"/>
        <v>0</v>
      </c>
      <c r="Y34" s="8">
        <f t="shared" si="9"/>
        <v>0</v>
      </c>
      <c r="Z34" s="8">
        <f t="shared" si="10"/>
        <v>0</v>
      </c>
      <c r="AA34" s="8">
        <f t="shared" si="11"/>
        <v>5.0000000000000004E-6</v>
      </c>
      <c r="AB34" s="8">
        <f t="shared" si="12"/>
        <v>0</v>
      </c>
      <c r="AC34" s="8">
        <f t="shared" si="13"/>
        <v>0</v>
      </c>
      <c r="AD34" s="8">
        <f t="shared" si="14"/>
        <v>0</v>
      </c>
      <c r="AF34" s="16">
        <v>14</v>
      </c>
      <c r="AG34" s="12">
        <v>1.0045131340092272E-4</v>
      </c>
      <c r="AH34" s="12"/>
      <c r="AI34" s="18">
        <v>27</v>
      </c>
      <c r="AJ34" s="12">
        <v>1.8618891969051263E-4</v>
      </c>
      <c r="AK34">
        <v>325</v>
      </c>
    </row>
    <row r="35" spans="1:37">
      <c r="A35" s="2">
        <v>350</v>
      </c>
      <c r="B35" s="2">
        <v>400</v>
      </c>
      <c r="C35" s="7">
        <v>0</v>
      </c>
      <c r="D35" s="7">
        <v>1148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Q35" s="8">
        <f t="shared" si="2"/>
        <v>0</v>
      </c>
      <c r="R35" s="8">
        <f t="shared" si="3"/>
        <v>1.1480112045893569E-6</v>
      </c>
      <c r="S35" s="8">
        <f t="shared" si="4"/>
        <v>0</v>
      </c>
      <c r="T35" s="8"/>
      <c r="U35" s="8">
        <f t="shared" si="5"/>
        <v>0</v>
      </c>
      <c r="V35" s="8">
        <f t="shared" si="6"/>
        <v>0</v>
      </c>
      <c r="W35" s="8">
        <f t="shared" si="7"/>
        <v>0</v>
      </c>
      <c r="X35" s="8">
        <f t="shared" si="8"/>
        <v>0</v>
      </c>
      <c r="Y35" s="8">
        <f t="shared" si="9"/>
        <v>0</v>
      </c>
      <c r="Z35" s="8">
        <f t="shared" si="10"/>
        <v>0</v>
      </c>
      <c r="AA35" s="8">
        <f t="shared" si="11"/>
        <v>0</v>
      </c>
      <c r="AB35" s="8">
        <f t="shared" si="12"/>
        <v>0</v>
      </c>
      <c r="AC35" s="8">
        <f t="shared" si="13"/>
        <v>0</v>
      </c>
      <c r="AD35" s="8">
        <f t="shared" si="14"/>
        <v>0</v>
      </c>
      <c r="AF35" s="16">
        <v>5</v>
      </c>
      <c r="AG35" s="12">
        <v>3.5875469071758111E-5</v>
      </c>
      <c r="AH35" s="12"/>
      <c r="AI35" s="18">
        <v>14</v>
      </c>
      <c r="AJ35" s="12">
        <v>9.6542402802488031E-5</v>
      </c>
      <c r="AK35">
        <v>375</v>
      </c>
    </row>
    <row r="36" spans="1:37">
      <c r="A36" s="2">
        <v>400</v>
      </c>
      <c r="B36" s="2">
        <v>450</v>
      </c>
      <c r="C36" s="7">
        <v>0</v>
      </c>
      <c r="D36" s="7">
        <v>5744</v>
      </c>
      <c r="E36" s="7">
        <v>109804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Q36" s="8">
        <f t="shared" si="2"/>
        <v>0</v>
      </c>
      <c r="R36" s="8">
        <f t="shared" si="3"/>
        <v>5.7440560619871648E-6</v>
      </c>
      <c r="S36" s="8">
        <f t="shared" si="4"/>
        <v>8.4928499421528818E-4</v>
      </c>
      <c r="T36" s="8"/>
      <c r="U36" s="8">
        <f t="shared" si="5"/>
        <v>0</v>
      </c>
      <c r="V36" s="8">
        <f t="shared" si="6"/>
        <v>0</v>
      </c>
      <c r="W36" s="8">
        <f t="shared" si="7"/>
        <v>0</v>
      </c>
      <c r="X36" s="8">
        <f t="shared" si="8"/>
        <v>0</v>
      </c>
      <c r="Y36" s="8">
        <f t="shared" si="9"/>
        <v>0</v>
      </c>
      <c r="Z36" s="8">
        <f t="shared" si="10"/>
        <v>0</v>
      </c>
      <c r="AA36" s="8">
        <f t="shared" si="11"/>
        <v>0</v>
      </c>
      <c r="AB36" s="8">
        <f t="shared" si="12"/>
        <v>0</v>
      </c>
      <c r="AC36" s="8">
        <f t="shared" si="13"/>
        <v>0</v>
      </c>
      <c r="AD36" s="8">
        <f t="shared" si="14"/>
        <v>0</v>
      </c>
      <c r="AF36" s="16">
        <v>0</v>
      </c>
      <c r="AG36" s="12">
        <v>0</v>
      </c>
      <c r="AH36" s="12"/>
      <c r="AI36" s="18">
        <v>1</v>
      </c>
      <c r="AJ36" s="12">
        <v>6.8958859144634311E-6</v>
      </c>
      <c r="AK36">
        <v>425</v>
      </c>
    </row>
    <row r="37" spans="1:37">
      <c r="A37" s="2">
        <v>450</v>
      </c>
      <c r="B37" s="2">
        <v>500</v>
      </c>
      <c r="C37" s="7">
        <v>0</v>
      </c>
      <c r="D37" s="7">
        <v>16084</v>
      </c>
      <c r="E37" s="7">
        <v>0</v>
      </c>
      <c r="F37" s="7">
        <v>5</v>
      </c>
      <c r="G37" s="7">
        <v>0</v>
      </c>
      <c r="H37" s="7">
        <v>0</v>
      </c>
      <c r="I37" s="7">
        <v>0</v>
      </c>
      <c r="J37" s="7">
        <v>2</v>
      </c>
      <c r="K37" s="7">
        <v>2</v>
      </c>
      <c r="L37" s="7">
        <v>0</v>
      </c>
      <c r="M37" s="7">
        <v>0</v>
      </c>
      <c r="N37" s="7">
        <v>8</v>
      </c>
      <c r="O37" s="7">
        <v>6</v>
      </c>
      <c r="Q37" s="8">
        <f t="shared" si="2"/>
        <v>0</v>
      </c>
      <c r="R37" s="8">
        <f t="shared" si="3"/>
        <v>1.6084156981372139E-5</v>
      </c>
      <c r="S37" s="8">
        <f t="shared" si="4"/>
        <v>0</v>
      </c>
      <c r="T37" s="8"/>
      <c r="U37" s="8">
        <f t="shared" si="5"/>
        <v>5.0000000000000004E-6</v>
      </c>
      <c r="V37" s="8">
        <f t="shared" si="6"/>
        <v>0</v>
      </c>
      <c r="W37" s="8">
        <f t="shared" si="7"/>
        <v>0</v>
      </c>
      <c r="X37" s="8">
        <f t="shared" si="8"/>
        <v>0</v>
      </c>
      <c r="Y37" s="8">
        <f t="shared" si="9"/>
        <v>1.9999999999999999E-6</v>
      </c>
      <c r="Z37" s="8">
        <f t="shared" si="10"/>
        <v>1.9999999999999999E-6</v>
      </c>
      <c r="AA37" s="8">
        <f t="shared" si="11"/>
        <v>0</v>
      </c>
      <c r="AB37" s="8">
        <f t="shared" si="12"/>
        <v>0</v>
      </c>
      <c r="AC37" s="8">
        <f t="shared" si="13"/>
        <v>7.9999999999999996E-6</v>
      </c>
      <c r="AD37" s="8">
        <f t="shared" si="14"/>
        <v>6.0000000000000002E-6</v>
      </c>
      <c r="AF37" s="16">
        <v>0</v>
      </c>
      <c r="AG37" s="12">
        <v>0</v>
      </c>
      <c r="AH37" s="12"/>
      <c r="AI37" s="18">
        <v>1</v>
      </c>
      <c r="AJ37" s="12">
        <v>6.8958859144634311E-6</v>
      </c>
      <c r="AK37">
        <v>475</v>
      </c>
    </row>
    <row r="38" spans="1:37">
      <c r="A38" s="2">
        <v>500</v>
      </c>
      <c r="B38" s="2">
        <v>550</v>
      </c>
      <c r="C38" s="7">
        <v>68</v>
      </c>
      <c r="D38" s="7">
        <v>4595</v>
      </c>
      <c r="E38" s="7">
        <v>0</v>
      </c>
      <c r="F38" s="7">
        <v>4</v>
      </c>
      <c r="G38" s="7">
        <v>3</v>
      </c>
      <c r="H38" s="7">
        <v>1</v>
      </c>
      <c r="I38" s="7">
        <v>5</v>
      </c>
      <c r="J38" s="7">
        <v>3</v>
      </c>
      <c r="K38" s="7">
        <v>0</v>
      </c>
      <c r="L38" s="7">
        <v>5</v>
      </c>
      <c r="M38" s="7">
        <v>2</v>
      </c>
      <c r="N38" s="7">
        <v>5</v>
      </c>
      <c r="O38" s="7">
        <v>5</v>
      </c>
      <c r="Q38" s="8">
        <f t="shared" si="2"/>
        <v>6.8004179264840897E-8</v>
      </c>
      <c r="R38" s="8">
        <f t="shared" si="3"/>
        <v>4.5950448476377131E-6</v>
      </c>
      <c r="S38" s="8">
        <f t="shared" si="4"/>
        <v>0</v>
      </c>
      <c r="T38" s="8"/>
      <c r="U38" s="8">
        <f t="shared" si="5"/>
        <v>3.9999999999999998E-6</v>
      </c>
      <c r="V38" s="8">
        <f t="shared" si="6"/>
        <v>3.0000000000000001E-6</v>
      </c>
      <c r="W38" s="8">
        <f t="shared" si="7"/>
        <v>9.9999999999999995E-7</v>
      </c>
      <c r="X38" s="8">
        <f t="shared" si="8"/>
        <v>5.0000000000000004E-6</v>
      </c>
      <c r="Y38" s="8">
        <f t="shared" si="9"/>
        <v>3.0000000000000001E-6</v>
      </c>
      <c r="Z38" s="8">
        <f t="shared" si="10"/>
        <v>0</v>
      </c>
      <c r="AA38" s="8">
        <f t="shared" si="11"/>
        <v>5.0000000000000004E-6</v>
      </c>
      <c r="AB38" s="8">
        <f t="shared" si="12"/>
        <v>1.9999999999999999E-6</v>
      </c>
      <c r="AC38" s="8">
        <f t="shared" si="13"/>
        <v>5.0000000000000004E-6</v>
      </c>
      <c r="AD38" s="8">
        <f t="shared" si="14"/>
        <v>5.0000000000000004E-6</v>
      </c>
      <c r="AF38" s="16">
        <v>0</v>
      </c>
      <c r="AG38" s="12">
        <v>0</v>
      </c>
      <c r="AH38" s="12"/>
      <c r="AI38" s="18">
        <v>0</v>
      </c>
      <c r="AJ38" s="12">
        <v>0</v>
      </c>
      <c r="AK38">
        <v>525</v>
      </c>
    </row>
    <row r="39" spans="1:37">
      <c r="A39" s="2">
        <v>550</v>
      </c>
      <c r="B39" s="2">
        <v>600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Q39" s="8">
        <f t="shared" si="2"/>
        <v>0</v>
      </c>
      <c r="R39" s="8">
        <f t="shared" si="3"/>
        <v>0</v>
      </c>
      <c r="S39" s="8">
        <f t="shared" si="4"/>
        <v>0</v>
      </c>
      <c r="T39" s="8"/>
      <c r="U39" s="8">
        <f t="shared" si="5"/>
        <v>0</v>
      </c>
      <c r="V39" s="8">
        <f t="shared" si="6"/>
        <v>0</v>
      </c>
      <c r="W39" s="8">
        <f t="shared" si="7"/>
        <v>0</v>
      </c>
      <c r="X39" s="8">
        <f t="shared" si="8"/>
        <v>0</v>
      </c>
      <c r="Y39" s="8">
        <f t="shared" si="9"/>
        <v>0</v>
      </c>
      <c r="Z39" s="8">
        <f t="shared" si="10"/>
        <v>0</v>
      </c>
      <c r="AA39" s="8">
        <f t="shared" si="11"/>
        <v>0</v>
      </c>
      <c r="AB39" s="8">
        <f t="shared" si="12"/>
        <v>0</v>
      </c>
      <c r="AC39" s="8">
        <f t="shared" si="13"/>
        <v>0</v>
      </c>
      <c r="AD39" s="8">
        <f t="shared" si="14"/>
        <v>0</v>
      </c>
      <c r="AF39" s="16">
        <v>0</v>
      </c>
      <c r="AG39" s="12">
        <v>0</v>
      </c>
      <c r="AH39" s="12"/>
      <c r="AI39" s="18">
        <v>0</v>
      </c>
      <c r="AJ39" s="12">
        <v>0</v>
      </c>
      <c r="AK39">
        <v>575</v>
      </c>
    </row>
    <row r="40" spans="1:37">
      <c r="A40" s="2">
        <v>600</v>
      </c>
      <c r="B40" s="2">
        <v>650</v>
      </c>
      <c r="C40" s="7">
        <v>0</v>
      </c>
      <c r="D40" s="7">
        <v>2537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Q40" s="8">
        <f t="shared" si="2"/>
        <v>0</v>
      </c>
      <c r="R40" s="8">
        <f t="shared" si="3"/>
        <v>2.5370247613616707E-6</v>
      </c>
      <c r="S40" s="8">
        <f t="shared" si="4"/>
        <v>0</v>
      </c>
      <c r="T40" s="8"/>
      <c r="U40" s="8">
        <f t="shared" si="5"/>
        <v>0</v>
      </c>
      <c r="V40" s="8">
        <f t="shared" si="6"/>
        <v>0</v>
      </c>
      <c r="W40" s="8">
        <f t="shared" si="7"/>
        <v>0</v>
      </c>
      <c r="X40" s="8">
        <f t="shared" si="8"/>
        <v>0</v>
      </c>
      <c r="Y40" s="8">
        <f t="shared" si="9"/>
        <v>0</v>
      </c>
      <c r="Z40" s="8">
        <f t="shared" si="10"/>
        <v>0</v>
      </c>
      <c r="AA40" s="8">
        <f t="shared" si="11"/>
        <v>0</v>
      </c>
      <c r="AB40" s="8">
        <f t="shared" si="12"/>
        <v>0</v>
      </c>
      <c r="AC40" s="8">
        <f t="shared" si="13"/>
        <v>0</v>
      </c>
      <c r="AD40" s="8">
        <f t="shared" si="14"/>
        <v>0</v>
      </c>
      <c r="AF40" s="16">
        <v>0</v>
      </c>
      <c r="AG40" s="12">
        <v>0</v>
      </c>
      <c r="AH40" s="12"/>
      <c r="AI40" s="18">
        <v>0</v>
      </c>
      <c r="AJ40" s="12">
        <v>0</v>
      </c>
      <c r="AK40">
        <v>625</v>
      </c>
    </row>
    <row r="41" spans="1:37">
      <c r="A41" s="2">
        <v>650</v>
      </c>
      <c r="B41" s="2">
        <v>700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Q41" s="8">
        <f t="shared" si="2"/>
        <v>0</v>
      </c>
      <c r="R41" s="8">
        <f t="shared" si="3"/>
        <v>0</v>
      </c>
      <c r="S41" s="8">
        <f t="shared" si="4"/>
        <v>0</v>
      </c>
      <c r="T41" s="8"/>
      <c r="U41" s="8">
        <f t="shared" si="5"/>
        <v>0</v>
      </c>
      <c r="V41" s="8">
        <f t="shared" si="6"/>
        <v>0</v>
      </c>
      <c r="W41" s="8">
        <f t="shared" si="7"/>
        <v>0</v>
      </c>
      <c r="X41" s="8">
        <f t="shared" si="8"/>
        <v>0</v>
      </c>
      <c r="Y41" s="8">
        <f t="shared" si="9"/>
        <v>0</v>
      </c>
      <c r="Z41" s="8">
        <f t="shared" si="10"/>
        <v>0</v>
      </c>
      <c r="AA41" s="8">
        <f t="shared" si="11"/>
        <v>0</v>
      </c>
      <c r="AB41" s="8">
        <f t="shared" si="12"/>
        <v>0</v>
      </c>
      <c r="AC41" s="8">
        <f t="shared" si="13"/>
        <v>0</v>
      </c>
      <c r="AD41" s="8">
        <f t="shared" si="14"/>
        <v>0</v>
      </c>
      <c r="AF41" s="16">
        <v>0</v>
      </c>
      <c r="AG41" s="12">
        <v>0</v>
      </c>
      <c r="AH41" s="12"/>
      <c r="AI41" s="18">
        <v>1</v>
      </c>
      <c r="AJ41" s="12">
        <v>6.8958859144634311E-6</v>
      </c>
      <c r="AK41">
        <v>675</v>
      </c>
    </row>
    <row r="42" spans="1:37">
      <c r="A42" s="2">
        <v>700</v>
      </c>
      <c r="B42" s="2">
        <v>750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Q42" s="8">
        <f t="shared" si="2"/>
        <v>0</v>
      </c>
      <c r="R42" s="8">
        <f t="shared" si="3"/>
        <v>0</v>
      </c>
      <c r="S42" s="8">
        <f t="shared" si="4"/>
        <v>0</v>
      </c>
      <c r="T42" s="8"/>
      <c r="U42" s="8">
        <f t="shared" si="5"/>
        <v>0</v>
      </c>
      <c r="V42" s="8">
        <f t="shared" si="6"/>
        <v>0</v>
      </c>
      <c r="W42" s="8">
        <f t="shared" si="7"/>
        <v>0</v>
      </c>
      <c r="X42" s="8">
        <f t="shared" si="8"/>
        <v>0</v>
      </c>
      <c r="Y42" s="8">
        <f t="shared" si="9"/>
        <v>0</v>
      </c>
      <c r="Z42" s="8">
        <f t="shared" si="10"/>
        <v>0</v>
      </c>
      <c r="AA42" s="8">
        <f t="shared" si="11"/>
        <v>0</v>
      </c>
      <c r="AB42" s="8">
        <f t="shared" si="12"/>
        <v>0</v>
      </c>
      <c r="AC42" s="8">
        <f t="shared" si="13"/>
        <v>0</v>
      </c>
      <c r="AD42" s="8">
        <f t="shared" si="14"/>
        <v>0</v>
      </c>
      <c r="AF42" s="16">
        <v>0</v>
      </c>
      <c r="AG42" s="12">
        <v>0</v>
      </c>
      <c r="AH42" s="12"/>
      <c r="AI42" s="18">
        <v>0</v>
      </c>
      <c r="AJ42" s="12">
        <v>0</v>
      </c>
      <c r="AK42">
        <v>725</v>
      </c>
    </row>
    <row r="43" spans="1:37">
      <c r="A43" s="2">
        <v>750</v>
      </c>
      <c r="B43" s="2">
        <v>800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Q43" s="8">
        <f t="shared" si="2"/>
        <v>0</v>
      </c>
      <c r="R43" s="8">
        <f t="shared" si="3"/>
        <v>0</v>
      </c>
      <c r="S43" s="8">
        <f t="shared" si="4"/>
        <v>0</v>
      </c>
      <c r="T43" s="8"/>
      <c r="U43" s="8">
        <f t="shared" si="5"/>
        <v>0</v>
      </c>
      <c r="V43" s="8">
        <f t="shared" si="6"/>
        <v>0</v>
      </c>
      <c r="W43" s="8">
        <f t="shared" si="7"/>
        <v>0</v>
      </c>
      <c r="X43" s="8">
        <f t="shared" si="8"/>
        <v>0</v>
      </c>
      <c r="Y43" s="8">
        <f t="shared" si="9"/>
        <v>0</v>
      </c>
      <c r="Z43" s="8">
        <f t="shared" si="10"/>
        <v>0</v>
      </c>
      <c r="AA43" s="8">
        <f t="shared" si="11"/>
        <v>0</v>
      </c>
      <c r="AB43" s="8">
        <f t="shared" si="12"/>
        <v>0</v>
      </c>
      <c r="AC43" s="8">
        <f t="shared" si="13"/>
        <v>0</v>
      </c>
      <c r="AD43" s="8">
        <f t="shared" si="14"/>
        <v>0</v>
      </c>
      <c r="AF43" s="16">
        <v>0</v>
      </c>
      <c r="AG43" s="12">
        <v>0</v>
      </c>
      <c r="AH43" s="12"/>
      <c r="AI43" s="18">
        <v>0</v>
      </c>
      <c r="AJ43" s="12">
        <v>0</v>
      </c>
      <c r="AK43">
        <v>775</v>
      </c>
    </row>
    <row r="44" spans="1:37">
      <c r="A44" s="2">
        <v>800</v>
      </c>
      <c r="B44" s="2">
        <v>850</v>
      </c>
      <c r="C44" s="7">
        <v>0</v>
      </c>
      <c r="D44" s="7">
        <v>0</v>
      </c>
      <c r="E44" s="7">
        <v>37704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Q44" s="8">
        <f t="shared" si="2"/>
        <v>0</v>
      </c>
      <c r="R44" s="8">
        <f t="shared" si="3"/>
        <v>0</v>
      </c>
      <c r="S44" s="8">
        <f t="shared" si="4"/>
        <v>2.9162363321821817E-4</v>
      </c>
      <c r="T44" s="8"/>
      <c r="U44" s="8">
        <f t="shared" si="5"/>
        <v>0</v>
      </c>
      <c r="V44" s="8">
        <f t="shared" si="6"/>
        <v>0</v>
      </c>
      <c r="W44" s="8">
        <f t="shared" si="7"/>
        <v>0</v>
      </c>
      <c r="X44" s="8">
        <f t="shared" si="8"/>
        <v>0</v>
      </c>
      <c r="Y44" s="8">
        <f t="shared" si="9"/>
        <v>0</v>
      </c>
      <c r="Z44" s="8">
        <f t="shared" si="10"/>
        <v>0</v>
      </c>
      <c r="AA44" s="8">
        <f t="shared" si="11"/>
        <v>0</v>
      </c>
      <c r="AB44" s="8">
        <f t="shared" si="12"/>
        <v>0</v>
      </c>
      <c r="AC44" s="8">
        <f t="shared" si="13"/>
        <v>0</v>
      </c>
      <c r="AD44" s="8">
        <f t="shared" si="14"/>
        <v>0</v>
      </c>
      <c r="AF44" s="16">
        <v>0</v>
      </c>
      <c r="AG44" s="12">
        <v>0</v>
      </c>
      <c r="AH44" s="12"/>
      <c r="AI44" s="18">
        <v>0</v>
      </c>
      <c r="AJ44" s="12">
        <v>0</v>
      </c>
      <c r="AK44">
        <v>825</v>
      </c>
    </row>
    <row r="45" spans="1:37">
      <c r="A45" s="2">
        <v>850</v>
      </c>
      <c r="B45" s="2">
        <v>900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Q45" s="8">
        <f t="shared" si="2"/>
        <v>0</v>
      </c>
      <c r="R45" s="8">
        <f t="shared" si="3"/>
        <v>0</v>
      </c>
      <c r="S45" s="8">
        <f t="shared" si="4"/>
        <v>0</v>
      </c>
      <c r="T45" s="8"/>
      <c r="U45" s="8">
        <f t="shared" si="5"/>
        <v>0</v>
      </c>
      <c r="V45" s="8">
        <f t="shared" si="6"/>
        <v>0</v>
      </c>
      <c r="W45" s="8">
        <f t="shared" si="7"/>
        <v>0</v>
      </c>
      <c r="X45" s="8">
        <f t="shared" si="8"/>
        <v>0</v>
      </c>
      <c r="Y45" s="8">
        <f t="shared" si="9"/>
        <v>0</v>
      </c>
      <c r="Z45" s="8">
        <f t="shared" si="10"/>
        <v>0</v>
      </c>
      <c r="AA45" s="8">
        <f t="shared" si="11"/>
        <v>0</v>
      </c>
      <c r="AB45" s="8">
        <f t="shared" si="12"/>
        <v>0</v>
      </c>
      <c r="AC45" s="8">
        <f t="shared" si="13"/>
        <v>0</v>
      </c>
      <c r="AD45" s="8">
        <f t="shared" si="14"/>
        <v>0</v>
      </c>
      <c r="AF45" s="16">
        <v>0</v>
      </c>
      <c r="AG45" s="12">
        <v>0</v>
      </c>
      <c r="AH45" s="12"/>
      <c r="AI45" s="18">
        <v>0</v>
      </c>
      <c r="AJ45" s="12">
        <v>0</v>
      </c>
      <c r="AK45">
        <v>875</v>
      </c>
    </row>
    <row r="46" spans="1:37">
      <c r="A46" s="2">
        <v>900</v>
      </c>
      <c r="B46" s="2">
        <v>950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Q46" s="8">
        <f t="shared" si="2"/>
        <v>0</v>
      </c>
      <c r="R46" s="8">
        <f t="shared" si="3"/>
        <v>0</v>
      </c>
      <c r="S46" s="8">
        <f t="shared" si="4"/>
        <v>0</v>
      </c>
      <c r="T46" s="8"/>
      <c r="U46" s="8">
        <f t="shared" si="5"/>
        <v>0</v>
      </c>
      <c r="V46" s="8">
        <f t="shared" si="6"/>
        <v>0</v>
      </c>
      <c r="W46" s="8">
        <f t="shared" si="7"/>
        <v>0</v>
      </c>
      <c r="X46" s="8">
        <f t="shared" si="8"/>
        <v>0</v>
      </c>
      <c r="Y46" s="8">
        <f t="shared" si="9"/>
        <v>0</v>
      </c>
      <c r="Z46" s="8">
        <f t="shared" si="10"/>
        <v>0</v>
      </c>
      <c r="AA46" s="8">
        <f t="shared" si="11"/>
        <v>0</v>
      </c>
      <c r="AB46" s="8">
        <f t="shared" si="12"/>
        <v>0</v>
      </c>
      <c r="AC46" s="8">
        <f t="shared" si="13"/>
        <v>0</v>
      </c>
      <c r="AD46" s="8">
        <f t="shared" si="14"/>
        <v>0</v>
      </c>
      <c r="AF46" s="16">
        <v>0</v>
      </c>
      <c r="AG46" s="12">
        <v>0</v>
      </c>
      <c r="AH46" s="12"/>
      <c r="AI46" s="18">
        <v>0</v>
      </c>
      <c r="AJ46" s="12">
        <v>0</v>
      </c>
      <c r="AK46">
        <v>925</v>
      </c>
    </row>
    <row r="47" spans="1:37">
      <c r="A47" s="2">
        <v>950</v>
      </c>
      <c r="B47" s="2">
        <v>1000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3</v>
      </c>
      <c r="J47" s="7">
        <v>1</v>
      </c>
      <c r="K47" s="7">
        <v>0</v>
      </c>
      <c r="L47" s="7">
        <v>0</v>
      </c>
      <c r="M47" s="7">
        <v>0</v>
      </c>
      <c r="N47" s="7">
        <v>2</v>
      </c>
      <c r="O47" s="7">
        <v>1</v>
      </c>
      <c r="Q47" s="8">
        <f t="shared" si="2"/>
        <v>0</v>
      </c>
      <c r="R47" s="8">
        <f t="shared" si="3"/>
        <v>0</v>
      </c>
      <c r="S47" s="8">
        <f t="shared" si="4"/>
        <v>0</v>
      </c>
      <c r="T47" s="8"/>
      <c r="U47" s="8">
        <f t="shared" si="5"/>
        <v>0</v>
      </c>
      <c r="V47" s="8">
        <f t="shared" si="6"/>
        <v>0</v>
      </c>
      <c r="W47" s="8">
        <f t="shared" si="7"/>
        <v>0</v>
      </c>
      <c r="X47" s="8">
        <f t="shared" si="8"/>
        <v>3.0000000000000001E-6</v>
      </c>
      <c r="Y47" s="8">
        <f t="shared" si="9"/>
        <v>9.9999999999999995E-7</v>
      </c>
      <c r="Z47" s="8">
        <f t="shared" si="10"/>
        <v>0</v>
      </c>
      <c r="AA47" s="8">
        <f t="shared" si="11"/>
        <v>0</v>
      </c>
      <c r="AB47" s="8">
        <f t="shared" si="12"/>
        <v>0</v>
      </c>
      <c r="AC47" s="8">
        <f t="shared" si="13"/>
        <v>1.9999999999999999E-6</v>
      </c>
      <c r="AD47" s="8">
        <f t="shared" si="14"/>
        <v>9.9999999999999995E-7</v>
      </c>
      <c r="AF47" s="16">
        <v>0</v>
      </c>
      <c r="AG47" s="12">
        <v>0</v>
      </c>
      <c r="AH47" s="12"/>
      <c r="AI47" s="18">
        <v>0</v>
      </c>
      <c r="AJ47" s="12">
        <v>0</v>
      </c>
      <c r="AK47">
        <v>975</v>
      </c>
    </row>
    <row r="48" spans="1:37">
      <c r="A48" s="2">
        <v>1000</v>
      </c>
      <c r="B48" s="2">
        <v>2000</v>
      </c>
      <c r="C48" s="7">
        <v>222</v>
      </c>
      <c r="D48" s="7">
        <v>990</v>
      </c>
      <c r="E48" s="7">
        <v>0</v>
      </c>
      <c r="F48" s="7">
        <v>0</v>
      </c>
      <c r="G48" s="7">
        <v>0</v>
      </c>
      <c r="H48" s="7">
        <v>0</v>
      </c>
      <c r="I48" s="7">
        <v>1</v>
      </c>
      <c r="J48" s="7">
        <v>1</v>
      </c>
      <c r="K48" s="7">
        <v>0</v>
      </c>
      <c r="L48" s="7">
        <v>0</v>
      </c>
      <c r="M48" s="7">
        <v>0</v>
      </c>
      <c r="N48" s="7">
        <v>2</v>
      </c>
      <c r="O48" s="7">
        <v>1</v>
      </c>
      <c r="Q48" s="8">
        <f t="shared" si="2"/>
        <v>2.2201364407050998E-7</v>
      </c>
      <c r="R48" s="8">
        <f t="shared" si="3"/>
        <v>9.9000966249430593E-7</v>
      </c>
      <c r="S48" s="8">
        <f t="shared" si="4"/>
        <v>0</v>
      </c>
      <c r="T48" s="8"/>
      <c r="U48" s="8">
        <f t="shared" si="5"/>
        <v>0</v>
      </c>
      <c r="V48" s="8">
        <f t="shared" si="6"/>
        <v>0</v>
      </c>
      <c r="W48" s="8">
        <f t="shared" si="7"/>
        <v>0</v>
      </c>
      <c r="X48" s="8">
        <f t="shared" si="8"/>
        <v>9.9999999999999995E-7</v>
      </c>
      <c r="Y48" s="8">
        <f t="shared" si="9"/>
        <v>9.9999999999999995E-7</v>
      </c>
      <c r="Z48" s="8">
        <f t="shared" si="10"/>
        <v>0</v>
      </c>
      <c r="AA48" s="8">
        <f t="shared" si="11"/>
        <v>0</v>
      </c>
      <c r="AB48" s="8">
        <f t="shared" si="12"/>
        <v>0</v>
      </c>
      <c r="AC48" s="8">
        <f t="shared" si="13"/>
        <v>1.9999999999999999E-6</v>
      </c>
      <c r="AD48" s="8">
        <f t="shared" si="14"/>
        <v>9.9999999999999995E-7</v>
      </c>
      <c r="AF48" s="16">
        <v>0</v>
      </c>
      <c r="AG48" s="12">
        <v>0</v>
      </c>
      <c r="AH48" s="12"/>
      <c r="AI48" s="18">
        <v>0</v>
      </c>
      <c r="AJ48" s="12">
        <v>0</v>
      </c>
      <c r="AK48">
        <v>1500</v>
      </c>
    </row>
    <row r="49" spans="1:37">
      <c r="A49" s="2">
        <v>2000</v>
      </c>
      <c r="B49" s="2">
        <v>3000</v>
      </c>
      <c r="C49" s="7">
        <v>0</v>
      </c>
      <c r="D49" s="7">
        <v>443</v>
      </c>
      <c r="E49" s="7">
        <v>12723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Q49" s="8">
        <f t="shared" si="2"/>
        <v>0</v>
      </c>
      <c r="R49" s="8">
        <f t="shared" si="3"/>
        <v>4.430043237221995E-7</v>
      </c>
      <c r="S49" s="8">
        <f t="shared" si="4"/>
        <v>9.8406733647236094E-5</v>
      </c>
      <c r="T49" s="8"/>
      <c r="U49" s="8">
        <f t="shared" si="5"/>
        <v>0</v>
      </c>
      <c r="V49" s="8">
        <f t="shared" si="6"/>
        <v>0</v>
      </c>
      <c r="W49" s="8">
        <f t="shared" si="7"/>
        <v>0</v>
      </c>
      <c r="X49" s="8">
        <f t="shared" si="8"/>
        <v>0</v>
      </c>
      <c r="Y49" s="8">
        <f t="shared" si="9"/>
        <v>0</v>
      </c>
      <c r="Z49" s="8">
        <f t="shared" si="10"/>
        <v>0</v>
      </c>
      <c r="AA49" s="8">
        <f t="shared" si="11"/>
        <v>0</v>
      </c>
      <c r="AB49" s="8">
        <f t="shared" si="12"/>
        <v>0</v>
      </c>
      <c r="AC49" s="8">
        <f t="shared" si="13"/>
        <v>0</v>
      </c>
      <c r="AD49" s="8">
        <f t="shared" si="14"/>
        <v>0</v>
      </c>
      <c r="AF49" s="16">
        <v>0</v>
      </c>
      <c r="AG49" s="12">
        <v>0</v>
      </c>
      <c r="AH49" s="12"/>
      <c r="AI49" s="18">
        <v>0</v>
      </c>
      <c r="AJ49" s="12">
        <v>0</v>
      </c>
      <c r="AK49">
        <v>2500</v>
      </c>
    </row>
    <row r="50" spans="1:37">
      <c r="A50" s="2">
        <v>3000</v>
      </c>
      <c r="B50" s="2">
        <v>4000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Q50" s="8">
        <f t="shared" si="2"/>
        <v>0</v>
      </c>
      <c r="R50" s="8">
        <f t="shared" si="3"/>
        <v>0</v>
      </c>
      <c r="S50" s="8">
        <f t="shared" si="4"/>
        <v>0</v>
      </c>
      <c r="T50" s="8"/>
      <c r="U50" s="8">
        <f t="shared" si="5"/>
        <v>0</v>
      </c>
      <c r="V50" s="8">
        <f t="shared" si="6"/>
        <v>0</v>
      </c>
      <c r="W50" s="8">
        <f t="shared" si="7"/>
        <v>0</v>
      </c>
      <c r="X50" s="8">
        <f t="shared" si="8"/>
        <v>0</v>
      </c>
      <c r="Y50" s="8">
        <f t="shared" si="9"/>
        <v>0</v>
      </c>
      <c r="Z50" s="8">
        <f t="shared" si="10"/>
        <v>0</v>
      </c>
      <c r="AA50" s="8">
        <f t="shared" si="11"/>
        <v>0</v>
      </c>
      <c r="AB50" s="8">
        <f t="shared" si="12"/>
        <v>0</v>
      </c>
      <c r="AC50" s="8">
        <f t="shared" si="13"/>
        <v>0</v>
      </c>
      <c r="AD50" s="8">
        <f t="shared" si="14"/>
        <v>0</v>
      </c>
      <c r="AF50" s="16">
        <v>0</v>
      </c>
      <c r="AG50" s="12">
        <v>0</v>
      </c>
      <c r="AH50" s="12"/>
      <c r="AI50" s="18">
        <v>0</v>
      </c>
      <c r="AJ50" s="12">
        <v>0</v>
      </c>
      <c r="AK50">
        <v>3500</v>
      </c>
    </row>
    <row r="51" spans="1:37">
      <c r="A51" s="2">
        <v>4000</v>
      </c>
      <c r="B51" s="2">
        <v>5000</v>
      </c>
      <c r="C51" s="7">
        <v>0</v>
      </c>
      <c r="D51" s="7">
        <v>0</v>
      </c>
      <c r="E51" s="7">
        <v>7990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Q51" s="8">
        <f t="shared" si="2"/>
        <v>0</v>
      </c>
      <c r="R51" s="8">
        <f t="shared" si="3"/>
        <v>0</v>
      </c>
      <c r="S51" s="8">
        <f t="shared" si="4"/>
        <v>6.1799088410077527E-5</v>
      </c>
      <c r="T51" s="8"/>
      <c r="U51" s="8">
        <f t="shared" si="5"/>
        <v>0</v>
      </c>
      <c r="V51" s="8">
        <f t="shared" si="6"/>
        <v>0</v>
      </c>
      <c r="W51" s="8">
        <f t="shared" si="7"/>
        <v>0</v>
      </c>
      <c r="X51" s="8">
        <f t="shared" si="8"/>
        <v>0</v>
      </c>
      <c r="Y51" s="8">
        <f t="shared" si="9"/>
        <v>0</v>
      </c>
      <c r="Z51" s="8">
        <f t="shared" si="10"/>
        <v>0</v>
      </c>
      <c r="AA51" s="8">
        <f t="shared" si="11"/>
        <v>0</v>
      </c>
      <c r="AB51" s="8">
        <f t="shared" si="12"/>
        <v>0</v>
      </c>
      <c r="AC51" s="8">
        <f t="shared" si="13"/>
        <v>0</v>
      </c>
      <c r="AD51" s="8">
        <f t="shared" si="14"/>
        <v>0</v>
      </c>
      <c r="AF51" s="16">
        <v>0</v>
      </c>
      <c r="AG51" s="12">
        <v>0</v>
      </c>
      <c r="AH51" s="12"/>
      <c r="AI51" s="18">
        <v>0</v>
      </c>
      <c r="AJ51" s="12">
        <v>0</v>
      </c>
      <c r="AK51">
        <v>4500</v>
      </c>
    </row>
    <row r="52" spans="1:37">
      <c r="A52" s="2">
        <v>5000</v>
      </c>
      <c r="B52" s="2">
        <v>6000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Q52" s="8">
        <f t="shared" si="2"/>
        <v>0</v>
      </c>
      <c r="R52" s="8">
        <f t="shared" si="3"/>
        <v>0</v>
      </c>
      <c r="S52" s="8">
        <f t="shared" si="4"/>
        <v>0</v>
      </c>
      <c r="T52" s="8"/>
      <c r="U52" s="8">
        <f t="shared" si="5"/>
        <v>0</v>
      </c>
      <c r="V52" s="8">
        <f t="shared" si="6"/>
        <v>0</v>
      </c>
      <c r="W52" s="8">
        <f t="shared" si="7"/>
        <v>0</v>
      </c>
      <c r="X52" s="8">
        <f t="shared" si="8"/>
        <v>0</v>
      </c>
      <c r="Y52" s="8">
        <f t="shared" si="9"/>
        <v>0</v>
      </c>
      <c r="Z52" s="8">
        <f t="shared" si="10"/>
        <v>0</v>
      </c>
      <c r="AA52" s="8">
        <f t="shared" si="11"/>
        <v>0</v>
      </c>
      <c r="AB52" s="8">
        <f t="shared" si="12"/>
        <v>0</v>
      </c>
      <c r="AC52" s="8">
        <f t="shared" si="13"/>
        <v>0</v>
      </c>
      <c r="AD52" s="8">
        <f t="shared" si="14"/>
        <v>0</v>
      </c>
      <c r="AF52" s="16">
        <v>0</v>
      </c>
      <c r="AG52" s="12">
        <v>0</v>
      </c>
      <c r="AH52" s="12"/>
      <c r="AI52" s="18">
        <v>0</v>
      </c>
      <c r="AJ52" s="12">
        <v>0</v>
      </c>
      <c r="AK52">
        <v>5500</v>
      </c>
    </row>
    <row r="53" spans="1:37">
      <c r="A53" s="2">
        <v>6000</v>
      </c>
      <c r="B53" s="2">
        <v>7000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Q53" s="8">
        <f t="shared" si="2"/>
        <v>0</v>
      </c>
      <c r="R53" s="8">
        <f t="shared" si="3"/>
        <v>0</v>
      </c>
      <c r="S53" s="8">
        <f t="shared" si="4"/>
        <v>0</v>
      </c>
      <c r="T53" s="8"/>
      <c r="U53" s="8">
        <f t="shared" si="5"/>
        <v>0</v>
      </c>
      <c r="V53" s="8">
        <f t="shared" si="6"/>
        <v>0</v>
      </c>
      <c r="W53" s="8">
        <f t="shared" si="7"/>
        <v>0</v>
      </c>
      <c r="X53" s="8">
        <f t="shared" si="8"/>
        <v>0</v>
      </c>
      <c r="Y53" s="8">
        <f t="shared" si="9"/>
        <v>0</v>
      </c>
      <c r="Z53" s="8">
        <f t="shared" si="10"/>
        <v>0</v>
      </c>
      <c r="AA53" s="8">
        <f t="shared" si="11"/>
        <v>0</v>
      </c>
      <c r="AB53" s="8">
        <f t="shared" si="12"/>
        <v>0</v>
      </c>
      <c r="AC53" s="8">
        <f t="shared" si="13"/>
        <v>0</v>
      </c>
      <c r="AD53" s="8">
        <f t="shared" si="14"/>
        <v>0</v>
      </c>
      <c r="AF53" s="16">
        <v>0</v>
      </c>
      <c r="AG53" s="12">
        <v>0</v>
      </c>
      <c r="AH53" s="12"/>
      <c r="AI53" s="18">
        <v>0</v>
      </c>
      <c r="AJ53" s="12">
        <v>0</v>
      </c>
      <c r="AK53">
        <v>6500</v>
      </c>
    </row>
    <row r="54" spans="1:37">
      <c r="A54" s="2">
        <v>7000</v>
      </c>
      <c r="B54" s="2">
        <v>8000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Q54" s="8">
        <f t="shared" si="2"/>
        <v>0</v>
      </c>
      <c r="R54" s="8">
        <f t="shared" si="3"/>
        <v>0</v>
      </c>
      <c r="S54" s="8">
        <f t="shared" si="4"/>
        <v>0</v>
      </c>
      <c r="T54" s="8"/>
      <c r="U54" s="8">
        <f t="shared" si="5"/>
        <v>0</v>
      </c>
      <c r="V54" s="8">
        <f t="shared" si="6"/>
        <v>0</v>
      </c>
      <c r="W54" s="8">
        <f t="shared" si="7"/>
        <v>0</v>
      </c>
      <c r="X54" s="8">
        <f t="shared" si="8"/>
        <v>0</v>
      </c>
      <c r="Y54" s="8">
        <f t="shared" si="9"/>
        <v>0</v>
      </c>
      <c r="Z54" s="8">
        <f t="shared" si="10"/>
        <v>0</v>
      </c>
      <c r="AA54" s="8">
        <f t="shared" si="11"/>
        <v>0</v>
      </c>
      <c r="AB54" s="8">
        <f t="shared" si="12"/>
        <v>0</v>
      </c>
      <c r="AC54" s="8">
        <f t="shared" si="13"/>
        <v>0</v>
      </c>
      <c r="AD54" s="8">
        <f t="shared" si="14"/>
        <v>0</v>
      </c>
      <c r="AF54" s="16">
        <v>0</v>
      </c>
      <c r="AG54" s="12">
        <v>0</v>
      </c>
      <c r="AH54" s="12"/>
      <c r="AI54" s="18">
        <v>0</v>
      </c>
      <c r="AJ54" s="12">
        <v>0</v>
      </c>
      <c r="AK54">
        <v>7500</v>
      </c>
    </row>
    <row r="55" spans="1:37">
      <c r="A55" s="2">
        <v>8000</v>
      </c>
      <c r="B55" s="2">
        <v>9000</v>
      </c>
      <c r="C55" s="7">
        <v>0</v>
      </c>
      <c r="D55" s="7">
        <v>0</v>
      </c>
      <c r="E55" s="7">
        <v>4547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Q55" s="8">
        <f t="shared" si="2"/>
        <v>0</v>
      </c>
      <c r="R55" s="8">
        <f t="shared" si="3"/>
        <v>0</v>
      </c>
      <c r="S55" s="8">
        <f t="shared" si="4"/>
        <v>3.5169018147762517E-5</v>
      </c>
      <c r="T55" s="8"/>
      <c r="U55" s="8">
        <f t="shared" si="5"/>
        <v>0</v>
      </c>
      <c r="V55" s="8">
        <f t="shared" si="6"/>
        <v>0</v>
      </c>
      <c r="W55" s="8">
        <f t="shared" si="7"/>
        <v>0</v>
      </c>
      <c r="X55" s="8">
        <f t="shared" si="8"/>
        <v>0</v>
      </c>
      <c r="Y55" s="8">
        <f t="shared" si="9"/>
        <v>0</v>
      </c>
      <c r="Z55" s="8">
        <f t="shared" si="10"/>
        <v>0</v>
      </c>
      <c r="AA55" s="8">
        <f t="shared" si="11"/>
        <v>0</v>
      </c>
      <c r="AB55" s="8">
        <f t="shared" si="12"/>
        <v>0</v>
      </c>
      <c r="AC55" s="8">
        <f t="shared" si="13"/>
        <v>0</v>
      </c>
      <c r="AD55" s="8">
        <f t="shared" si="14"/>
        <v>0</v>
      </c>
      <c r="AF55" s="16">
        <v>0</v>
      </c>
      <c r="AG55" s="12">
        <v>0</v>
      </c>
      <c r="AH55" s="12"/>
      <c r="AI55" s="18">
        <v>0</v>
      </c>
      <c r="AJ55" s="12">
        <v>0</v>
      </c>
      <c r="AK55">
        <v>8500</v>
      </c>
    </row>
    <row r="56" spans="1:37">
      <c r="A56" s="2">
        <v>9000</v>
      </c>
      <c r="B56" s="2">
        <v>10000</v>
      </c>
      <c r="C56" s="7">
        <v>0</v>
      </c>
      <c r="D56" s="7">
        <v>0</v>
      </c>
      <c r="E56" s="7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Q56" s="8">
        <f t="shared" si="2"/>
        <v>0</v>
      </c>
      <c r="R56" s="8">
        <f t="shared" si="3"/>
        <v>0</v>
      </c>
      <c r="S56" s="8">
        <f t="shared" si="4"/>
        <v>0</v>
      </c>
      <c r="T56" s="8"/>
      <c r="U56" s="8">
        <f t="shared" si="5"/>
        <v>0</v>
      </c>
      <c r="V56" s="8">
        <f t="shared" si="6"/>
        <v>0</v>
      </c>
      <c r="W56" s="8">
        <f t="shared" si="7"/>
        <v>0</v>
      </c>
      <c r="X56" s="8">
        <f t="shared" si="8"/>
        <v>0</v>
      </c>
      <c r="Y56" s="8">
        <f t="shared" si="9"/>
        <v>0</v>
      </c>
      <c r="Z56" s="8">
        <f t="shared" si="10"/>
        <v>0</v>
      </c>
      <c r="AA56" s="8">
        <f t="shared" si="11"/>
        <v>0</v>
      </c>
      <c r="AB56" s="8">
        <f t="shared" si="12"/>
        <v>0</v>
      </c>
      <c r="AC56" s="8">
        <f t="shared" si="13"/>
        <v>0</v>
      </c>
      <c r="AD56" s="8">
        <f t="shared" si="14"/>
        <v>0</v>
      </c>
      <c r="AF56" s="16">
        <v>0</v>
      </c>
      <c r="AG56" s="12">
        <v>0</v>
      </c>
      <c r="AH56" s="12"/>
      <c r="AI56" s="18">
        <v>0</v>
      </c>
      <c r="AJ56" s="12">
        <v>0</v>
      </c>
      <c r="AK56">
        <v>9500</v>
      </c>
    </row>
    <row r="57" spans="1:37">
      <c r="A57" s="2">
        <v>10000</v>
      </c>
      <c r="B57" s="2">
        <v>20000</v>
      </c>
      <c r="C57" s="7">
        <v>0</v>
      </c>
      <c r="D57" s="7">
        <v>0</v>
      </c>
      <c r="E57" s="7">
        <v>774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Q57" s="8">
        <f t="shared" si="2"/>
        <v>0</v>
      </c>
      <c r="R57" s="8">
        <f t="shared" si="3"/>
        <v>0</v>
      </c>
      <c r="S57" s="8">
        <f t="shared" si="4"/>
        <v>5.9865449849061337E-6</v>
      </c>
      <c r="T57" s="8"/>
      <c r="U57" s="8">
        <f t="shared" si="5"/>
        <v>0</v>
      </c>
      <c r="V57" s="8">
        <f t="shared" si="6"/>
        <v>0</v>
      </c>
      <c r="W57" s="8">
        <f t="shared" si="7"/>
        <v>0</v>
      </c>
      <c r="X57" s="8">
        <f t="shared" si="8"/>
        <v>0</v>
      </c>
      <c r="Y57" s="8">
        <f t="shared" si="9"/>
        <v>0</v>
      </c>
      <c r="Z57" s="8">
        <f t="shared" si="10"/>
        <v>0</v>
      </c>
      <c r="AA57" s="8">
        <f t="shared" si="11"/>
        <v>0</v>
      </c>
      <c r="AB57" s="8">
        <f t="shared" si="12"/>
        <v>0</v>
      </c>
      <c r="AC57" s="8">
        <f t="shared" si="13"/>
        <v>0</v>
      </c>
      <c r="AD57" s="8">
        <f t="shared" si="14"/>
        <v>0</v>
      </c>
      <c r="AF57" s="16">
        <v>0</v>
      </c>
      <c r="AG57" s="12">
        <v>0</v>
      </c>
      <c r="AH57" s="12"/>
      <c r="AI57" s="18">
        <v>0</v>
      </c>
      <c r="AJ57" s="12">
        <v>0</v>
      </c>
      <c r="AK57">
        <v>15000</v>
      </c>
    </row>
    <row r="58" spans="1:37">
      <c r="A58" s="2">
        <v>20000</v>
      </c>
      <c r="B58" s="2">
        <v>30000</v>
      </c>
      <c r="C58" s="7">
        <v>0</v>
      </c>
      <c r="D58" s="7">
        <v>0</v>
      </c>
      <c r="E58" s="7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Q58" s="8">
        <f t="shared" si="2"/>
        <v>0</v>
      </c>
      <c r="R58" s="8">
        <f t="shared" si="3"/>
        <v>0</v>
      </c>
      <c r="S58" s="8">
        <f t="shared" si="4"/>
        <v>0</v>
      </c>
      <c r="T58" s="8"/>
      <c r="U58" s="8">
        <f t="shared" si="5"/>
        <v>0</v>
      </c>
      <c r="V58" s="8">
        <f t="shared" si="6"/>
        <v>0</v>
      </c>
      <c r="W58" s="8">
        <f t="shared" si="7"/>
        <v>0</v>
      </c>
      <c r="X58" s="8">
        <f t="shared" si="8"/>
        <v>0</v>
      </c>
      <c r="Y58" s="8">
        <f t="shared" si="9"/>
        <v>0</v>
      </c>
      <c r="Z58" s="8">
        <f t="shared" si="10"/>
        <v>0</v>
      </c>
      <c r="AA58" s="8">
        <f t="shared" si="11"/>
        <v>0</v>
      </c>
      <c r="AB58" s="8">
        <f t="shared" si="12"/>
        <v>0</v>
      </c>
      <c r="AC58" s="8">
        <f t="shared" si="13"/>
        <v>0</v>
      </c>
      <c r="AD58" s="8">
        <f t="shared" si="14"/>
        <v>0</v>
      </c>
      <c r="AF58" s="16">
        <v>0</v>
      </c>
      <c r="AG58" s="12">
        <v>0</v>
      </c>
      <c r="AH58" s="12"/>
      <c r="AI58" s="18">
        <v>0</v>
      </c>
      <c r="AJ58" s="12">
        <v>0</v>
      </c>
      <c r="AK58">
        <v>25000</v>
      </c>
    </row>
    <row r="59" spans="1:37">
      <c r="A59" s="2">
        <v>30000</v>
      </c>
      <c r="B59" s="2">
        <v>100000</v>
      </c>
      <c r="C59" s="7">
        <v>0</v>
      </c>
      <c r="D59" s="7">
        <v>0</v>
      </c>
      <c r="E59" s="7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Q59" s="8">
        <f t="shared" si="2"/>
        <v>0</v>
      </c>
      <c r="R59" s="8">
        <f t="shared" si="3"/>
        <v>0</v>
      </c>
      <c r="S59" s="8">
        <f t="shared" si="4"/>
        <v>0</v>
      </c>
      <c r="T59" s="8"/>
      <c r="U59" s="8">
        <f t="shared" si="5"/>
        <v>0</v>
      </c>
      <c r="V59" s="8">
        <f t="shared" si="6"/>
        <v>0</v>
      </c>
      <c r="W59" s="8">
        <f t="shared" si="7"/>
        <v>0</v>
      </c>
      <c r="X59" s="8">
        <f t="shared" si="8"/>
        <v>0</v>
      </c>
      <c r="Y59" s="8">
        <f t="shared" si="9"/>
        <v>0</v>
      </c>
      <c r="Z59" s="8">
        <f t="shared" si="10"/>
        <v>0</v>
      </c>
      <c r="AA59" s="8">
        <f t="shared" si="11"/>
        <v>0</v>
      </c>
      <c r="AB59" s="8">
        <f t="shared" si="12"/>
        <v>0</v>
      </c>
      <c r="AC59" s="8">
        <f t="shared" si="13"/>
        <v>0</v>
      </c>
      <c r="AD59" s="8">
        <f t="shared" si="14"/>
        <v>0</v>
      </c>
      <c r="AF59" s="16">
        <v>0</v>
      </c>
      <c r="AG59" s="12">
        <v>0</v>
      </c>
      <c r="AH59" s="12"/>
      <c r="AI59" s="18">
        <v>0</v>
      </c>
      <c r="AJ59" s="12">
        <v>0</v>
      </c>
      <c r="AK59">
        <v>65000</v>
      </c>
    </row>
    <row r="60" spans="1:37">
      <c r="A60" s="2">
        <v>100000</v>
      </c>
      <c r="B60" s="2">
        <v>999999</v>
      </c>
      <c r="C60" s="7">
        <v>0</v>
      </c>
      <c r="D60" s="7">
        <v>0</v>
      </c>
      <c r="E60" s="7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Q60" s="8">
        <f t="shared" si="2"/>
        <v>0</v>
      </c>
      <c r="R60" s="8">
        <f t="shared" si="3"/>
        <v>0</v>
      </c>
      <c r="S60" s="8">
        <f t="shared" si="4"/>
        <v>0</v>
      </c>
      <c r="T60" s="8"/>
      <c r="U60" s="8">
        <f t="shared" si="5"/>
        <v>0</v>
      </c>
      <c r="V60" s="8">
        <f t="shared" si="6"/>
        <v>0</v>
      </c>
      <c r="W60" s="8">
        <f t="shared" si="7"/>
        <v>0</v>
      </c>
      <c r="X60" s="8">
        <f t="shared" si="8"/>
        <v>0</v>
      </c>
      <c r="Y60" s="8">
        <f t="shared" si="9"/>
        <v>0</v>
      </c>
      <c r="Z60" s="8">
        <f t="shared" si="10"/>
        <v>0</v>
      </c>
      <c r="AA60" s="8">
        <f t="shared" si="11"/>
        <v>0</v>
      </c>
      <c r="AB60" s="8">
        <f t="shared" si="12"/>
        <v>0</v>
      </c>
      <c r="AC60" s="8">
        <f t="shared" si="13"/>
        <v>0</v>
      </c>
      <c r="AD60" s="8">
        <f t="shared" si="14"/>
        <v>0</v>
      </c>
      <c r="AF60" s="16">
        <v>0</v>
      </c>
      <c r="AG60" s="12">
        <v>0</v>
      </c>
      <c r="AH60" s="12"/>
      <c r="AI60" s="18">
        <v>0</v>
      </c>
      <c r="AJ60" s="12">
        <v>0</v>
      </c>
      <c r="AK60">
        <v>549999.5</v>
      </c>
    </row>
    <row r="61" spans="1:37" ht="16.2">
      <c r="A61" s="4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7" ht="16.2">
      <c r="AE62" s="10" t="s">
        <v>31</v>
      </c>
      <c r="AF62" s="17"/>
      <c r="AG62" s="19">
        <v>71.750900000000001</v>
      </c>
      <c r="AH62" s="15"/>
      <c r="AI62" s="15"/>
      <c r="AJ62" s="14">
        <v>68.957999999999998</v>
      </c>
    </row>
    <row r="63" spans="1:37" ht="16.2">
      <c r="AE63" s="10" t="s">
        <v>32</v>
      </c>
      <c r="AF63" s="17"/>
      <c r="AG63" s="20" t="s">
        <v>33</v>
      </c>
      <c r="AH63" s="21"/>
      <c r="AI63" s="22"/>
      <c r="AJ63" s="23" t="s">
        <v>34</v>
      </c>
    </row>
    <row r="64" spans="1:37" ht="16.2">
      <c r="AE64" s="10" t="s">
        <v>35</v>
      </c>
      <c r="AF64" s="17"/>
      <c r="AG64" s="15">
        <f>SUMPRODUCT(AK3:AK60,AG3:AG60)</f>
        <v>35.105854159043126</v>
      </c>
      <c r="AH64" s="15"/>
      <c r="AI64" s="15"/>
      <c r="AJ64" s="15">
        <f>SUMPRODUCT(AJ3:AJ60,AK3:AK60)</f>
        <v>34.658601928089695</v>
      </c>
    </row>
    <row r="65" spans="33:36">
      <c r="AH65" s="13"/>
      <c r="AJ65" s="13"/>
    </row>
    <row r="66" spans="33:36">
      <c r="AG66" s="13"/>
      <c r="AH66" s="13"/>
      <c r="AJ66" s="13"/>
    </row>
  </sheetData>
  <phoneticPr fontId="2" type="noConversion"/>
  <conditionalFormatting sqref="Q4:S60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{B8980655-2673-4734-BB4F-476E64D32213}</x14:id>
        </ext>
      </extLst>
    </cfRule>
  </conditionalFormatting>
  <conditionalFormatting sqref="U4:AD6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{6F932FE3-86F9-46CD-BB32-004A87A20DFB}</x14:id>
        </ext>
      </extLst>
    </cfRule>
  </conditionalFormatting>
  <conditionalFormatting sqref="AG4:AG6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{2CA4BD60-9B7F-4FBE-AE04-2E362355BDEB}</x14:id>
        </ext>
      </extLst>
    </cfRule>
  </conditionalFormatting>
  <conditionalFormatting sqref="AJ4:AJ6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{F2632F94-80DA-45F6-A3DA-CF2071CEB738}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980655-2673-4734-BB4F-476E64D322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Q4:S60</xm:sqref>
        </x14:conditionalFormatting>
        <x14:conditionalFormatting xmlns:xm="http://schemas.microsoft.com/office/excel/2006/main">
          <x14:cfRule type="dataBar" id="{6F932FE3-86F9-46CD-BB32-004A87A20D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U4:AD60</xm:sqref>
        </x14:conditionalFormatting>
        <x14:conditionalFormatting xmlns:xm="http://schemas.microsoft.com/office/excel/2006/main">
          <x14:cfRule type="dataBar" id="{2CA4BD60-9B7F-4FBE-AE04-2E362355BD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AG4:AG60</xm:sqref>
        </x14:conditionalFormatting>
        <x14:conditionalFormatting xmlns:xm="http://schemas.microsoft.com/office/excel/2006/main">
          <x14:cfRule type="dataBar" id="{F2632F94-80DA-45F6-A3DA-CF2071CEB7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AJ4:AJ60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timwei323@hotmail.com</dc:creator>
  <cp:lastModifiedBy>宏羲 沈</cp:lastModifiedBy>
  <dcterms:created xsi:type="dcterms:W3CDTF">2026-07-13T06:26:07Z</dcterms:created>
  <dcterms:modified xsi:type="dcterms:W3CDTF">2026-07-13T07:31:10Z</dcterms:modified>
</cp:coreProperties>
</file>