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總表" sheetId="2" r:id="rId5"/>
    <sheet state="visible" name="100" sheetId="3" r:id="rId6"/>
    <sheet state="visible" name="150" sheetId="4" r:id="rId7"/>
    <sheet state="visible" name="88" sheetId="5" r:id="rId8"/>
    <sheet state="visible" name="1041" sheetId="6" r:id="rId9"/>
    <sheet state="visible" name="1043" sheetId="7" r:id="rId10"/>
    <sheet state="hidden" name="試算-SLOT" sheetId="8" r:id="rId11"/>
    <sheet state="hidden" name="各國貨幣使用硬幣紙鈔" sheetId="9" r:id="rId12"/>
    <sheet state="hidden" name="100 - 彩金" sheetId="10" r:id="rId13"/>
    <sheet state="hidden" name="150 - 彩金" sheetId="11" r:id="rId14"/>
    <sheet state="visible" name="魚機" sheetId="12" r:id="rId15"/>
    <sheet state="hidden" name="試算-賓果" sheetId="13" r:id="rId16"/>
    <sheet state="visible" name="賓果 - 1分4卡" sheetId="14" r:id="rId17"/>
    <sheet state="visible" name="賓果 - 1分20卡" sheetId="15" r:id="rId18"/>
    <sheet state="visible" name="3011" sheetId="16" r:id="rId19"/>
    <sheet state="visible" name="JHA4001" sheetId="17" r:id="rId20"/>
    <sheet state="visible" name="JHA4002" sheetId="18" r:id="rId21"/>
    <sheet state="visible" name="JHA4003" sheetId="19" r:id="rId22"/>
  </sheets>
  <definedNames>
    <definedName hidden="1" localSheetId="1" name="_xlnm._FilterDatabase">'總表'!$B$1:$B$1000</definedName>
  </definedNames>
  <calcPr/>
  <extLst>
    <ext uri="GoogleSheetsCustomDataVersion2">
      <go:sheetsCustomData xmlns:go="http://customooxmlschemas.google.com/" r:id="rId23" roundtripDataChecksum="iIEJS49o46fCA1IGEts3/I8wJYiKE0ESBjiQmB+pOig="/>
    </ext>
  </extLst>
</workbook>
</file>

<file path=xl/sharedStrings.xml><?xml version="1.0" encoding="utf-8"?>
<sst xmlns="http://schemas.openxmlformats.org/spreadsheetml/2006/main" count="929" uniqueCount="271">
  <si>
    <t>版號</t>
  </si>
  <si>
    <t>日期</t>
  </si>
  <si>
    <t>修改人</t>
  </si>
  <si>
    <t>修改內容</t>
  </si>
  <si>
    <t>備註</t>
  </si>
  <si>
    <t>Karry</t>
  </si>
  <si>
    <t xml:space="preserve">定版，自Bet/Currency 改版，使設定更加簡便
- 所有 SLOT 使用相同設定
- 所有 賓果 使用相同設定
- 新增幣別 MYRC </t>
  </si>
  <si>
    <t xml:space="preserve">改變名稱
將 賓果 - 10分4卡、賓果 - 10分20卡 
改為 賓果 - 1分4卡、賓果 - 1分20卡 </t>
  </si>
  <si>
    <t>新增幣別 XSD</t>
  </si>
  <si>
    <t>新增幣別 DZD、MAD、FRF、GHS</t>
  </si>
  <si>
    <t>刪除100 - 彩金、150 - 彩金頁籤
編輯總表中被影響到的遊戲，改為使用對應分數的幣別設定</t>
  </si>
  <si>
    <t>編輯100、150頁面中的XSD倍數設定
改為使用30組中的第1~第20組</t>
  </si>
  <si>
    <t>-在總表新增1040、1041、1042
-因應1041幣別將特規處理，新增1041所使用的幣別頁籤</t>
  </si>
  <si>
    <t>編輯100、150頁面中的XSD倍數設定
改回2.03~2.05時期的設定</t>
  </si>
  <si>
    <t>編輯100、150 NGN 倍數組數</t>
  </si>
  <si>
    <t>2.10</t>
  </si>
  <si>
    <t>修改150頁籤中的人民幣所選擇的其中幾組倍數設定，刪除5、8，新增25、26</t>
  </si>
  <si>
    <t>在總表新增1043、1044、1045</t>
  </si>
  <si>
    <t>2.12</t>
  </si>
  <si>
    <t>- 新增88頁籤供1045專案使用
- 新增幣別 RC</t>
  </si>
  <si>
    <t>2.13</t>
  </si>
  <si>
    <t>新增幣別 KBB</t>
  </si>
  <si>
    <t>修正幣別 RC幣 為 RCC幣</t>
  </si>
  <si>
    <t>- 因應需求調整幣別 KBB 選用的 Denom 以及 20組押注組合
  (除了魚機以外都有改動)
- 調整IDRO 選用的第一組押注設定
- 新增 1043 的頁籤</t>
  </si>
  <si>
    <t>新增幣別 XSMY</t>
  </si>
  <si>
    <t>專案代號</t>
  </si>
  <si>
    <t>類別</t>
  </si>
  <si>
    <t>快速查找(請在下方欄位輸入專案代號)</t>
  </si>
  <si>
    <t>150</t>
  </si>
  <si>
    <t>100</t>
  </si>
  <si>
    <t>專案類別整理</t>
  </si>
  <si>
    <t>100與150是相同設定</t>
  </si>
  <si>
    <t>魚機</t>
  </si>
  <si>
    <t>賓果 - 1分4卡</t>
  </si>
  <si>
    <t>賓果 - 1分4卡與賓果 - 1分20卡是相同設定</t>
  </si>
  <si>
    <t>賓果 - 1分20卡</t>
  </si>
  <si>
    <t>JHA4001</t>
  </si>
  <si>
    <t>JHA4002</t>
  </si>
  <si>
    <t>JHA4003</t>
  </si>
  <si>
    <t>JHB3011</t>
  </si>
  <si>
    <t>88</t>
  </si>
  <si>
    <t>1041</t>
  </si>
  <si>
    <t>3011</t>
  </si>
  <si>
    <t>最小押分</t>
  </si>
  <si>
    <t>倍數
設定</t>
  </si>
  <si>
    <t>貨幣簡稱</t>
  </si>
  <si>
    <t>貨幣符號</t>
  </si>
  <si>
    <t>中文名稱</t>
  </si>
  <si>
    <t>貨幣轉換</t>
  </si>
  <si>
    <t>Denom</t>
  </si>
  <si>
    <t>第 1 組</t>
  </si>
  <si>
    <t>第 2 組</t>
  </si>
  <si>
    <t>第 3 組</t>
  </si>
  <si>
    <t>第 4 組</t>
  </si>
  <si>
    <t>第 5 組</t>
  </si>
  <si>
    <t>第 6 組</t>
  </si>
  <si>
    <t>第 7 組</t>
  </si>
  <si>
    <t>第 8 組</t>
  </si>
  <si>
    <t>第 9 組</t>
  </si>
  <si>
    <t>第 10 組</t>
  </si>
  <si>
    <t>第 11 組</t>
  </si>
  <si>
    <t>第 12 組</t>
  </si>
  <si>
    <t>第 13 組</t>
  </si>
  <si>
    <t>第 14 組</t>
  </si>
  <si>
    <t>第 15 組</t>
  </si>
  <si>
    <t>第 16 組</t>
  </si>
  <si>
    <t>第 17 組</t>
  </si>
  <si>
    <t>第 18 組</t>
  </si>
  <si>
    <t>第 19 組</t>
  </si>
  <si>
    <t>第 20 組</t>
  </si>
  <si>
    <t>顯示倍數組別</t>
  </si>
  <si>
    <t>顯示金額</t>
  </si>
  <si>
    <t>除了PHP以外的都尚未評估</t>
  </si>
  <si>
    <t>Normal Bet (100)</t>
  </si>
  <si>
    <t>Extra Bet (150)</t>
  </si>
  <si>
    <t>Extra Bet (300)</t>
  </si>
  <si>
    <t>Denom 小數以下第三位不可以是奇數</t>
  </si>
  <si>
    <t>最小Denom</t>
  </si>
  <si>
    <t>Slot 卡片系統評估</t>
  </si>
  <si>
    <t>幣別</t>
  </si>
  <si>
    <t>匯率(外幣對台幣)</t>
  </si>
  <si>
    <t>換算</t>
  </si>
  <si>
    <t>使用</t>
  </si>
  <si>
    <t>最小押注</t>
  </si>
  <si>
    <t>台幣價值</t>
  </si>
  <si>
    <t>最大押注</t>
  </si>
  <si>
    <t>THB</t>
  </si>
  <si>
    <t>฿</t>
  </si>
  <si>
    <t>泰銖</t>
  </si>
  <si>
    <t>HKD</t>
  </si>
  <si>
    <t>HK$</t>
  </si>
  <si>
    <t>港幣</t>
  </si>
  <si>
    <t>INR</t>
  </si>
  <si>
    <t>₹</t>
  </si>
  <si>
    <t>印度盧比</t>
  </si>
  <si>
    <t>IDR</t>
  </si>
  <si>
    <t>Rp</t>
  </si>
  <si>
    <t>印尼盧比(K)</t>
  </si>
  <si>
    <t>VND</t>
  </si>
  <si>
    <t>₫</t>
  </si>
  <si>
    <t>越南盾(K)</t>
  </si>
  <si>
    <t>MYR</t>
  </si>
  <si>
    <t>RM</t>
  </si>
  <si>
    <t>馬來西亞令吉</t>
  </si>
  <si>
    <t>SGD</t>
  </si>
  <si>
    <t>S$</t>
  </si>
  <si>
    <t>新加坡幣</t>
  </si>
  <si>
    <t>USD</t>
  </si>
  <si>
    <t>$</t>
  </si>
  <si>
    <t>美元</t>
  </si>
  <si>
    <t>BDT</t>
  </si>
  <si>
    <t>৳</t>
  </si>
  <si>
    <t>孟加拉塔卡</t>
  </si>
  <si>
    <t>PKR</t>
  </si>
  <si>
    <t>₨</t>
  </si>
  <si>
    <t>巴基斯坦盧比</t>
  </si>
  <si>
    <t>MMK</t>
  </si>
  <si>
    <t>K</t>
  </si>
  <si>
    <t>緬甸元(K)</t>
  </si>
  <si>
    <t>MMH</t>
  </si>
  <si>
    <t>緬甸元(H)</t>
  </si>
  <si>
    <t>PHP</t>
  </si>
  <si>
    <t>₱</t>
  </si>
  <si>
    <t>菲律賓披索</t>
  </si>
  <si>
    <t>CNY</t>
  </si>
  <si>
    <t>￥</t>
  </si>
  <si>
    <t>人民幣</t>
  </si>
  <si>
    <t>MXN</t>
  </si>
  <si>
    <t>Mex$</t>
  </si>
  <si>
    <t>墨⻄哥披索</t>
  </si>
  <si>
    <t>BRL</t>
  </si>
  <si>
    <t>R$</t>
  </si>
  <si>
    <t>巴西雷亞爾</t>
  </si>
  <si>
    <t>AUD</t>
  </si>
  <si>
    <t>A$</t>
  </si>
  <si>
    <t>澳洲元</t>
  </si>
  <si>
    <t>JPY</t>
  </si>
  <si>
    <t>日圓</t>
  </si>
  <si>
    <t>KRW</t>
  </si>
  <si>
    <t>₩</t>
  </si>
  <si>
    <t>韓圓</t>
  </si>
  <si>
    <t>CLP</t>
  </si>
  <si>
    <t>智利披索</t>
  </si>
  <si>
    <t>MMKO</t>
  </si>
  <si>
    <t>緬甸元</t>
  </si>
  <si>
    <t>IDRO</t>
  </si>
  <si>
    <t>印尼盧比</t>
  </si>
  <si>
    <t>RUB</t>
  </si>
  <si>
    <t>₽</t>
  </si>
  <si>
    <t>盧布</t>
  </si>
  <si>
    <t>LKR</t>
  </si>
  <si>
    <t>斯里蘭卡盧比</t>
  </si>
  <si>
    <t>ETB</t>
  </si>
  <si>
    <t>Br‎</t>
  </si>
  <si>
    <t>衣索比亞比爾</t>
  </si>
  <si>
    <t>UGX</t>
  </si>
  <si>
    <t>USh</t>
  </si>
  <si>
    <t>烏干達先令</t>
  </si>
  <si>
    <t>EUR</t>
  </si>
  <si>
    <t>€</t>
  </si>
  <si>
    <t>歐元</t>
  </si>
  <si>
    <t>ARS</t>
  </si>
  <si>
    <t>阿根廷披索</t>
  </si>
  <si>
    <t>NGN</t>
  </si>
  <si>
    <t>₦</t>
  </si>
  <si>
    <t>奈及利亞奈拉</t>
  </si>
  <si>
    <t>KES</t>
  </si>
  <si>
    <t>KSh</t>
  </si>
  <si>
    <t>肯亞先令</t>
  </si>
  <si>
    <t>ZAR</t>
  </si>
  <si>
    <t>R</t>
  </si>
  <si>
    <t>南非鍰</t>
  </si>
  <si>
    <t>TRY</t>
  </si>
  <si>
    <t>₺</t>
  </si>
  <si>
    <t>土耳其里拉</t>
  </si>
  <si>
    <t>GBP</t>
  </si>
  <si>
    <t>£</t>
  </si>
  <si>
    <t>英鎊</t>
  </si>
  <si>
    <t>NPR</t>
  </si>
  <si>
    <t>रू</t>
  </si>
  <si>
    <t>尼泊爾盧比</t>
  </si>
  <si>
    <t>CHF</t>
  </si>
  <si>
    <t>瑞士法郎</t>
  </si>
  <si>
    <t>CAD</t>
  </si>
  <si>
    <t>加幣</t>
  </si>
  <si>
    <t>PEN</t>
  </si>
  <si>
    <t>秘魯新索爾</t>
  </si>
  <si>
    <t>AED</t>
  </si>
  <si>
    <t>阿聯迪拉姆</t>
  </si>
  <si>
    <t>BND</t>
  </si>
  <si>
    <t>B$</t>
  </si>
  <si>
    <t>汶萊幣</t>
  </si>
  <si>
    <t>COP</t>
  </si>
  <si>
    <t>哥倫比亞披索</t>
  </si>
  <si>
    <t>VNDO</t>
  </si>
  <si>
    <t>越南盾</t>
  </si>
  <si>
    <t>MYRC</t>
  </si>
  <si>
    <t>XSD</t>
  </si>
  <si>
    <t>星幣</t>
  </si>
  <si>
    <t>DZD</t>
  </si>
  <si>
    <t>دج</t>
  </si>
  <si>
    <t>阿爾及利亞第納爾</t>
  </si>
  <si>
    <t>MAD</t>
  </si>
  <si>
    <t>DH</t>
  </si>
  <si>
    <t>摩洛哥迪拉姆</t>
  </si>
  <si>
    <t>FRF</t>
  </si>
  <si>
    <t>₣</t>
  </si>
  <si>
    <t>法國法郎</t>
  </si>
  <si>
    <t>GHS</t>
  </si>
  <si>
    <t>Gp</t>
  </si>
  <si>
    <t>迦納塞地</t>
  </si>
  <si>
    <t>RCC</t>
  </si>
  <si>
    <t>RCC幣</t>
  </si>
  <si>
    <t>KBB</t>
  </si>
  <si>
    <t>爸幣</t>
  </si>
  <si>
    <t>XSMY</t>
  </si>
  <si>
    <t>星城馬來西亞</t>
  </si>
  <si>
    <t>墨西哥披索</t>
  </si>
  <si>
    <t>俄羅斯盧布</t>
  </si>
  <si>
    <t>分數組別</t>
  </si>
  <si>
    <t>第1組</t>
  </si>
  <si>
    <t>分數組合</t>
  </si>
  <si>
    <t>太平洋廳</t>
  </si>
  <si>
    <t>大西洋廳</t>
  </si>
  <si>
    <t>北冰洋廳</t>
  </si>
  <si>
    <t>第2組</t>
  </si>
  <si>
    <t>第3組</t>
  </si>
  <si>
    <t>東南亞 Bet Option</t>
  </si>
  <si>
    <t>顯示金額區間</t>
  </si>
  <si>
    <t>參數類型</t>
  </si>
  <si>
    <t>幣別轉換</t>
  </si>
  <si>
    <t>0.1-10</t>
  </si>
  <si>
    <t>1-50</t>
  </si>
  <si>
    <t>10-200</t>
  </si>
  <si>
    <t>0.01-1</t>
  </si>
  <si>
    <t>0.1-5</t>
  </si>
  <si>
    <t>1-10</t>
  </si>
  <si>
    <t>1-20</t>
  </si>
  <si>
    <t>10-100</t>
  </si>
  <si>
    <t>10-500</t>
  </si>
  <si>
    <t>100-5000</t>
  </si>
  <si>
    <t>1000-50000</t>
  </si>
  <si>
    <t>倍數設定號碼</t>
  </si>
  <si>
    <t>4卡</t>
  </si>
  <si>
    <t>使用的</t>
  </si>
  <si>
    <t>20卡</t>
  </si>
  <si>
    <t>20卡(10)</t>
  </si>
  <si>
    <t>一般</t>
  </si>
  <si>
    <t>高匯率</t>
  </si>
  <si>
    <t>賓果</t>
  </si>
  <si>
    <t>最大押注台幣價值</t>
  </si>
  <si>
    <t>籌碼1</t>
  </si>
  <si>
    <t>籌碼2</t>
  </si>
  <si>
    <t>籌碼3</t>
  </si>
  <si>
    <t>籌碼4</t>
  </si>
  <si>
    <t>籌碼5</t>
  </si>
  <si>
    <t>籌碼6</t>
  </si>
  <si>
    <t>籌碼7</t>
  </si>
  <si>
    <t>籌碼8</t>
  </si>
  <si>
    <t>籌碼9</t>
  </si>
  <si>
    <t>籌碼10</t>
  </si>
  <si>
    <t>籌碼11</t>
  </si>
  <si>
    <t>籌碼12</t>
  </si>
  <si>
    <t>籌碼13</t>
  </si>
  <si>
    <t>籌碼14</t>
  </si>
  <si>
    <t>籌碼15</t>
  </si>
  <si>
    <t>籌碼16</t>
  </si>
  <si>
    <t>籌碼17</t>
  </si>
  <si>
    <t>籌碼18</t>
  </si>
  <si>
    <t>籌碼19</t>
  </si>
  <si>
    <t>籌碼20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</si>
</sst>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"/>
    <numFmt numFmtId="165" formatCode="yyyy/mm/dd"/>
    <numFmt numFmtId="166" formatCode="第 # 組"/>
    <numFmt numFmtId="167" formatCode="0.0%"/>
    <numFmt numFmtId="168" formatCode="0.000"/>
    <numFmt numFmtId="169" formatCode="0.000_);[Red]\(0.000\)"/>
    <numFmt numFmtId="170" formatCode="0.00000"/>
    <numFmt numFmtId="171" formatCode="0_);[Red]\(0\)"/>
    <numFmt numFmtId="172" formatCode="0.0000"/>
    <numFmt numFmtId="173" formatCode="0.00_);[Red]\(0.00\)"/>
    <numFmt numFmtId="174" formatCode="0.0"/>
    <numFmt numFmtId="175" formatCode="[$$]#,##0.00"/>
    <numFmt numFmtId="176" formatCode="[$$]#,##0"/>
    <numFmt numFmtId="177" formatCode="#,##0.00;(#,##0.00)"/>
    <numFmt numFmtId="178" formatCode="#,##0.000"/>
  </numFmts>
  <fonts count="18">
    <font>
      <sz val="12.0"/>
      <color theme="1"/>
      <name val="Calibri"/>
      <scheme val="minor"/>
    </font>
    <font>
      <color theme="1"/>
      <name val="Calibri"/>
    </font>
    <font/>
    <font>
      <color theme="1"/>
      <name val="Arial"/>
    </font>
    <font>
      <color rgb="FFFFFFFF"/>
      <name val="Arial"/>
    </font>
    <font>
      <sz val="12.0"/>
      <color theme="1"/>
      <name val="Calibri"/>
    </font>
    <font>
      <b/>
      <color theme="1"/>
      <name val="Calibri"/>
    </font>
    <font>
      <sz val="10.0"/>
      <color theme="1"/>
      <name val="Arial"/>
    </font>
    <font>
      <sz val="14.0"/>
      <color theme="1"/>
      <name val="Arial"/>
    </font>
    <font>
      <sz val="10.0"/>
      <color theme="1"/>
      <name val="Calibri"/>
    </font>
    <font>
      <sz val="15.0"/>
      <color theme="1"/>
      <name val="Arial"/>
    </font>
    <font>
      <sz val="12.0"/>
      <color theme="1"/>
      <name val="PMingLiu"/>
    </font>
    <font>
      <sz val="11.0"/>
      <color theme="1"/>
      <name val="Helvetica Neue"/>
    </font>
    <font>
      <sz val="11.0"/>
      <color theme="1"/>
      <name val="Arial"/>
    </font>
    <font>
      <color rgb="FF000000"/>
      <name val="&quot;linux libertine&quot;"/>
    </font>
    <font>
      <sz val="12.0"/>
      <color rgb="FF000000"/>
      <name val="PMingLiu"/>
    </font>
    <font>
      <sz val="18.0"/>
      <color theme="1"/>
      <name val="Arial"/>
    </font>
    <font>
      <b/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6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CCCC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</border>
    <border>
      <top/>
    </border>
    <border>
      <left style="medium">
        <color rgb="FFCCCCCC"/>
      </left>
      <bottom style="medium">
        <color rgb="FF000000"/>
      </bottom>
    </border>
    <border>
      <right style="medium">
        <color rgb="FF000000"/>
      </right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/>
      <bottom/>
    </border>
    <border>
      <left style="medium">
        <color rgb="FF000000"/>
      </left>
    </border>
    <border>
      <left/>
      <right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CCCCCC"/>
      </right>
      <top/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2" fontId="3" numFmtId="164" xfId="0" applyAlignment="1" applyBorder="1" applyFill="1" applyFont="1" applyNumberFormat="1">
      <alignment vertical="center"/>
    </xf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shrinkToFit="0" vertical="bottom" wrapText="1"/>
    </xf>
    <xf borderId="2" fillId="5" fontId="3" numFmtId="0" xfId="0" applyAlignment="1" applyBorder="1" applyFill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2" fillId="5" fontId="3" numFmtId="0" xfId="0" applyAlignment="1" applyBorder="1" applyFont="1">
      <alignment shrinkToFit="0" vertical="center" wrapText="1"/>
    </xf>
    <xf borderId="2" fillId="5" fontId="3" numFmtId="4" xfId="0" applyAlignment="1" applyBorder="1" applyFont="1" applyNumberFormat="1">
      <alignment vertical="center"/>
    </xf>
    <xf quotePrefix="1" borderId="2" fillId="0" fontId="3" numFmtId="0" xfId="0" applyAlignment="1" applyBorder="1" applyFont="1">
      <alignment horizontal="center" vertical="center"/>
    </xf>
    <xf quotePrefix="1" borderId="2" fillId="4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0" fillId="6" fontId="5" numFmtId="0" xfId="0" applyAlignment="1" applyFill="1" applyFont="1">
      <alignment horizontal="left" vertical="center"/>
    </xf>
    <xf borderId="0" fillId="0" fontId="6" numFmtId="49" xfId="0" applyAlignment="1" applyFont="1" applyNumberFormat="1">
      <alignment vertical="center"/>
    </xf>
    <xf borderId="0" fillId="0" fontId="1" numFmtId="49" xfId="0" applyAlignment="1" applyFont="1" applyNumberFormat="1">
      <alignment vertical="center"/>
    </xf>
    <xf borderId="0" fillId="0" fontId="5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quotePrefix="1" borderId="0" fillId="0" fontId="5" numFmtId="0" xfId="0" applyAlignment="1" applyFont="1">
      <alignment vertical="center"/>
    </xf>
    <xf borderId="5" fillId="0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7" fillId="0" fontId="7" numFmtId="166" xfId="0" applyAlignment="1" applyBorder="1" applyFont="1" applyNumberFormat="1">
      <alignment horizontal="center" vertical="bottom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7" fillId="7" fontId="7" numFmtId="0" xfId="0" applyAlignment="1" applyBorder="1" applyFont="1">
      <alignment horizontal="center" shrinkToFit="0" vertical="bottom" wrapText="1"/>
    </xf>
    <xf borderId="7" fillId="8" fontId="7" numFmtId="0" xfId="0" applyAlignment="1" applyBorder="1" applyFill="1" applyFont="1">
      <alignment horizontal="center" shrinkToFit="0" vertical="bottom" wrapText="1"/>
    </xf>
    <xf borderId="0" fillId="0" fontId="1" numFmtId="9" xfId="0" applyAlignment="1" applyFont="1" applyNumberFormat="1">
      <alignment vertical="center"/>
    </xf>
    <xf borderId="10" fillId="9" fontId="7" numFmtId="0" xfId="0" applyAlignment="1" applyBorder="1" applyFill="1" applyFont="1">
      <alignment shrinkToFit="0" vertical="center" wrapText="1"/>
    </xf>
    <xf borderId="11" fillId="9" fontId="7" numFmtId="0" xfId="0" applyAlignment="1" applyBorder="1" applyFont="1">
      <alignment shrinkToFit="0" vertical="center" wrapText="1"/>
    </xf>
    <xf borderId="12" fillId="9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14" fillId="0" fontId="7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horizontal="center" vertical="center"/>
    </xf>
    <xf borderId="0" fillId="0" fontId="1" numFmtId="167" xfId="0" applyAlignment="1" applyFont="1" applyNumberFormat="1">
      <alignment vertical="center"/>
    </xf>
    <xf borderId="7" fillId="0" fontId="7" numFmtId="0" xfId="0" applyAlignment="1" applyBorder="1" applyFont="1">
      <alignment horizontal="center" shrinkToFit="0" vertical="bottom" wrapText="1"/>
    </xf>
    <xf borderId="7" fillId="0" fontId="7" numFmtId="168" xfId="0" applyAlignment="1" applyBorder="1" applyFont="1" applyNumberFormat="1">
      <alignment horizontal="center" shrinkToFit="0" vertical="bottom" wrapText="1"/>
    </xf>
    <xf borderId="15" fillId="0" fontId="7" numFmtId="0" xfId="0" applyAlignment="1" applyBorder="1" applyFont="1">
      <alignment horizontal="center" shrinkToFit="0" vertical="bottom" wrapText="1"/>
    </xf>
    <xf borderId="16" fillId="0" fontId="7" numFmtId="0" xfId="0" applyAlignment="1" applyBorder="1" applyFont="1">
      <alignment horizontal="center" shrinkToFit="0" vertical="bottom" wrapText="1"/>
    </xf>
    <xf borderId="17" fillId="0" fontId="2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8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1"/>
    </xf>
    <xf borderId="0" fillId="0" fontId="7" numFmtId="169" xfId="0" applyAlignment="1" applyFont="1" applyNumberFormat="1">
      <alignment horizontal="center" shrinkToFit="0" vertical="bottom" wrapText="1"/>
    </xf>
    <xf borderId="0" fillId="0" fontId="7" numFmtId="10" xfId="0" applyAlignment="1" applyFont="1" applyNumberFormat="1">
      <alignment horizontal="center" shrinkToFit="0" vertical="bottom" wrapText="1"/>
    </xf>
    <xf borderId="18" fillId="9" fontId="7" numFmtId="0" xfId="0" applyAlignment="1" applyBorder="1" applyFont="1">
      <alignment shrinkToFit="0" vertical="center" wrapText="1"/>
    </xf>
    <xf borderId="19" fillId="0" fontId="7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vertical="center"/>
    </xf>
    <xf borderId="20" fillId="0" fontId="8" numFmtId="0" xfId="0" applyAlignment="1" applyBorder="1" applyFont="1">
      <alignment horizontal="center" shrinkToFit="0" vertical="center" wrapText="1"/>
    </xf>
    <xf borderId="15" fillId="0" fontId="7" numFmtId="169" xfId="0" applyAlignment="1" applyBorder="1" applyFont="1" applyNumberFormat="1">
      <alignment horizontal="center" shrinkToFit="0" vertical="bottom" wrapText="1"/>
    </xf>
    <xf borderId="15" fillId="0" fontId="7" numFmtId="168" xfId="0" applyAlignment="1" applyBorder="1" applyFont="1" applyNumberFormat="1">
      <alignment horizontal="center" shrinkToFit="0" vertical="bottom" wrapText="1"/>
    </xf>
    <xf borderId="21" fillId="0" fontId="7" numFmtId="168" xfId="0" applyAlignment="1" applyBorder="1" applyFont="1" applyNumberFormat="1">
      <alignment horizontal="center" shrinkToFit="0" vertical="bottom" wrapText="1"/>
    </xf>
    <xf borderId="17" fillId="0" fontId="7" numFmtId="168" xfId="0" applyAlignment="1" applyBorder="1" applyFont="1" applyNumberFormat="1">
      <alignment horizontal="center" shrinkToFit="0" vertical="bottom" wrapText="1"/>
    </xf>
    <xf borderId="20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0" fillId="0" fontId="1" numFmtId="2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3" fillId="0" fontId="7" numFmtId="0" xfId="0" applyAlignment="1" applyBorder="1" applyFont="1">
      <alignment horizontal="center" shrinkToFit="0" vertical="bottom" wrapText="1"/>
    </xf>
    <xf borderId="15" fillId="0" fontId="7" numFmtId="171" xfId="0" applyAlignment="1" applyBorder="1" applyFont="1" applyNumberFormat="1">
      <alignment horizontal="center" shrinkToFit="0" vertical="bottom" wrapText="1"/>
    </xf>
    <xf borderId="16" fillId="0" fontId="7" numFmtId="0" xfId="0" applyAlignment="1" applyBorder="1" applyFont="1">
      <alignment shrinkToFit="0" vertical="bottom" wrapText="1"/>
    </xf>
    <xf borderId="16" fillId="0" fontId="9" numFmtId="0" xfId="0" applyAlignment="1" applyBorder="1" applyFont="1">
      <alignment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7" fillId="10" fontId="7" numFmtId="0" xfId="0" applyAlignment="1" applyBorder="1" applyFill="1" applyFont="1">
      <alignment horizontal="center" shrinkToFit="0" vertical="bottom" wrapText="1"/>
    </xf>
    <xf borderId="7" fillId="10" fontId="7" numFmtId="168" xfId="0" applyAlignment="1" applyBorder="1" applyFont="1" applyNumberFormat="1">
      <alignment horizontal="center" shrinkToFit="0" vertical="bottom" wrapText="1"/>
    </xf>
    <xf borderId="15" fillId="10" fontId="7" numFmtId="0" xfId="0" applyAlignment="1" applyBorder="1" applyFont="1">
      <alignment horizontal="center" shrinkToFit="0" vertical="bottom" wrapText="1"/>
    </xf>
    <xf borderId="15" fillId="10" fontId="7" numFmtId="169" xfId="0" applyAlignment="1" applyBorder="1" applyFont="1" applyNumberFormat="1">
      <alignment horizontal="center" shrinkToFit="0" vertical="bottom" wrapText="1"/>
    </xf>
    <xf borderId="15" fillId="10" fontId="7" numFmtId="168" xfId="0" applyAlignment="1" applyBorder="1" applyFont="1" applyNumberFormat="1">
      <alignment horizontal="center" shrinkToFit="0" vertical="bottom" wrapText="1"/>
    </xf>
    <xf borderId="21" fillId="10" fontId="7" numFmtId="168" xfId="0" applyAlignment="1" applyBorder="1" applyFont="1" applyNumberFormat="1">
      <alignment horizontal="center" shrinkToFit="0" vertical="bottom" wrapText="1"/>
    </xf>
    <xf borderId="10" fillId="9" fontId="10" numFmtId="0" xfId="0" applyAlignment="1" applyBorder="1" applyFont="1">
      <alignment horizontal="left" shrinkToFit="0" vertical="center" wrapText="0"/>
    </xf>
    <xf borderId="27" fillId="11" fontId="11" numFmtId="0" xfId="0" applyAlignment="1" applyBorder="1" applyFill="1" applyFont="1">
      <alignment horizontal="center" vertical="center"/>
    </xf>
    <xf borderId="27" fillId="0" fontId="2" numFmtId="0" xfId="0" applyAlignment="1" applyBorder="1" applyFont="1">
      <alignment vertical="center"/>
    </xf>
    <xf borderId="28" fillId="0" fontId="11" numFmtId="9" xfId="0" applyAlignment="1" applyBorder="1" applyFont="1" applyNumberFormat="1">
      <alignment vertical="center"/>
    </xf>
    <xf borderId="0" fillId="0" fontId="11" numFmtId="9" xfId="0" applyAlignment="1" applyFont="1" applyNumberFormat="1">
      <alignment vertical="center"/>
    </xf>
    <xf borderId="28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0" fillId="0" fontId="1" numFmtId="0" xfId="0" applyAlignment="1" applyBorder="1" applyFont="1">
      <alignment vertical="center"/>
    </xf>
    <xf borderId="28" fillId="0" fontId="11" numFmtId="17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shrinkToFit="0" vertical="bottom" wrapText="1"/>
    </xf>
    <xf borderId="28" fillId="0" fontId="11" numFmtId="172" xfId="0" applyAlignment="1" applyBorder="1" applyFont="1" applyNumberFormat="1">
      <alignment vertical="center"/>
    </xf>
    <xf borderId="29" fillId="12" fontId="11" numFmtId="0" xfId="0" applyAlignment="1" applyBorder="1" applyFill="1" applyFont="1">
      <alignment vertical="center"/>
    </xf>
    <xf borderId="0" fillId="0" fontId="11" numFmtId="2" xfId="0" applyAlignment="1" applyFont="1" applyNumberFormat="1">
      <alignment vertical="center"/>
    </xf>
    <xf borderId="0" fillId="0" fontId="11" numFmtId="173" xfId="0" applyAlignment="1" applyFont="1" applyNumberFormat="1">
      <alignment vertical="center"/>
    </xf>
    <xf borderId="30" fillId="12" fontId="11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bottom" wrapText="1"/>
    </xf>
    <xf borderId="31" fillId="12" fontId="11" numFmtId="0" xfId="0" applyAlignment="1" applyBorder="1" applyFont="1">
      <alignment vertical="center"/>
    </xf>
    <xf borderId="0" fillId="12" fontId="11" numFmtId="0" xfId="0" applyAlignment="1" applyFont="1">
      <alignment vertical="center"/>
    </xf>
    <xf borderId="0" fillId="13" fontId="14" numFmtId="0" xfId="0" applyAlignment="1" applyFill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horizontal="right" shrinkToFit="0" vertical="center" wrapText="0"/>
    </xf>
    <xf borderId="0" fillId="10" fontId="15" numFmtId="0" xfId="0" applyAlignment="1" applyFont="1">
      <alignment horizontal="right" shrinkToFit="0" vertical="center" wrapText="0"/>
    </xf>
    <xf borderId="0" fillId="10" fontId="1" numFmtId="0" xfId="0" applyAlignment="1" applyFont="1">
      <alignment vertical="center"/>
    </xf>
    <xf borderId="7" fillId="7" fontId="7" numFmtId="3" xfId="0" applyAlignment="1" applyBorder="1" applyFont="1" applyNumberFormat="1">
      <alignment horizontal="center" shrinkToFit="0" vertical="bottom" wrapText="1"/>
    </xf>
    <xf borderId="7" fillId="8" fontId="7" numFmtId="3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horizontal="center" vertical="center"/>
    </xf>
    <xf borderId="10" fillId="14" fontId="7" numFmtId="0" xfId="0" applyAlignment="1" applyBorder="1" applyFill="1" applyFont="1">
      <alignment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6" numFmtId="0" xfId="0" applyAlignment="1" applyBorder="1" applyFont="1">
      <alignment horizontal="center" shrinkToFit="0" vertical="center" wrapText="1"/>
    </xf>
    <xf borderId="34" fillId="0" fontId="7" numFmtId="0" xfId="0" applyAlignment="1" applyBorder="1" applyFont="1">
      <alignment horizontal="center" shrinkToFit="0" vertical="bottom" wrapText="1"/>
    </xf>
    <xf borderId="35" fillId="0" fontId="7" numFmtId="0" xfId="0" applyAlignment="1" applyBorder="1" applyFont="1">
      <alignment horizontal="center" shrinkToFit="0" vertical="bottom" wrapText="1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15" fillId="15" fontId="7" numFmtId="0" xfId="0" applyAlignment="1" applyBorder="1" applyFill="1" applyFont="1">
      <alignment horizontal="center" shrinkToFit="0" vertical="bottom" wrapText="1"/>
    </xf>
    <xf borderId="15" fillId="16" fontId="7" numFmtId="0" xfId="0" applyAlignment="1" applyBorder="1" applyFill="1" applyFont="1">
      <alignment horizontal="center" shrinkToFit="0" vertical="bottom" wrapText="1"/>
    </xf>
    <xf borderId="15" fillId="7" fontId="7" numFmtId="0" xfId="0" applyAlignment="1" applyBorder="1" applyFont="1">
      <alignment horizontal="center" shrinkToFit="0" vertical="bottom" wrapText="1"/>
    </xf>
    <xf borderId="15" fillId="0" fontId="7" numFmtId="0" xfId="0" applyAlignment="1" applyBorder="1" applyFont="1">
      <alignment shrinkToFit="0" vertical="bottom" wrapText="1"/>
    </xf>
    <xf borderId="39" fillId="0" fontId="2" numFmtId="0" xfId="0" applyAlignment="1" applyBorder="1" applyFont="1">
      <alignment vertical="center"/>
    </xf>
    <xf borderId="40" fillId="0" fontId="16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6" fillId="0" fontId="16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shrinkToFit="0" vertical="bottom" wrapText="1"/>
    </xf>
    <xf borderId="7" fillId="0" fontId="17" numFmtId="0" xfId="0" applyAlignment="1" applyBorder="1" applyFont="1">
      <alignment horizontal="center" shrinkToFit="0" vertical="bottom" wrapText="1"/>
    </xf>
    <xf borderId="13" fillId="16" fontId="7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shrinkToFit="0" vertical="bottom" wrapText="1"/>
    </xf>
    <xf borderId="13" fillId="16" fontId="7" numFmtId="49" xfId="0" applyAlignment="1" applyBorder="1" applyFont="1" applyNumberFormat="1">
      <alignment horizontal="center" shrinkToFit="0" vertical="bottom" wrapText="1"/>
    </xf>
    <xf borderId="15" fillId="16" fontId="7" numFmtId="49" xfId="0" applyAlignment="1" applyBorder="1" applyFont="1" applyNumberFormat="1">
      <alignment horizontal="center" shrinkToFit="0" vertical="bottom" wrapText="1"/>
    </xf>
    <xf borderId="15" fillId="0" fontId="7" numFmtId="3" xfId="0" applyAlignment="1" applyBorder="1" applyFont="1" applyNumberFormat="1">
      <alignment shrinkToFit="0" vertical="bottom" wrapText="1"/>
    </xf>
    <xf borderId="15" fillId="3" fontId="7" numFmtId="0" xfId="0" applyAlignment="1" applyBorder="1" applyFont="1">
      <alignment horizontal="center"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49" xfId="0" applyAlignment="1" applyBorder="1" applyFont="1" applyNumberFormat="1">
      <alignment horizontal="center" shrinkToFit="0" vertical="bottom" wrapText="1"/>
    </xf>
    <xf borderId="23" fillId="16" fontId="7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vertical="center"/>
    </xf>
    <xf borderId="20" fillId="0" fontId="1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43" fillId="17" fontId="11" numFmtId="171" xfId="0" applyAlignment="1" applyBorder="1" applyFill="1" applyFont="1" applyNumberFormat="1">
      <alignment horizontal="center" vertical="center"/>
    </xf>
    <xf borderId="44" fillId="0" fontId="2" numFmtId="0" xfId="0" applyAlignment="1" applyBorder="1" applyFont="1">
      <alignment vertical="center"/>
    </xf>
    <xf borderId="28" fillId="0" fontId="1" numFmtId="0" xfId="0" applyAlignment="1" applyBorder="1" applyFont="1">
      <alignment horizontal="center" vertical="center"/>
    </xf>
    <xf borderId="0" fillId="0" fontId="1" numFmtId="168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7" fillId="0" fontId="7" numFmtId="0" xfId="0" applyAlignment="1" applyBorder="1" applyFont="1">
      <alignment horizontal="center" vertical="center"/>
    </xf>
    <xf borderId="20" fillId="0" fontId="11" numFmtId="173" xfId="0" applyAlignment="1" applyBorder="1" applyFont="1" applyNumberFormat="1">
      <alignment vertical="center"/>
    </xf>
    <xf borderId="7" fillId="12" fontId="7" numFmtId="0" xfId="0" applyAlignment="1" applyBorder="1" applyFont="1">
      <alignment horizontal="center" vertical="center"/>
    </xf>
    <xf borderId="0" fillId="0" fontId="1" numFmtId="172" xfId="0" applyAlignment="1" applyFont="1" applyNumberFormat="1">
      <alignment vertical="center"/>
    </xf>
    <xf borderId="45" fillId="0" fontId="7" numFmtId="166" xfId="0" applyAlignment="1" applyBorder="1" applyFont="1" applyNumberFormat="1">
      <alignment horizontal="center" vertical="bottom"/>
    </xf>
    <xf borderId="46" fillId="0" fontId="7" numFmtId="166" xfId="0" applyAlignment="1" applyBorder="1" applyFont="1" applyNumberFormat="1">
      <alignment horizontal="center" vertical="bottom"/>
    </xf>
    <xf borderId="15" fillId="8" fontId="7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horizontal="center" shrinkToFit="0" vertical="center" wrapText="1"/>
    </xf>
    <xf borderId="7" fillId="0" fontId="7" numFmtId="2" xfId="0" applyAlignment="1" applyBorder="1" applyFont="1" applyNumberFormat="1">
      <alignment horizontal="center" vertical="center"/>
    </xf>
    <xf borderId="7" fillId="10" fontId="7" numFmtId="2" xfId="0" applyAlignment="1" applyBorder="1" applyFont="1" applyNumberFormat="1">
      <alignment horizontal="center" vertical="center"/>
    </xf>
    <xf borderId="47" fillId="0" fontId="7" numFmtId="0" xfId="0" applyAlignment="1" applyBorder="1" applyFont="1">
      <alignment horizontal="center" shrinkToFit="0" vertical="bottom" wrapText="1"/>
    </xf>
    <xf borderId="47" fillId="10" fontId="7" numFmtId="0" xfId="0" applyAlignment="1" applyBorder="1" applyFont="1">
      <alignment horizontal="center" shrinkToFit="0" vertical="bottom" wrapText="1"/>
    </xf>
    <xf borderId="0" fillId="0" fontId="7" numFmtId="2" xfId="0" applyAlignment="1" applyFont="1" applyNumberFormat="1">
      <alignment horizontal="center" vertical="center"/>
    </xf>
    <xf borderId="48" fillId="0" fontId="7" numFmtId="0" xfId="0" applyAlignment="1" applyBorder="1" applyFont="1">
      <alignment shrinkToFit="0" vertical="bottom" wrapText="1"/>
    </xf>
    <xf borderId="7" fillId="0" fontId="7" numFmtId="2" xfId="0" applyAlignment="1" applyBorder="1" applyFont="1" applyNumberFormat="1">
      <alignment horizontal="center" shrinkToFit="0" vertical="bottom" wrapText="1"/>
    </xf>
    <xf borderId="7" fillId="0" fontId="7" numFmtId="168" xfId="0" applyAlignment="1" applyBorder="1" applyFont="1" applyNumberFormat="1">
      <alignment horizontal="center" vertical="center"/>
    </xf>
    <xf borderId="49" fillId="0" fontId="7" numFmtId="0" xfId="0" applyAlignment="1" applyBorder="1" applyFont="1">
      <alignment shrinkToFit="0" vertical="bottom" wrapText="1"/>
    </xf>
    <xf borderId="49" fillId="0" fontId="9" numFmtId="0" xfId="0" applyAlignment="1" applyBorder="1" applyFont="1">
      <alignment vertical="center"/>
    </xf>
    <xf borderId="50" fillId="0" fontId="9" numFmtId="0" xfId="0" applyAlignment="1" applyBorder="1" applyFont="1">
      <alignment vertical="center"/>
    </xf>
    <xf borderId="47" fillId="0" fontId="7" numFmtId="168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horizontal="center" shrinkToFit="0" vertical="center" wrapText="1"/>
    </xf>
    <xf borderId="51" fillId="7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52" fillId="0" fontId="7" numFmtId="0" xfId="0" applyAlignment="1" applyBorder="1" applyFont="1">
      <alignment horizontal="center" shrinkToFit="0" vertical="bottom" wrapText="1"/>
    </xf>
    <xf borderId="52" fillId="0" fontId="7" numFmtId="2" xfId="0" applyAlignment="1" applyBorder="1" applyFont="1" applyNumberFormat="1">
      <alignment horizontal="center" vertical="center"/>
    </xf>
    <xf borderId="7" fillId="10" fontId="7" numFmtId="2" xfId="0" applyAlignment="1" applyBorder="1" applyFont="1" applyNumberFormat="1">
      <alignment horizontal="center" shrinkToFit="0" vertical="bottom" wrapText="1"/>
    </xf>
    <xf borderId="7" fillId="10" fontId="7" numFmtId="168" xfId="0" applyAlignment="1" applyBorder="1" applyFont="1" applyNumberFormat="1">
      <alignment horizontal="center" vertical="center"/>
    </xf>
    <xf borderId="15" fillId="10" fontId="7" numFmtId="0" xfId="0" applyAlignment="1" applyBorder="1" applyFont="1">
      <alignment shrinkToFit="0" vertical="bottom" wrapText="1"/>
    </xf>
    <xf borderId="0" fillId="0" fontId="5" numFmtId="0" xfId="0" applyAlignment="1" applyFont="1">
      <alignment vertical="center"/>
    </xf>
    <xf borderId="20" fillId="0" fontId="5" numFmtId="0" xfId="0" applyAlignment="1" applyBorder="1" applyFont="1">
      <alignment vertical="center"/>
    </xf>
    <xf borderId="53" fillId="0" fontId="3" numFmtId="0" xfId="0" applyAlignment="1" applyBorder="1" applyFont="1">
      <alignment horizontal="center" shrinkToFit="0" vertical="center" wrapText="1"/>
    </xf>
    <xf borderId="53" fillId="7" fontId="3" numFmtId="0" xfId="0" applyAlignment="1" applyBorder="1" applyFont="1">
      <alignment horizontal="center" shrinkToFit="0" vertical="center" wrapText="1"/>
    </xf>
    <xf borderId="22" fillId="7" fontId="3" numFmtId="0" xfId="0" applyAlignment="1" applyBorder="1" applyFont="1">
      <alignment horizontal="center" shrinkToFit="0" vertical="bottom" wrapText="1"/>
    </xf>
    <xf borderId="22" fillId="7" fontId="3" numFmtId="0" xfId="0" applyAlignment="1" applyBorder="1" applyFont="1">
      <alignment horizontal="center" shrinkToFit="0" vertical="center" wrapText="1"/>
    </xf>
    <xf borderId="54" fillId="0" fontId="1" numFmtId="0" xfId="0" applyAlignment="1" applyBorder="1" applyFont="1">
      <alignment vertical="center"/>
    </xf>
    <xf borderId="9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55" fillId="0" fontId="3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42" fillId="0" fontId="3" numFmtId="168" xfId="0" applyAlignment="1" applyBorder="1" applyFont="1" applyNumberFormat="1">
      <alignment horizontal="center" shrinkToFit="0" vertical="center" wrapText="1"/>
    </xf>
    <xf borderId="20" fillId="0" fontId="5" numFmtId="174" xfId="0" applyAlignment="1" applyBorder="1" applyFont="1" applyNumberFormat="1">
      <alignment vertical="center"/>
    </xf>
    <xf borderId="0" fillId="0" fontId="5" numFmtId="168" xfId="0" applyAlignment="1" applyFont="1" applyNumberFormat="1">
      <alignment vertical="center"/>
    </xf>
    <xf borderId="42" fillId="18" fontId="3" numFmtId="0" xfId="0" applyAlignment="1" applyBorder="1" applyFill="1" applyFont="1">
      <alignment horizontal="center" shrinkToFit="0" vertical="center" wrapText="1"/>
    </xf>
    <xf borderId="42" fillId="18" fontId="3" numFmtId="168" xfId="0" applyAlignment="1" applyBorder="1" applyFont="1" applyNumberFormat="1">
      <alignment horizontal="center" shrinkToFit="0" vertical="center" wrapText="1"/>
    </xf>
    <xf borderId="22" fillId="10" fontId="3" numFmtId="0" xfId="0" applyAlignment="1" applyBorder="1" applyFont="1">
      <alignment horizontal="center" shrinkToFit="0" vertical="center" wrapText="1"/>
    </xf>
    <xf borderId="22" fillId="10" fontId="3" numFmtId="168" xfId="0" applyAlignment="1" applyBorder="1" applyFont="1" applyNumberFormat="1">
      <alignment horizontal="center" shrinkToFit="0" vertical="center" wrapText="1"/>
    </xf>
    <xf borderId="42" fillId="10" fontId="3" numFmtId="0" xfId="0" applyAlignment="1" applyBorder="1" applyFont="1">
      <alignment horizontal="center" shrinkToFit="0" vertical="center" wrapText="1"/>
    </xf>
    <xf borderId="22" fillId="19" fontId="3" numFmtId="0" xfId="0" applyAlignment="1" applyBorder="1" applyFill="1" applyFont="1">
      <alignment horizontal="center" shrinkToFit="0" vertical="center" wrapText="1"/>
    </xf>
    <xf borderId="22" fillId="19" fontId="3" numFmtId="168" xfId="0" applyAlignment="1" applyBorder="1" applyFont="1" applyNumberFormat="1">
      <alignment horizontal="center" shrinkToFit="0" vertical="center" wrapText="1"/>
    </xf>
    <xf borderId="42" fillId="19" fontId="3" numFmtId="0" xfId="0" applyAlignment="1" applyBorder="1" applyFont="1">
      <alignment horizontal="center" shrinkToFit="0" vertical="center" wrapText="1"/>
    </xf>
    <xf borderId="22" fillId="7" fontId="3" numFmtId="168" xfId="0" applyAlignment="1" applyBorder="1" applyFont="1" applyNumberFormat="1">
      <alignment horizontal="center" shrinkToFit="0" vertical="center" wrapText="1"/>
    </xf>
    <xf borderId="42" fillId="7" fontId="3" numFmtId="0" xfId="0" applyAlignment="1" applyBorder="1" applyFont="1">
      <alignment horizontal="center" shrinkToFit="0" vertical="center" wrapText="1"/>
    </xf>
    <xf borderId="0" fillId="0" fontId="5" numFmtId="174" xfId="0" applyAlignment="1" applyFont="1" applyNumberFormat="1">
      <alignment vertical="center"/>
    </xf>
    <xf borderId="42" fillId="6" fontId="3" numFmtId="0" xfId="0" applyAlignment="1" applyBorder="1" applyFont="1">
      <alignment horizontal="center" shrinkToFit="0" vertical="center" wrapText="1"/>
    </xf>
    <xf borderId="42" fillId="6" fontId="3" numFmtId="168" xfId="0" applyAlignment="1" applyBorder="1" applyFont="1" applyNumberFormat="1">
      <alignment horizontal="center" shrinkToFit="0" vertical="center" wrapText="1"/>
    </xf>
    <xf borderId="54" fillId="0" fontId="1" numFmtId="9" xfId="0" applyAlignment="1" applyBorder="1" applyFont="1" applyNumberFormat="1">
      <alignment vertical="center"/>
    </xf>
    <xf borderId="22" fillId="0" fontId="1" numFmtId="0" xfId="0" applyAlignment="1" applyBorder="1" applyFont="1">
      <alignment vertical="center"/>
    </xf>
    <xf borderId="20" fillId="0" fontId="5" numFmtId="0" xfId="0" applyAlignment="1" applyBorder="1" applyFont="1">
      <alignment vertical="bottom"/>
    </xf>
    <xf borderId="42" fillId="10" fontId="3" numFmtId="168" xfId="0" applyAlignment="1" applyBorder="1" applyFont="1" applyNumberFormat="1">
      <alignment horizontal="center" shrinkToFit="0" vertical="center" wrapText="1"/>
    </xf>
    <xf borderId="42" fillId="19" fontId="3" numFmtId="168" xfId="0" applyAlignment="1" applyBorder="1" applyFont="1" applyNumberFormat="1">
      <alignment horizontal="center" shrinkToFit="0" vertical="center" wrapText="1"/>
    </xf>
    <xf borderId="42" fillId="7" fontId="3" numFmtId="168" xfId="0" applyAlignment="1" applyBorder="1" applyFont="1" applyNumberFormat="1">
      <alignment horizontal="center" shrinkToFit="0" vertical="center" wrapText="1"/>
    </xf>
    <xf borderId="15" fillId="7" fontId="7" numFmtId="0" xfId="0" applyAlignment="1" applyBorder="1" applyFont="1">
      <alignment horizontal="center" shrinkToFit="0" vertical="center" wrapText="1"/>
    </xf>
    <xf borderId="15" fillId="8" fontId="7" numFmtId="0" xfId="0" applyAlignment="1" applyBorder="1" applyFont="1">
      <alignment shrinkToFit="0" vertical="center" wrapText="1"/>
    </xf>
    <xf borderId="56" fillId="0" fontId="2" numFmtId="0" xfId="0" applyAlignment="1" applyBorder="1" applyFont="1">
      <alignment vertical="center"/>
    </xf>
    <xf borderId="23" fillId="0" fontId="7" numFmtId="0" xfId="0" applyAlignment="1" applyBorder="1" applyFont="1">
      <alignment horizontal="center" shrinkToFit="0" vertical="center" wrapText="1"/>
    </xf>
    <xf borderId="57" fillId="0" fontId="7" numFmtId="0" xfId="0" applyAlignment="1" applyBorder="1" applyFont="1">
      <alignment horizontal="center" shrinkToFit="0" vertical="center" wrapText="1"/>
    </xf>
    <xf borderId="15" fillId="20" fontId="7" numFmtId="0" xfId="0" applyAlignment="1" applyBorder="1" applyFill="1" applyFont="1">
      <alignment horizontal="center" shrinkToFit="0" vertical="center" wrapText="1"/>
    </xf>
    <xf borderId="57" fillId="20" fontId="7" numFmtId="2" xfId="0" applyAlignment="1" applyBorder="1" applyFont="1" applyNumberFormat="1">
      <alignment horizontal="center" shrinkToFit="0" vertical="center" wrapText="1"/>
    </xf>
    <xf borderId="15" fillId="21" fontId="7" numFmtId="0" xfId="0" applyAlignment="1" applyBorder="1" applyFill="1" applyFont="1">
      <alignment horizontal="center" shrinkToFit="0" vertical="center" wrapText="1"/>
    </xf>
    <xf borderId="57" fillId="21" fontId="7" numFmtId="2" xfId="0" applyAlignment="1" applyBorder="1" applyFont="1" applyNumberFormat="1">
      <alignment horizontal="center" shrinkToFit="0" vertical="center" wrapText="1"/>
    </xf>
    <xf borderId="57" fillId="13" fontId="7" numFmtId="2" xfId="0" applyAlignment="1" applyBorder="1" applyFont="1" applyNumberFormat="1">
      <alignment horizontal="center" shrinkToFit="0" vertical="center" wrapText="1"/>
    </xf>
    <xf borderId="15" fillId="8" fontId="7" numFmtId="0" xfId="0" applyAlignment="1" applyBorder="1" applyFont="1">
      <alignment horizontal="center" shrinkToFit="0" vertical="center" wrapText="1"/>
    </xf>
    <xf borderId="57" fillId="8" fontId="7" numFmtId="2" xfId="0" applyAlignment="1" applyBorder="1" applyFont="1" applyNumberForma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57" fillId="2" fontId="7" numFmtId="2" xfId="0" applyAlignment="1" applyBorder="1" applyFont="1" applyNumberFormat="1">
      <alignment horizontal="center" shrinkToFit="0" vertical="center" wrapText="1"/>
    </xf>
    <xf borderId="15" fillId="13" fontId="7" numFmtId="0" xfId="0" applyAlignment="1" applyBorder="1" applyFont="1">
      <alignment horizontal="center" shrinkToFit="0" vertical="center" wrapText="1"/>
    </xf>
    <xf borderId="57" fillId="8" fontId="7" numFmtId="2" xfId="0" applyAlignment="1" applyBorder="1" applyFont="1" applyNumberFormat="1">
      <alignment horizontal="center" shrinkToFit="0" vertical="bottom" wrapText="1"/>
    </xf>
    <xf borderId="15" fillId="20" fontId="7" numFmtId="0" xfId="0" applyAlignment="1" applyBorder="1" applyFont="1">
      <alignment horizontal="center" shrinkToFit="0" vertical="bottom" wrapText="1"/>
    </xf>
    <xf borderId="57" fillId="20" fontId="7" numFmtId="2" xfId="0" applyAlignment="1" applyBorder="1" applyFont="1" applyNumberFormat="1">
      <alignment horizontal="center" shrinkToFit="0" vertical="bottom" wrapText="1"/>
    </xf>
    <xf borderId="0" fillId="13" fontId="7" numFmtId="0" xfId="0" applyAlignment="1" applyFont="1">
      <alignment horizontal="center" shrinkToFit="0" vertical="center" wrapText="1"/>
    </xf>
    <xf borderId="0" fillId="13" fontId="7" numFmtId="0" xfId="0" applyAlignment="1" applyFont="1">
      <alignment shrinkToFit="0" vertical="center" wrapText="1"/>
    </xf>
    <xf borderId="20" fillId="0" fontId="7" numFmtId="0" xfId="0" applyAlignment="1" applyBorder="1" applyFont="1">
      <alignment shrinkToFit="0" vertical="bottom" wrapText="1"/>
    </xf>
    <xf borderId="58" fillId="0" fontId="8" numFmtId="0" xfId="0" applyAlignment="1" applyBorder="1" applyFont="1">
      <alignment horizontal="center" shrinkToFit="0" vertical="center" wrapText="1"/>
    </xf>
    <xf borderId="57" fillId="20" fontId="7" numFmtId="168" xfId="0" applyAlignment="1" applyBorder="1" applyFont="1" applyNumberFormat="1">
      <alignment horizontal="center" shrinkToFit="0" vertical="center" wrapText="1"/>
    </xf>
    <xf borderId="15" fillId="20" fontId="7" numFmtId="168" xfId="0" applyAlignment="1" applyBorder="1" applyFont="1" applyNumberFormat="1">
      <alignment horizontal="center" shrinkToFit="0" vertical="center" wrapText="1"/>
    </xf>
    <xf borderId="0" fillId="0" fontId="7" numFmtId="168" xfId="0" applyAlignment="1" applyFont="1" applyNumberFormat="1">
      <alignment horizontal="center" shrinkToFit="0" vertical="bottom" wrapText="1"/>
    </xf>
    <xf borderId="57" fillId="21" fontId="7" numFmtId="168" xfId="0" applyAlignment="1" applyBorder="1" applyFont="1" applyNumberFormat="1">
      <alignment horizontal="center" shrinkToFit="0" vertical="center" wrapText="1"/>
    </xf>
    <xf borderId="15" fillId="21" fontId="7" numFmtId="168" xfId="0" applyAlignment="1" applyBorder="1" applyFont="1" applyNumberFormat="1">
      <alignment horizontal="center" shrinkToFit="0" vertical="center" wrapText="1"/>
    </xf>
    <xf borderId="57" fillId="13" fontId="7" numFmtId="168" xfId="0" applyAlignment="1" applyBorder="1" applyFont="1" applyNumberFormat="1">
      <alignment horizontal="center" shrinkToFit="0" vertical="center" wrapText="1"/>
    </xf>
    <xf borderId="15" fillId="0" fontId="7" numFmtId="168" xfId="0" applyAlignment="1" applyBorder="1" applyFont="1" applyNumberFormat="1">
      <alignment horizontal="center" shrinkToFit="0" vertical="center" wrapText="1"/>
    </xf>
    <xf borderId="57" fillId="8" fontId="7" numFmtId="168" xfId="0" applyAlignment="1" applyBorder="1" applyFont="1" applyNumberFormat="1">
      <alignment horizontal="center" shrinkToFit="0" vertical="center" wrapText="1"/>
    </xf>
    <xf borderId="15" fillId="8" fontId="7" numFmtId="168" xfId="0" applyAlignment="1" applyBorder="1" applyFont="1" applyNumberFormat="1">
      <alignment horizontal="center" shrinkToFit="0" vertical="center" wrapText="1"/>
    </xf>
    <xf borderId="57" fillId="2" fontId="7" numFmtId="168" xfId="0" applyAlignment="1" applyBorder="1" applyFont="1" applyNumberFormat="1">
      <alignment horizontal="center" shrinkToFit="0" vertical="center" wrapText="1"/>
    </xf>
    <xf borderId="15" fillId="2" fontId="7" numFmtId="168" xfId="0" applyAlignment="1" applyBorder="1" applyFont="1" applyNumberFormat="1">
      <alignment horizontal="center" shrinkToFit="0" vertical="center" wrapText="1"/>
    </xf>
    <xf borderId="15" fillId="13" fontId="7" numFmtId="0" xfId="0" applyAlignment="1" applyBorder="1" applyFont="1">
      <alignment shrinkToFit="0" vertical="center" wrapText="1"/>
    </xf>
    <xf borderId="15" fillId="13" fontId="7" numFmtId="168" xfId="0" applyAlignment="1" applyBorder="1" applyFont="1" applyNumberFormat="1">
      <alignment horizontal="center" shrinkToFit="0" vertical="center" wrapText="1"/>
    </xf>
    <xf borderId="20" fillId="0" fontId="9" numFmtId="0" xfId="0" applyAlignment="1" applyBorder="1" applyFont="1">
      <alignment vertical="center"/>
    </xf>
    <xf borderId="15" fillId="21" fontId="7" numFmtId="0" xfId="0" applyAlignment="1" applyBorder="1" applyFont="1">
      <alignment shrinkToFit="0" vertical="center" wrapText="1"/>
    </xf>
    <xf borderId="15" fillId="8" fontId="7" numFmtId="0" xfId="0" applyAlignment="1" applyBorder="1" applyFont="1">
      <alignment shrinkToFit="0" vertical="bottom" wrapText="1"/>
    </xf>
    <xf borderId="57" fillId="8" fontId="7" numFmtId="168" xfId="0" applyAlignment="1" applyBorder="1" applyFont="1" applyNumberFormat="1">
      <alignment horizontal="center" shrinkToFit="0" vertical="bottom" wrapText="1"/>
    </xf>
    <xf borderId="15" fillId="8" fontId="7" numFmtId="168" xfId="0" applyAlignment="1" applyBorder="1" applyFont="1" applyNumberFormat="1">
      <alignment horizontal="center" shrinkToFit="0" vertical="bottom" wrapText="1"/>
    </xf>
    <xf borderId="15" fillId="20" fontId="7" numFmtId="0" xfId="0" applyAlignment="1" applyBorder="1" applyFont="1">
      <alignment shrinkToFit="0" vertical="bottom" wrapText="1"/>
    </xf>
    <xf borderId="57" fillId="20" fontId="7" numFmtId="168" xfId="0" applyAlignment="1" applyBorder="1" applyFont="1" applyNumberFormat="1">
      <alignment horizontal="center" shrinkToFit="0" vertical="bottom" wrapText="1"/>
    </xf>
    <xf borderId="15" fillId="20" fontId="7" numFmtId="168" xfId="0" applyAlignment="1" applyBorder="1" applyFont="1" applyNumberFormat="1">
      <alignment horizontal="center" shrinkToFit="0" vertical="bottom" wrapText="1"/>
    </xf>
    <xf borderId="15" fillId="2" fontId="7" numFmtId="0" xfId="0" applyAlignment="1" applyBorder="1" applyFont="1">
      <alignment shrinkToFit="0" vertical="center" wrapText="1"/>
    </xf>
    <xf borderId="15" fillId="20" fontId="7" numFmtId="0" xfId="0" applyAlignment="1" applyBorder="1" applyFont="1">
      <alignment shrinkToFit="0" vertical="center" wrapText="1"/>
    </xf>
    <xf borderId="59" fillId="0" fontId="7" numFmtId="0" xfId="0" applyAlignment="1" applyBorder="1" applyFont="1">
      <alignment shrinkToFit="0" vertical="bottom" wrapText="1"/>
    </xf>
    <xf borderId="60" fillId="0" fontId="2" numFmtId="0" xfId="0" applyAlignment="1" applyBorder="1" applyFont="1">
      <alignment vertical="center"/>
    </xf>
    <xf borderId="57" fillId="0" fontId="7" numFmtId="0" xfId="0" applyAlignment="1" applyBorder="1" applyFont="1">
      <alignment horizontal="center" shrinkToFit="0" vertical="bottom" wrapText="1"/>
    </xf>
    <xf borderId="15" fillId="21" fontId="7" numFmtId="0" xfId="0" applyAlignment="1" applyBorder="1" applyFont="1">
      <alignment horizontal="center" shrinkToFit="0" vertical="bottom" wrapText="1"/>
    </xf>
    <xf borderId="57" fillId="21" fontId="7" numFmtId="168" xfId="0" applyAlignment="1" applyBorder="1" applyFont="1" applyNumberFormat="1">
      <alignment horizontal="center" shrinkToFit="0" vertical="bottom" wrapText="1"/>
    </xf>
    <xf borderId="57" fillId="13" fontId="7" numFmtId="168" xfId="0" applyAlignment="1" applyBorder="1" applyFont="1" applyNumberFormat="1">
      <alignment horizontal="center" shrinkToFit="0" vertical="bottom" wrapText="1"/>
    </xf>
    <xf borderId="15" fillId="2" fontId="7" numFmtId="0" xfId="0" applyAlignment="1" applyBorder="1" applyFont="1">
      <alignment horizontal="center" shrinkToFit="0" vertical="bottom" wrapText="1"/>
    </xf>
    <xf borderId="57" fillId="2" fontId="7" numFmtId="168" xfId="0" applyAlignment="1" applyBorder="1" applyFont="1" applyNumberFormat="1">
      <alignment horizontal="center" shrinkToFit="0" vertical="bottom" wrapText="1"/>
    </xf>
    <xf borderId="15" fillId="13" fontId="7" numFmtId="0" xfId="0" applyAlignment="1" applyBorder="1" applyFont="1">
      <alignment shrinkToFit="0" vertical="bottom" wrapText="1"/>
    </xf>
    <xf borderId="15" fillId="21" fontId="7" numFmtId="0" xfId="0" applyAlignment="1" applyBorder="1" applyFont="1">
      <alignment shrinkToFit="0" vertical="bottom" wrapText="1"/>
    </xf>
    <xf borderId="15" fillId="2" fontId="7" numFmtId="168" xfId="0" applyAlignment="1" applyBorder="1" applyFont="1" applyNumberFormat="1">
      <alignment horizontal="center" shrinkToFit="0" vertical="bottom" wrapText="1"/>
    </xf>
    <xf borderId="23" fillId="2" fontId="7" numFmtId="168" xfId="0" applyAlignment="1" applyBorder="1" applyFont="1" applyNumberFormat="1">
      <alignment horizontal="center" shrinkToFit="0" vertical="bottom" wrapText="1"/>
    </xf>
    <xf borderId="61" fillId="2" fontId="7" numFmtId="168" xfId="0" applyAlignment="1" applyBorder="1" applyFont="1" applyNumberFormat="1">
      <alignment horizontal="center" shrinkToFit="0" vertical="bottom" wrapText="1"/>
    </xf>
    <xf borderId="23" fillId="20" fontId="7" numFmtId="168" xfId="0" applyAlignment="1" applyBorder="1" applyFont="1" applyNumberFormat="1">
      <alignment horizontal="center" shrinkToFit="0" vertical="bottom" wrapText="1"/>
    </xf>
    <xf borderId="61" fillId="20" fontId="7" numFmtId="168" xfId="0" applyAlignment="1" applyBorder="1" applyFont="1" applyNumberFormat="1">
      <alignment horizontal="center" shrinkToFit="0" vertical="bottom" wrapText="1"/>
    </xf>
    <xf borderId="23" fillId="8" fontId="7" numFmtId="168" xfId="0" applyAlignment="1" applyBorder="1" applyFont="1" applyNumberFormat="1">
      <alignment horizontal="center" shrinkToFit="0" vertical="bottom" wrapText="1"/>
    </xf>
    <xf borderId="61" fillId="8" fontId="7" numFmtId="168" xfId="0" applyAlignment="1" applyBorder="1" applyFont="1" applyNumberFormat="1">
      <alignment horizontal="center" shrinkToFit="0" vertical="bottom" wrapText="1"/>
    </xf>
    <xf borderId="15" fillId="21" fontId="7" numFmtId="168" xfId="0" applyAlignment="1" applyBorder="1" applyFont="1" applyNumberFormat="1">
      <alignment horizontal="center" shrinkToFit="0" vertical="bottom" wrapText="1"/>
    </xf>
    <xf borderId="23" fillId="21" fontId="7" numFmtId="168" xfId="0" applyAlignment="1" applyBorder="1" applyFont="1" applyNumberFormat="1">
      <alignment horizontal="center" shrinkToFit="0" vertical="bottom" wrapText="1"/>
    </xf>
    <xf borderId="61" fillId="21" fontId="7" numFmtId="168" xfId="0" applyAlignment="1" applyBorder="1" applyFont="1" applyNumberFormat="1">
      <alignment horizontal="center" shrinkToFit="0" vertical="bottom" wrapText="1"/>
    </xf>
    <xf borderId="52" fillId="13" fontId="7" numFmtId="0" xfId="0" applyAlignment="1" applyBorder="1" applyFont="1">
      <alignment horizontal="center" shrinkToFit="0" vertical="center" wrapText="1"/>
    </xf>
    <xf borderId="52" fillId="13" fontId="7" numFmtId="0" xfId="0" applyAlignment="1" applyBorder="1" applyFont="1">
      <alignment shrinkToFit="0" vertical="bottom" wrapText="1"/>
    </xf>
    <xf borderId="21" fillId="0" fontId="7" numFmtId="0" xfId="0" applyAlignment="1" applyBorder="1" applyFont="1">
      <alignment horizontal="center" shrinkToFit="0" vertical="bottom" wrapText="1"/>
    </xf>
    <xf borderId="17" fillId="0" fontId="7" numFmtId="0" xfId="0" applyAlignment="1" applyBorder="1" applyFont="1">
      <alignment shrinkToFit="0" vertical="bottom" wrapText="1"/>
    </xf>
    <xf borderId="17" fillId="0" fontId="9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2" fillId="0" fontId="3" numFmtId="0" xfId="0" applyAlignment="1" applyBorder="1" applyFont="1">
      <alignment vertical="center"/>
    </xf>
    <xf borderId="58" fillId="0" fontId="3" numFmtId="0" xfId="0" applyAlignment="1" applyBorder="1" applyFont="1">
      <alignment horizontal="center" vertical="center"/>
    </xf>
    <xf borderId="58" fillId="7" fontId="3" numFmtId="0" xfId="0" applyAlignment="1" applyBorder="1" applyFont="1">
      <alignment horizontal="center" vertical="center"/>
    </xf>
    <xf borderId="62" fillId="0" fontId="2" numFmtId="0" xfId="0" applyAlignment="1" applyBorder="1" applyFont="1">
      <alignment vertical="center"/>
    </xf>
    <xf borderId="2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63" fillId="0" fontId="3" numFmtId="0" xfId="0" applyAlignment="1" applyBorder="1" applyFon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62" fillId="0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63" fillId="0" fontId="3" numFmtId="168" xfId="0" applyAlignment="1" applyBorder="1" applyFont="1" applyNumberForma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62" fillId="0" fontId="3" numFmtId="175" xfId="0" applyAlignment="1" applyBorder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0" fontId="3" numFmtId="175" xfId="0" applyAlignment="1" applyFont="1" applyNumberFormat="1">
      <alignment vertical="center"/>
    </xf>
    <xf borderId="0" fillId="0" fontId="3" numFmtId="176" xfId="0" applyAlignment="1" applyFont="1" applyNumberFormat="1">
      <alignment vertical="center"/>
    </xf>
    <xf borderId="0" fillId="0" fontId="3" numFmtId="4" xfId="0" applyAlignment="1" applyFont="1" applyNumberFormat="1">
      <alignment vertical="center"/>
    </xf>
    <xf borderId="0" fillId="0" fontId="3" numFmtId="177" xfId="0" applyAlignment="1" applyFont="1" applyNumberFormat="1">
      <alignment vertical="bottom"/>
    </xf>
    <xf borderId="0" fillId="0" fontId="3" numFmtId="177" xfId="0" applyAlignment="1" applyFont="1" applyNumberFormat="1">
      <alignment vertical="center"/>
    </xf>
    <xf borderId="2" fillId="0" fontId="1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13" fontId="3" numFmtId="175" xfId="0" applyAlignment="1" applyFont="1" applyNumberFormat="1">
      <alignment vertical="center"/>
    </xf>
    <xf borderId="0" fillId="13" fontId="3" numFmtId="0" xfId="0" applyAlignment="1" applyFont="1">
      <alignment vertical="center"/>
    </xf>
    <xf borderId="4" fillId="0" fontId="3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63" fillId="0" fontId="3" numFmtId="168" xfId="0" applyAlignment="1" applyBorder="1" applyFont="1" applyNumberFormat="1">
      <alignment horizontal="center" vertical="bottom"/>
    </xf>
    <xf borderId="2" fillId="0" fontId="3" numFmtId="3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3" xfId="0" applyAlignment="1" applyBorder="1" applyFont="1" applyNumberFormat="1">
      <alignment horizontal="center" vertical="bottom"/>
    </xf>
    <xf borderId="0" fillId="13" fontId="3" numFmtId="168" xfId="0" applyAlignment="1" applyFont="1" applyNumberFormat="1">
      <alignment vertical="center"/>
    </xf>
    <xf borderId="0" fillId="13" fontId="3" numFmtId="3" xfId="0" applyAlignment="1" applyFont="1" applyNumberFormat="1">
      <alignment vertical="center"/>
    </xf>
    <xf borderId="1" fillId="9" fontId="3" numFmtId="0" xfId="0" applyAlignment="1" applyBorder="1" applyFont="1">
      <alignment vertical="center"/>
    </xf>
    <xf borderId="1" fillId="9" fontId="3" numFmtId="168" xfId="0" applyAlignment="1" applyBorder="1" applyFont="1" applyNumberFormat="1">
      <alignment vertical="center"/>
    </xf>
    <xf borderId="0" fillId="9" fontId="3" numFmtId="0" xfId="0" applyAlignment="1" applyFont="1">
      <alignment vertical="center"/>
    </xf>
    <xf borderId="2" fillId="0" fontId="3" numFmtId="2" xfId="0" applyAlignment="1" applyBorder="1" applyFont="1" applyNumberFormat="1">
      <alignment horizontal="center" vertical="center"/>
    </xf>
    <xf borderId="0" fillId="0" fontId="3" numFmtId="168" xfId="0" applyAlignment="1" applyFont="1" applyNumberFormat="1">
      <alignment vertical="center"/>
    </xf>
    <xf borderId="62" fillId="0" fontId="3" numFmtId="168" xfId="0" applyAlignment="1" applyBorder="1" applyFont="1" applyNumberFormat="1">
      <alignment vertical="center"/>
    </xf>
    <xf borderId="63" fillId="0" fontId="1" numFmtId="168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bottom"/>
    </xf>
    <xf borderId="2" fillId="0" fontId="1" numFmtId="2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3" numFmtId="168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center"/>
    </xf>
    <xf borderId="0" fillId="0" fontId="3" numFmtId="178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44"/>
    <col customWidth="1" min="2" max="3" width="12.44"/>
    <col customWidth="1" min="4" max="4" width="6.0"/>
    <col customWidth="1" min="5" max="5" width="63.56"/>
    <col customWidth="1" min="6" max="6" width="14.67"/>
    <col customWidth="1" min="7" max="7" width="3.44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7"/>
    </row>
    <row r="3">
      <c r="A3" s="8"/>
      <c r="B3" s="9">
        <v>2.01</v>
      </c>
      <c r="C3" s="10">
        <v>45293.0</v>
      </c>
      <c r="D3" s="9" t="s">
        <v>5</v>
      </c>
      <c r="E3" s="11" t="s">
        <v>6</v>
      </c>
      <c r="F3" s="12"/>
    </row>
    <row r="4">
      <c r="A4" s="8"/>
      <c r="B4" s="13">
        <v>2.02</v>
      </c>
      <c r="C4" s="14">
        <v>45294.0</v>
      </c>
      <c r="D4" s="13" t="s">
        <v>5</v>
      </c>
      <c r="E4" s="15" t="s">
        <v>7</v>
      </c>
      <c r="F4" s="16"/>
    </row>
    <row r="5">
      <c r="A5" s="8"/>
      <c r="B5" s="9">
        <v>2.03</v>
      </c>
      <c r="C5" s="10">
        <v>45310.0</v>
      </c>
      <c r="D5" s="9" t="s">
        <v>5</v>
      </c>
      <c r="E5" s="12" t="s">
        <v>8</v>
      </c>
      <c r="F5" s="12"/>
    </row>
    <row r="6">
      <c r="A6" s="8"/>
      <c r="B6" s="13">
        <v>2.04</v>
      </c>
      <c r="C6" s="14">
        <v>45323.0</v>
      </c>
      <c r="D6" s="13" t="s">
        <v>5</v>
      </c>
      <c r="E6" s="15" t="s">
        <v>9</v>
      </c>
      <c r="F6" s="16"/>
    </row>
    <row r="7">
      <c r="A7" s="8"/>
      <c r="B7" s="9">
        <v>2.05</v>
      </c>
      <c r="C7" s="10">
        <v>45338.0</v>
      </c>
      <c r="D7" s="9" t="s">
        <v>5</v>
      </c>
      <c r="E7" s="17" t="s">
        <v>10</v>
      </c>
      <c r="F7" s="12"/>
    </row>
    <row r="8">
      <c r="A8" s="8"/>
      <c r="B8" s="13">
        <v>2.06</v>
      </c>
      <c r="C8" s="14">
        <v>45349.0</v>
      </c>
      <c r="D8" s="13" t="s">
        <v>5</v>
      </c>
      <c r="E8" s="15" t="s">
        <v>11</v>
      </c>
      <c r="F8" s="16"/>
    </row>
    <row r="9">
      <c r="A9" s="8"/>
      <c r="B9" s="9">
        <v>2.07</v>
      </c>
      <c r="C9" s="10">
        <v>45370.0</v>
      </c>
      <c r="D9" s="9" t="s">
        <v>5</v>
      </c>
      <c r="E9" s="17" t="s">
        <v>12</v>
      </c>
      <c r="F9" s="18"/>
    </row>
    <row r="10">
      <c r="A10" s="8"/>
      <c r="B10" s="13">
        <v>2.08</v>
      </c>
      <c r="C10" s="14">
        <v>45385.0</v>
      </c>
      <c r="D10" s="13" t="s">
        <v>5</v>
      </c>
      <c r="E10" s="15" t="s">
        <v>13</v>
      </c>
      <c r="F10" s="16"/>
    </row>
    <row r="11">
      <c r="A11" s="8"/>
      <c r="B11" s="9">
        <v>2.09</v>
      </c>
      <c r="C11" s="10">
        <v>45418.0</v>
      </c>
      <c r="D11" s="9" t="s">
        <v>5</v>
      </c>
      <c r="E11" s="17" t="s">
        <v>14</v>
      </c>
      <c r="F11" s="12"/>
    </row>
    <row r="12">
      <c r="A12" s="8"/>
      <c r="B12" s="19" t="s">
        <v>15</v>
      </c>
      <c r="C12" s="14">
        <v>45440.0</v>
      </c>
      <c r="D12" s="13" t="s">
        <v>5</v>
      </c>
      <c r="E12" s="15" t="s">
        <v>16</v>
      </c>
      <c r="F12" s="16"/>
    </row>
    <row r="13">
      <c r="A13" s="8"/>
      <c r="B13" s="9">
        <v>2.11</v>
      </c>
      <c r="C13" s="10">
        <v>45449.0</v>
      </c>
      <c r="D13" s="9" t="s">
        <v>5</v>
      </c>
      <c r="E13" s="17" t="s">
        <v>17</v>
      </c>
      <c r="F13" s="12"/>
    </row>
    <row r="14">
      <c r="A14" s="8"/>
      <c r="B14" s="19" t="s">
        <v>18</v>
      </c>
      <c r="C14" s="14">
        <v>45450.0</v>
      </c>
      <c r="D14" s="13" t="s">
        <v>5</v>
      </c>
      <c r="E14" s="15" t="s">
        <v>19</v>
      </c>
      <c r="F14" s="16"/>
    </row>
    <row r="15">
      <c r="A15" s="8"/>
      <c r="B15" s="20" t="s">
        <v>20</v>
      </c>
      <c r="C15" s="10">
        <v>45454.0</v>
      </c>
      <c r="D15" s="9" t="s">
        <v>5</v>
      </c>
      <c r="E15" s="17" t="s">
        <v>21</v>
      </c>
      <c r="F15" s="12"/>
    </row>
    <row r="16">
      <c r="A16" s="8"/>
      <c r="B16" s="13">
        <v>2.14</v>
      </c>
      <c r="C16" s="14">
        <v>45456.0</v>
      </c>
      <c r="D16" s="13" t="s">
        <v>5</v>
      </c>
      <c r="E16" s="15" t="s">
        <v>22</v>
      </c>
      <c r="F16" s="16"/>
    </row>
    <row r="17">
      <c r="A17" s="8"/>
      <c r="B17" s="9">
        <v>2.15</v>
      </c>
      <c r="C17" s="10">
        <v>45474.0</v>
      </c>
      <c r="D17" s="9" t="s">
        <v>5</v>
      </c>
      <c r="E17" s="17" t="s">
        <v>23</v>
      </c>
      <c r="F17" s="12"/>
    </row>
    <row r="18">
      <c r="A18" s="8"/>
      <c r="B18" s="13">
        <v>2.16</v>
      </c>
      <c r="C18" s="14">
        <v>45485.0</v>
      </c>
      <c r="D18" s="13" t="s">
        <v>5</v>
      </c>
      <c r="E18" s="15" t="s">
        <v>24</v>
      </c>
      <c r="F18" s="16"/>
    </row>
    <row r="19">
      <c r="A19" s="8"/>
      <c r="B19" s="12"/>
      <c r="C19" s="12"/>
      <c r="D19" s="12"/>
      <c r="E19" s="12"/>
      <c r="F19" s="12"/>
    </row>
    <row r="20">
      <c r="A20" s="8"/>
      <c r="B20" s="16"/>
      <c r="C20" s="16"/>
      <c r="D20" s="16"/>
      <c r="E20" s="16"/>
      <c r="F20" s="16"/>
    </row>
    <row r="21">
      <c r="A21" s="8"/>
      <c r="B21" s="12"/>
      <c r="C21" s="12"/>
      <c r="D21" s="12"/>
      <c r="E21" s="12"/>
      <c r="F21" s="12"/>
    </row>
    <row r="22">
      <c r="A22" s="8"/>
      <c r="B22" s="16"/>
      <c r="C22" s="16"/>
      <c r="D22" s="16"/>
      <c r="E22" s="16"/>
      <c r="F22" s="16"/>
    </row>
    <row r="23">
      <c r="A23" s="8"/>
      <c r="B23" s="12"/>
      <c r="C23" s="12"/>
      <c r="D23" s="12"/>
      <c r="E23" s="12"/>
      <c r="F23" s="12"/>
    </row>
    <row r="24">
      <c r="A24" s="8"/>
      <c r="B24" s="16"/>
      <c r="C24" s="16"/>
      <c r="D24" s="16"/>
      <c r="E24" s="16"/>
      <c r="F24" s="16"/>
    </row>
    <row r="25">
      <c r="A25" s="8"/>
      <c r="B25" s="12"/>
      <c r="C25" s="12"/>
      <c r="D25" s="12"/>
      <c r="E25" s="12"/>
      <c r="F25" s="12"/>
    </row>
    <row r="26">
      <c r="A26" s="8"/>
      <c r="B26" s="16"/>
      <c r="C26" s="16"/>
      <c r="D26" s="16"/>
      <c r="E26" s="16"/>
      <c r="F26" s="16"/>
    </row>
    <row r="27">
      <c r="A27" s="8"/>
      <c r="B27" s="12"/>
      <c r="C27" s="12"/>
      <c r="D27" s="12"/>
      <c r="E27" s="12"/>
      <c r="F27" s="12"/>
    </row>
    <row r="28">
      <c r="A28" s="8"/>
      <c r="B28" s="16"/>
      <c r="C28" s="16"/>
      <c r="D28" s="16"/>
      <c r="E28" s="16"/>
      <c r="F28" s="16"/>
    </row>
    <row r="29">
      <c r="A29" s="8"/>
      <c r="B29" s="12"/>
      <c r="C29" s="12"/>
      <c r="D29" s="12"/>
      <c r="E29" s="12"/>
      <c r="F29" s="12"/>
    </row>
    <row r="30">
      <c r="A30" s="8"/>
      <c r="B30" s="16"/>
      <c r="C30" s="16"/>
      <c r="D30" s="16"/>
      <c r="E30" s="16"/>
      <c r="F30" s="16"/>
    </row>
    <row r="31">
      <c r="A31" s="8"/>
      <c r="B31" s="12"/>
      <c r="C31" s="12"/>
      <c r="D31" s="12"/>
      <c r="E31" s="12"/>
      <c r="F31" s="12"/>
    </row>
    <row r="32">
      <c r="A32" s="8"/>
      <c r="B32" s="16"/>
      <c r="C32" s="16"/>
      <c r="D32" s="16"/>
      <c r="E32" s="16"/>
      <c r="F32" s="16"/>
    </row>
    <row r="33">
      <c r="A33" s="8"/>
      <c r="B33" s="12"/>
      <c r="C33" s="12"/>
      <c r="D33" s="12"/>
      <c r="E33" s="12"/>
      <c r="F33" s="12"/>
    </row>
    <row r="34">
      <c r="A34" s="8"/>
      <c r="B34" s="16"/>
      <c r="C34" s="16"/>
      <c r="D34" s="16"/>
      <c r="E34" s="16"/>
      <c r="F34" s="16"/>
    </row>
    <row r="35">
      <c r="A35" s="8"/>
      <c r="B35" s="12"/>
      <c r="C35" s="12"/>
      <c r="D35" s="12"/>
      <c r="E35" s="12"/>
      <c r="F35" s="12"/>
    </row>
    <row r="36">
      <c r="A36" s="8"/>
      <c r="B36" s="16"/>
      <c r="C36" s="16"/>
      <c r="D36" s="16"/>
      <c r="E36" s="16"/>
      <c r="F36" s="16"/>
    </row>
    <row r="37">
      <c r="A37" s="8"/>
      <c r="B37" s="12"/>
      <c r="C37" s="12"/>
      <c r="D37" s="12"/>
      <c r="E37" s="12"/>
      <c r="F37" s="12"/>
    </row>
    <row r="38">
      <c r="A38" s="8"/>
      <c r="B38" s="16"/>
      <c r="C38" s="16"/>
      <c r="D38" s="16"/>
      <c r="E38" s="16"/>
      <c r="F38" s="16"/>
    </row>
    <row r="39">
      <c r="A39" s="8"/>
      <c r="B39" s="12"/>
      <c r="C39" s="12"/>
      <c r="D39" s="12"/>
      <c r="E39" s="12"/>
      <c r="F39" s="12"/>
    </row>
    <row r="40">
      <c r="A40" s="8"/>
      <c r="B40" s="16"/>
      <c r="C40" s="16"/>
      <c r="D40" s="16"/>
      <c r="E40" s="16"/>
      <c r="F40" s="16"/>
    </row>
    <row r="41">
      <c r="A41" s="8"/>
      <c r="B41" s="12"/>
      <c r="C41" s="12"/>
      <c r="D41" s="12"/>
      <c r="E41" s="12"/>
      <c r="F41" s="12"/>
    </row>
    <row r="42">
      <c r="A42" s="8"/>
      <c r="B42" s="16"/>
      <c r="C42" s="16"/>
      <c r="D42" s="16"/>
      <c r="E42" s="16"/>
      <c r="F42" s="16"/>
    </row>
    <row r="43">
      <c r="A43" s="8"/>
      <c r="B43" s="12"/>
      <c r="C43" s="12"/>
      <c r="D43" s="12"/>
      <c r="E43" s="12"/>
      <c r="F43" s="12"/>
    </row>
    <row r="44">
      <c r="A44" s="8"/>
      <c r="B44" s="16"/>
      <c r="C44" s="16"/>
      <c r="D44" s="16"/>
      <c r="E44" s="16"/>
      <c r="F44" s="16"/>
    </row>
    <row r="45">
      <c r="A45" s="8"/>
      <c r="B45" s="12"/>
      <c r="C45" s="12"/>
      <c r="D45" s="12"/>
      <c r="E45" s="12"/>
      <c r="F45" s="12"/>
    </row>
    <row r="46">
      <c r="A46" s="8"/>
      <c r="B46" s="16"/>
      <c r="C46" s="16"/>
      <c r="D46" s="16"/>
      <c r="E46" s="16"/>
      <c r="F46" s="16"/>
    </row>
    <row r="47">
      <c r="A47" s="8"/>
      <c r="B47" s="12"/>
      <c r="C47" s="12"/>
      <c r="D47" s="12"/>
      <c r="E47" s="12"/>
      <c r="F47" s="12"/>
    </row>
    <row r="48">
      <c r="A48" s="8"/>
      <c r="B48" s="16"/>
      <c r="C48" s="16"/>
      <c r="D48" s="16"/>
      <c r="E48" s="16"/>
      <c r="F48" s="16"/>
    </row>
    <row r="49">
      <c r="A49" s="8"/>
      <c r="B49" s="12"/>
      <c r="C49" s="12"/>
      <c r="D49" s="12"/>
      <c r="E49" s="12"/>
      <c r="F49" s="12"/>
    </row>
    <row r="50">
      <c r="A50" s="8"/>
      <c r="B50" s="16"/>
      <c r="C50" s="16"/>
      <c r="D50" s="16"/>
      <c r="E50" s="16"/>
      <c r="F50" s="16"/>
    </row>
    <row r="51">
      <c r="A51" s="8"/>
      <c r="B51" s="12"/>
      <c r="C51" s="12"/>
      <c r="D51" s="12"/>
      <c r="E51" s="12"/>
      <c r="F51" s="12"/>
    </row>
    <row r="52">
      <c r="A52" s="8"/>
      <c r="B52" s="16"/>
      <c r="C52" s="16"/>
      <c r="D52" s="16"/>
      <c r="E52" s="16"/>
      <c r="F52" s="16"/>
    </row>
    <row r="53">
      <c r="A53" s="8"/>
      <c r="B53" s="12"/>
      <c r="C53" s="12"/>
      <c r="D53" s="12"/>
      <c r="E53" s="12"/>
      <c r="F53" s="12"/>
    </row>
    <row r="54">
      <c r="A54" s="8"/>
      <c r="B54" s="16"/>
      <c r="C54" s="16"/>
      <c r="D54" s="16"/>
      <c r="E54" s="16"/>
      <c r="F54" s="16"/>
    </row>
    <row r="55">
      <c r="A55" s="8"/>
      <c r="B55" s="12"/>
      <c r="C55" s="12"/>
      <c r="D55" s="12"/>
      <c r="E55" s="12"/>
      <c r="F55" s="12"/>
    </row>
    <row r="56">
      <c r="A56" s="8"/>
      <c r="B56" s="16"/>
      <c r="C56" s="16"/>
      <c r="D56" s="16"/>
      <c r="E56" s="16"/>
      <c r="F56" s="16"/>
    </row>
    <row r="57">
      <c r="A57" s="8"/>
      <c r="B57" s="12"/>
      <c r="C57" s="12"/>
      <c r="D57" s="12"/>
      <c r="E57" s="12"/>
      <c r="F57" s="12"/>
    </row>
    <row r="58">
      <c r="A58" s="8"/>
      <c r="B58" s="16"/>
      <c r="C58" s="16"/>
      <c r="D58" s="16"/>
      <c r="E58" s="16"/>
      <c r="F58" s="16"/>
    </row>
    <row r="59">
      <c r="A59" s="8"/>
      <c r="B59" s="12"/>
      <c r="C59" s="12"/>
      <c r="D59" s="12"/>
      <c r="E59" s="12"/>
      <c r="F59" s="12"/>
    </row>
    <row r="60">
      <c r="A60" s="8"/>
      <c r="B60" s="16"/>
      <c r="C60" s="16"/>
      <c r="D60" s="16"/>
      <c r="E60" s="16"/>
      <c r="F60" s="16"/>
    </row>
    <row r="61">
      <c r="A61" s="8"/>
      <c r="B61" s="12"/>
      <c r="C61" s="12"/>
      <c r="D61" s="12"/>
      <c r="E61" s="12"/>
      <c r="F61" s="12"/>
    </row>
    <row r="62">
      <c r="A62" s="8"/>
      <c r="B62" s="16"/>
      <c r="C62" s="16"/>
      <c r="D62" s="16"/>
      <c r="E62" s="16"/>
      <c r="F62" s="16"/>
    </row>
    <row r="63">
      <c r="A63" s="8"/>
      <c r="B63" s="12"/>
      <c r="C63" s="12"/>
      <c r="D63" s="12"/>
      <c r="E63" s="12"/>
      <c r="F63" s="12"/>
    </row>
    <row r="64">
      <c r="A64" s="8"/>
      <c r="B64" s="16"/>
      <c r="C64" s="16"/>
      <c r="D64" s="16"/>
      <c r="E64" s="16"/>
      <c r="F64" s="16"/>
    </row>
    <row r="65">
      <c r="A65" s="8"/>
      <c r="B65" s="12"/>
      <c r="C65" s="12"/>
      <c r="D65" s="12"/>
      <c r="E65" s="12"/>
      <c r="F65" s="12"/>
    </row>
    <row r="66">
      <c r="A66" s="21"/>
      <c r="B66" s="16"/>
      <c r="C66" s="16"/>
      <c r="D66" s="16"/>
      <c r="E66" s="16"/>
      <c r="F66" s="16"/>
    </row>
  </sheetData>
  <mergeCells count="3">
    <mergeCell ref="A1:G1"/>
    <mergeCell ref="A2:A66"/>
    <mergeCell ref="G2:G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14.0"/>
    <col customWidth="1" min="3" max="3" width="6.78"/>
    <col customWidth="1" min="4" max="4" width="30.44"/>
    <col customWidth="1" min="5" max="26" width="6.78"/>
  </cols>
  <sheetData>
    <row r="1" ht="16.5" customHeight="1">
      <c r="A1" s="22" t="s">
        <v>25</v>
      </c>
      <c r="B1" s="22" t="s">
        <v>26</v>
      </c>
      <c r="D1" s="22" t="s">
        <v>27</v>
      </c>
    </row>
    <row r="2" ht="16.5" customHeight="1">
      <c r="A2" s="22">
        <v>1001.0</v>
      </c>
      <c r="B2" s="23" t="s">
        <v>28</v>
      </c>
      <c r="D2" s="24">
        <v>1043.0</v>
      </c>
    </row>
    <row r="3" ht="16.5" customHeight="1">
      <c r="A3" s="22">
        <v>1002.0</v>
      </c>
      <c r="B3" s="23" t="s">
        <v>28</v>
      </c>
      <c r="D3" s="25">
        <f>IF(ISNA(VLOOKUP(D2,$A:$B,2,FALSE)),"專案代號輸入錯誤",VLOOKUP(D2,$A:$B,2,FALSE))</f>
        <v>1043</v>
      </c>
    </row>
    <row r="4" ht="16.5" customHeight="1">
      <c r="A4" s="22">
        <v>1003.0</v>
      </c>
      <c r="B4" s="23" t="s">
        <v>29</v>
      </c>
    </row>
    <row r="5" ht="16.5" customHeight="1">
      <c r="A5" s="22">
        <v>1004.0</v>
      </c>
      <c r="B5" s="23" t="s">
        <v>29</v>
      </c>
    </row>
    <row r="6" ht="16.5" customHeight="1">
      <c r="A6" s="22">
        <v>1005.0</v>
      </c>
      <c r="B6" s="23" t="s">
        <v>29</v>
      </c>
    </row>
    <row r="7" ht="16.5" customHeight="1">
      <c r="A7" s="22">
        <v>1006.0</v>
      </c>
      <c r="B7" s="22"/>
    </row>
    <row r="8" ht="16.5" customHeight="1">
      <c r="A8" s="22">
        <v>1007.0</v>
      </c>
      <c r="B8" s="22"/>
    </row>
    <row r="9" ht="16.5" customHeight="1">
      <c r="A9" s="22">
        <v>1008.0</v>
      </c>
      <c r="B9" s="23" t="s">
        <v>28</v>
      </c>
    </row>
    <row r="10" ht="16.5" customHeight="1">
      <c r="A10" s="22">
        <v>1009.0</v>
      </c>
      <c r="B10" s="23" t="s">
        <v>28</v>
      </c>
    </row>
    <row r="11" ht="16.5" customHeight="1">
      <c r="A11" s="22">
        <v>1010.0</v>
      </c>
      <c r="B11" s="23" t="s">
        <v>29</v>
      </c>
    </row>
    <row r="12" ht="16.5" customHeight="1">
      <c r="A12" s="22">
        <v>1011.0</v>
      </c>
      <c r="B12" s="23" t="s">
        <v>29</v>
      </c>
      <c r="D12" s="22" t="s">
        <v>30</v>
      </c>
    </row>
    <row r="13" ht="16.5" customHeight="1">
      <c r="A13" s="22">
        <v>1012.0</v>
      </c>
      <c r="B13" s="23" t="s">
        <v>28</v>
      </c>
      <c r="D13" s="23" t="s">
        <v>29</v>
      </c>
      <c r="E13" s="22" t="s">
        <v>31</v>
      </c>
    </row>
    <row r="14" ht="16.5" customHeight="1">
      <c r="A14" s="22">
        <v>1013.0</v>
      </c>
      <c r="B14" s="23" t="s">
        <v>28</v>
      </c>
      <c r="D14" s="23" t="s">
        <v>28</v>
      </c>
    </row>
    <row r="15" ht="16.5" customHeight="1">
      <c r="A15" s="22">
        <v>1014.0</v>
      </c>
      <c r="B15" s="23" t="s">
        <v>28</v>
      </c>
      <c r="D15" s="22" t="s">
        <v>32</v>
      </c>
    </row>
    <row r="16" ht="16.5" customHeight="1">
      <c r="A16" s="22">
        <v>1015.0</v>
      </c>
      <c r="B16" s="23" t="s">
        <v>29</v>
      </c>
      <c r="D16" s="26" t="s">
        <v>33</v>
      </c>
      <c r="E16" s="22" t="s">
        <v>34</v>
      </c>
    </row>
    <row r="17" ht="16.5" customHeight="1">
      <c r="A17" s="22">
        <v>1016.0</v>
      </c>
      <c r="B17" s="23" t="s">
        <v>28</v>
      </c>
      <c r="D17" s="26" t="s">
        <v>35</v>
      </c>
    </row>
    <row r="18" ht="16.5" customHeight="1">
      <c r="A18" s="22">
        <v>1017.0</v>
      </c>
      <c r="B18" s="23" t="s">
        <v>29</v>
      </c>
      <c r="D18" s="22" t="s">
        <v>36</v>
      </c>
    </row>
    <row r="19" ht="16.5" customHeight="1">
      <c r="A19" s="22">
        <v>1018.0</v>
      </c>
      <c r="B19" s="23" t="s">
        <v>29</v>
      </c>
      <c r="D19" s="22" t="s">
        <v>37</v>
      </c>
    </row>
    <row r="20" ht="16.5" customHeight="1">
      <c r="A20" s="22">
        <v>1019.0</v>
      </c>
      <c r="B20" s="23" t="s">
        <v>29</v>
      </c>
      <c r="D20" s="22" t="s">
        <v>38</v>
      </c>
    </row>
    <row r="21" ht="16.5" customHeight="1">
      <c r="A21" s="22">
        <v>1020.0</v>
      </c>
      <c r="B21" s="23" t="s">
        <v>29</v>
      </c>
      <c r="D21" s="22" t="s">
        <v>39</v>
      </c>
    </row>
    <row r="22" ht="16.5" customHeight="1">
      <c r="A22" s="22">
        <v>1021.0</v>
      </c>
      <c r="B22" s="23" t="s">
        <v>29</v>
      </c>
      <c r="D22" s="23" t="s">
        <v>40</v>
      </c>
    </row>
    <row r="23" ht="16.5" customHeight="1">
      <c r="A23" s="22">
        <v>1022.0</v>
      </c>
      <c r="B23" s="23" t="s">
        <v>29</v>
      </c>
    </row>
    <row r="24" ht="16.5" customHeight="1">
      <c r="A24" s="22">
        <v>1023.0</v>
      </c>
      <c r="B24" s="23" t="s">
        <v>29</v>
      </c>
    </row>
    <row r="25" ht="16.5" customHeight="1">
      <c r="A25" s="22">
        <v>1024.0</v>
      </c>
      <c r="B25" s="23" t="s">
        <v>29</v>
      </c>
    </row>
    <row r="26" ht="16.5" customHeight="1">
      <c r="A26" s="22">
        <v>1025.0</v>
      </c>
      <c r="B26" s="23" t="s">
        <v>28</v>
      </c>
    </row>
    <row r="27" ht="16.5" customHeight="1">
      <c r="A27" s="22">
        <v>1026.0</v>
      </c>
      <c r="B27" s="23" t="s">
        <v>29</v>
      </c>
    </row>
    <row r="28" ht="16.5" customHeight="1">
      <c r="A28" s="22">
        <v>1027.0</v>
      </c>
      <c r="B28" s="23" t="s">
        <v>28</v>
      </c>
    </row>
    <row r="29" ht="16.5" customHeight="1">
      <c r="A29" s="22">
        <v>1028.0</v>
      </c>
      <c r="B29" s="23" t="s">
        <v>28</v>
      </c>
    </row>
    <row r="30" ht="16.5" customHeight="1">
      <c r="A30" s="22">
        <v>1029.0</v>
      </c>
      <c r="B30" s="23" t="s">
        <v>29</v>
      </c>
    </row>
    <row r="31" ht="16.5" customHeight="1">
      <c r="A31" s="22">
        <v>1030.0</v>
      </c>
      <c r="B31" s="23" t="s">
        <v>29</v>
      </c>
    </row>
    <row r="32" ht="16.5" customHeight="1">
      <c r="A32" s="27">
        <v>1031.0</v>
      </c>
      <c r="B32" s="23" t="s">
        <v>29</v>
      </c>
    </row>
    <row r="33" ht="16.5" customHeight="1">
      <c r="A33" s="22">
        <v>1032.0</v>
      </c>
      <c r="B33" s="23" t="s">
        <v>29</v>
      </c>
    </row>
    <row r="34" ht="16.5" customHeight="1">
      <c r="A34" s="22">
        <v>1033.0</v>
      </c>
      <c r="B34" s="23" t="s">
        <v>28</v>
      </c>
    </row>
    <row r="35" ht="16.5" customHeight="1">
      <c r="A35" s="22">
        <v>1034.0</v>
      </c>
      <c r="B35" s="23" t="s">
        <v>28</v>
      </c>
    </row>
    <row r="36" ht="16.5" customHeight="1">
      <c r="A36" s="22">
        <v>1035.0</v>
      </c>
      <c r="B36" s="23" t="s">
        <v>29</v>
      </c>
    </row>
    <row r="37" ht="16.5" customHeight="1">
      <c r="A37" s="22">
        <v>1036.0</v>
      </c>
      <c r="B37" s="23" t="s">
        <v>29</v>
      </c>
    </row>
    <row r="38" ht="16.5" customHeight="1">
      <c r="A38" s="22">
        <v>1037.0</v>
      </c>
      <c r="B38" s="23" t="s">
        <v>29</v>
      </c>
    </row>
    <row r="39" ht="16.5" customHeight="1">
      <c r="A39" s="22">
        <v>1038.0</v>
      </c>
      <c r="B39" s="23" t="s">
        <v>29</v>
      </c>
    </row>
    <row r="40" ht="16.5" customHeight="1">
      <c r="A40" s="22">
        <v>1039.0</v>
      </c>
      <c r="B40" s="28">
        <v>100.0</v>
      </c>
    </row>
    <row r="41" ht="16.5" customHeight="1">
      <c r="A41" s="22">
        <v>1040.0</v>
      </c>
      <c r="B41" s="28">
        <v>100.0</v>
      </c>
    </row>
    <row r="42" ht="16.5" customHeight="1">
      <c r="A42" s="22">
        <v>1041.0</v>
      </c>
      <c r="B42" s="23" t="s">
        <v>41</v>
      </c>
    </row>
    <row r="43" ht="16.5" customHeight="1">
      <c r="A43" s="22">
        <v>1042.0</v>
      </c>
      <c r="B43" s="28">
        <v>100.0</v>
      </c>
    </row>
    <row r="44" ht="16.5" customHeight="1">
      <c r="A44" s="22">
        <v>1043.0</v>
      </c>
      <c r="B44" s="28">
        <v>1043.0</v>
      </c>
    </row>
    <row r="45" ht="16.5" customHeight="1">
      <c r="A45" s="22">
        <v>1044.0</v>
      </c>
      <c r="B45" s="28">
        <v>100.0</v>
      </c>
    </row>
    <row r="46" ht="16.5" customHeight="1">
      <c r="A46" s="22">
        <v>1045.0</v>
      </c>
      <c r="B46" s="28">
        <v>88.0</v>
      </c>
    </row>
    <row r="47" ht="16.5" customHeight="1">
      <c r="A47" s="22">
        <v>2001.0</v>
      </c>
      <c r="B47" s="22" t="s">
        <v>32</v>
      </c>
    </row>
    <row r="48" ht="16.5" customHeight="1">
      <c r="A48" s="22">
        <v>3001.0</v>
      </c>
      <c r="B48" s="26" t="s">
        <v>33</v>
      </c>
    </row>
    <row r="49" ht="16.5" customHeight="1">
      <c r="A49" s="22">
        <v>3002.0</v>
      </c>
      <c r="B49" s="26" t="s">
        <v>33</v>
      </c>
    </row>
    <row r="50" ht="16.5" customHeight="1">
      <c r="A50" s="22">
        <v>3003.0</v>
      </c>
      <c r="B50" s="26" t="s">
        <v>35</v>
      </c>
    </row>
    <row r="51" ht="16.5" customHeight="1">
      <c r="A51" s="22">
        <v>3004.0</v>
      </c>
      <c r="B51" s="26" t="s">
        <v>33</v>
      </c>
    </row>
    <row r="52" ht="16.5" customHeight="1">
      <c r="A52" s="22">
        <v>3005.0</v>
      </c>
      <c r="B52" s="26" t="s">
        <v>33</v>
      </c>
    </row>
    <row r="53" ht="16.5" customHeight="1">
      <c r="A53" s="22">
        <v>3006.0</v>
      </c>
      <c r="B53" s="26" t="s">
        <v>33</v>
      </c>
    </row>
    <row r="54" ht="16.5" customHeight="1">
      <c r="A54" s="22">
        <v>3007.0</v>
      </c>
      <c r="B54" s="26" t="s">
        <v>35</v>
      </c>
      <c r="K54" s="28"/>
    </row>
    <row r="55" ht="16.5" customHeight="1">
      <c r="A55" s="22">
        <v>3008.0</v>
      </c>
      <c r="B55" s="26" t="s">
        <v>35</v>
      </c>
    </row>
    <row r="56" ht="16.5" customHeight="1">
      <c r="A56" s="22">
        <v>3009.0</v>
      </c>
      <c r="B56" s="26" t="s">
        <v>35</v>
      </c>
    </row>
    <row r="57" ht="16.5" customHeight="1">
      <c r="A57" s="22">
        <v>3010.0</v>
      </c>
      <c r="B57" s="26" t="s">
        <v>35</v>
      </c>
    </row>
    <row r="58" ht="16.5" customHeight="1">
      <c r="A58" s="27">
        <v>3011.0</v>
      </c>
      <c r="B58" s="29" t="s">
        <v>42</v>
      </c>
    </row>
    <row r="59" ht="16.5" customHeight="1">
      <c r="A59" s="22">
        <v>4001.0</v>
      </c>
      <c r="B59" s="22" t="s">
        <v>36</v>
      </c>
    </row>
    <row r="60" ht="16.5" customHeight="1">
      <c r="A60" s="22">
        <v>4002.0</v>
      </c>
      <c r="B60" s="22" t="s">
        <v>37</v>
      </c>
    </row>
    <row r="61" ht="16.5" customHeight="1">
      <c r="A61" s="22">
        <v>4003.0</v>
      </c>
      <c r="B61" s="22" t="s">
        <v>38</v>
      </c>
    </row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100.0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2.0</v>
      </c>
      <c r="H2" s="37">
        <v>5.0</v>
      </c>
      <c r="I2" s="37">
        <v>10.0</v>
      </c>
      <c r="J2" s="37">
        <v>12.0</v>
      </c>
      <c r="K2" s="37">
        <v>15.0</v>
      </c>
      <c r="L2" s="37">
        <v>20.0</v>
      </c>
      <c r="M2" s="37">
        <v>25.0</v>
      </c>
      <c r="N2" s="37">
        <v>30.0</v>
      </c>
      <c r="O2" s="37">
        <v>35.0</v>
      </c>
      <c r="P2" s="37">
        <v>40.0</v>
      </c>
      <c r="Q2" s="37">
        <v>45.0</v>
      </c>
      <c r="R2" s="37">
        <v>50.0</v>
      </c>
      <c r="S2" s="37">
        <v>60.0</v>
      </c>
      <c r="T2" s="37">
        <v>70.0</v>
      </c>
      <c r="U2" s="37">
        <v>80.0</v>
      </c>
      <c r="V2" s="37">
        <v>90.0</v>
      </c>
      <c r="W2" s="37">
        <v>100.0</v>
      </c>
      <c r="X2" s="37">
        <v>150.0</v>
      </c>
      <c r="Y2" s="37">
        <v>200.0</v>
      </c>
      <c r="Z2" s="37">
        <v>300.0</v>
      </c>
      <c r="AA2" s="37">
        <v>500.0</v>
      </c>
      <c r="AB2" s="37">
        <v>1000.0</v>
      </c>
      <c r="AC2" s="37">
        <v>1500.0</v>
      </c>
      <c r="AD2" s="37">
        <v>3000.0</v>
      </c>
      <c r="AE2" s="37">
        <v>5000.0</v>
      </c>
      <c r="AF2" s="37">
        <v>7500.0</v>
      </c>
      <c r="AG2" s="37">
        <v>10000.0</v>
      </c>
      <c r="AH2" s="38">
        <v>15000.0</v>
      </c>
      <c r="AI2" s="38">
        <v>25000.0</v>
      </c>
    </row>
    <row r="3" ht="16.5" customHeight="1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C3" s="39"/>
      <c r="AD3" s="39"/>
      <c r="AE3" s="39"/>
      <c r="AF3" s="39"/>
      <c r="AG3" s="39"/>
      <c r="AH3" s="39"/>
      <c r="AI3" s="39"/>
    </row>
    <row r="4" ht="16.5" customHeigh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ht="16.5" customHeight="1">
      <c r="A5" s="43" t="s">
        <v>45</v>
      </c>
      <c r="B5" s="44" t="s">
        <v>46</v>
      </c>
      <c r="C5" s="44" t="s">
        <v>47</v>
      </c>
      <c r="D5" s="44" t="s">
        <v>48</v>
      </c>
      <c r="E5" s="44" t="s">
        <v>49</v>
      </c>
      <c r="F5" s="44" t="s">
        <v>50</v>
      </c>
      <c r="G5" s="44" t="s">
        <v>51</v>
      </c>
      <c r="H5" s="44" t="s">
        <v>52</v>
      </c>
      <c r="I5" s="44" t="s">
        <v>53</v>
      </c>
      <c r="J5" s="44" t="s">
        <v>54</v>
      </c>
      <c r="K5" s="44" t="s">
        <v>55</v>
      </c>
      <c r="L5" s="44" t="s">
        <v>56</v>
      </c>
      <c r="M5" s="44" t="s">
        <v>57</v>
      </c>
      <c r="N5" s="44" t="s">
        <v>58</v>
      </c>
      <c r="O5" s="44" t="s">
        <v>59</v>
      </c>
      <c r="P5" s="44" t="s">
        <v>60</v>
      </c>
      <c r="Q5" s="44" t="s">
        <v>61</v>
      </c>
      <c r="R5" s="44" t="s">
        <v>62</v>
      </c>
      <c r="S5" s="44" t="s">
        <v>63</v>
      </c>
      <c r="T5" s="44" t="s">
        <v>64</v>
      </c>
      <c r="U5" s="44" t="s">
        <v>65</v>
      </c>
      <c r="V5" s="44" t="s">
        <v>66</v>
      </c>
      <c r="W5" s="44" t="s">
        <v>67</v>
      </c>
      <c r="X5" s="44" t="s">
        <v>68</v>
      </c>
      <c r="Y5" s="44" t="s">
        <v>69</v>
      </c>
      <c r="Z5" s="45"/>
      <c r="AA5" s="46" t="s">
        <v>70</v>
      </c>
      <c r="AI5" s="47"/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49">
        <f>'試算-SLOT'!G6</f>
        <v>0.002</v>
      </c>
      <c r="F6" s="50">
        <v>3.0</v>
      </c>
      <c r="G6" s="50">
        <v>4.0</v>
      </c>
      <c r="H6" s="50">
        <v>6.0</v>
      </c>
      <c r="I6" s="50">
        <v>7.0</v>
      </c>
      <c r="J6" s="50">
        <v>8.0</v>
      </c>
      <c r="K6" s="50">
        <v>9.0</v>
      </c>
      <c r="L6" s="50">
        <v>11.0</v>
      </c>
      <c r="M6" s="50">
        <v>13.0</v>
      </c>
      <c r="N6" s="50">
        <v>14.0</v>
      </c>
      <c r="O6" s="50">
        <v>16.0</v>
      </c>
      <c r="P6" s="50">
        <v>18.0</v>
      </c>
      <c r="Q6" s="50">
        <v>19.0</v>
      </c>
      <c r="R6" s="50">
        <v>20.0</v>
      </c>
      <c r="S6" s="50">
        <v>21.0</v>
      </c>
      <c r="T6" s="50">
        <v>22.0</v>
      </c>
      <c r="U6" s="50">
        <v>23.0</v>
      </c>
      <c r="V6" s="50">
        <v>24.0</v>
      </c>
      <c r="W6" s="50">
        <v>25.0</v>
      </c>
      <c r="X6" s="50">
        <v>26.0</v>
      </c>
      <c r="Y6" s="50">
        <v>27.0</v>
      </c>
      <c r="Z6" s="51"/>
      <c r="AA6" s="52"/>
      <c r="AH6" s="2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49">
        <f>'試算-SLOT'!G7</f>
        <v>0.002</v>
      </c>
      <c r="F7" s="50">
        <v>1.0</v>
      </c>
      <c r="G7" s="50">
        <v>2.0</v>
      </c>
      <c r="H7" s="50">
        <v>3.0</v>
      </c>
      <c r="I7" s="50">
        <v>4.0</v>
      </c>
      <c r="J7" s="50">
        <v>5.0</v>
      </c>
      <c r="K7" s="50">
        <v>6.0</v>
      </c>
      <c r="L7" s="50">
        <v>7.0</v>
      </c>
      <c r="M7" s="50">
        <v>8.0</v>
      </c>
      <c r="N7" s="50">
        <v>9.0</v>
      </c>
      <c r="O7" s="50">
        <v>11.0</v>
      </c>
      <c r="P7" s="50">
        <v>13.0</v>
      </c>
      <c r="Q7" s="50">
        <v>14.0</v>
      </c>
      <c r="R7" s="50">
        <v>16.0</v>
      </c>
      <c r="S7" s="50">
        <v>18.0</v>
      </c>
      <c r="T7" s="50">
        <v>19.0</v>
      </c>
      <c r="U7" s="50">
        <v>20.0</v>
      </c>
      <c r="V7" s="50">
        <v>21.0</v>
      </c>
      <c r="W7" s="50">
        <v>22.0</v>
      </c>
      <c r="X7" s="50">
        <v>23.0</v>
      </c>
      <c r="Y7" s="50">
        <v>24.0</v>
      </c>
      <c r="Z7" s="51"/>
      <c r="AA7" s="52"/>
      <c r="AG7" s="2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49">
        <f>'試算-SLOT'!G8</f>
        <v>0.002</v>
      </c>
      <c r="F8" s="50">
        <v>4.0</v>
      </c>
      <c r="G8" s="50">
        <v>6.0</v>
      </c>
      <c r="H8" s="50">
        <v>7.0</v>
      </c>
      <c r="I8" s="50">
        <v>9.0</v>
      </c>
      <c r="J8" s="50">
        <v>11.0</v>
      </c>
      <c r="K8" s="50">
        <v>13.0</v>
      </c>
      <c r="L8" s="50">
        <v>14.0</v>
      </c>
      <c r="M8" s="50">
        <v>16.0</v>
      </c>
      <c r="N8" s="50">
        <v>18.0</v>
      </c>
      <c r="O8" s="50">
        <v>19.0</v>
      </c>
      <c r="P8" s="50">
        <v>20.0</v>
      </c>
      <c r="Q8" s="50">
        <v>21.0</v>
      </c>
      <c r="R8" s="50">
        <v>22.0</v>
      </c>
      <c r="S8" s="50">
        <v>23.0</v>
      </c>
      <c r="T8" s="50">
        <v>24.0</v>
      </c>
      <c r="U8" s="50">
        <v>25.0</v>
      </c>
      <c r="V8" s="50">
        <v>26.0</v>
      </c>
      <c r="W8" s="50">
        <v>27.0</v>
      </c>
      <c r="X8" s="50">
        <v>28.0</v>
      </c>
      <c r="Y8" s="50">
        <v>29.0</v>
      </c>
      <c r="Z8" s="51"/>
      <c r="AA8" s="52"/>
      <c r="AG8" s="2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49">
        <f>'試算-SLOT'!G9</f>
        <v>0.002</v>
      </c>
      <c r="F9" s="50">
        <v>2.0</v>
      </c>
      <c r="G9" s="50">
        <v>3.0</v>
      </c>
      <c r="H9" s="50">
        <v>4.0</v>
      </c>
      <c r="I9" s="50">
        <v>5.0</v>
      </c>
      <c r="J9" s="50">
        <v>6.0</v>
      </c>
      <c r="K9" s="50">
        <v>7.0</v>
      </c>
      <c r="L9" s="50">
        <v>8.0</v>
      </c>
      <c r="M9" s="50">
        <v>9.0</v>
      </c>
      <c r="N9" s="50">
        <v>11.0</v>
      </c>
      <c r="O9" s="50">
        <v>13.0</v>
      </c>
      <c r="P9" s="50">
        <v>14.0</v>
      </c>
      <c r="Q9" s="50">
        <v>16.0</v>
      </c>
      <c r="R9" s="50">
        <v>18.0</v>
      </c>
      <c r="S9" s="50">
        <v>19.0</v>
      </c>
      <c r="T9" s="50">
        <v>20.0</v>
      </c>
      <c r="U9" s="50">
        <v>21.0</v>
      </c>
      <c r="V9" s="50">
        <v>22.0</v>
      </c>
      <c r="W9" s="50">
        <v>23.0</v>
      </c>
      <c r="X9" s="50">
        <v>24.0</v>
      </c>
      <c r="Y9" s="50">
        <v>25.0</v>
      </c>
      <c r="Z9" s="51"/>
      <c r="AA9" s="52"/>
      <c r="AG9" s="2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49">
        <f>'試算-SLOT'!G10</f>
        <v>0.002</v>
      </c>
      <c r="F10" s="50">
        <v>3.0</v>
      </c>
      <c r="G10" s="50">
        <v>4.0</v>
      </c>
      <c r="H10" s="50">
        <v>5.0</v>
      </c>
      <c r="I10" s="50">
        <v>6.0</v>
      </c>
      <c r="J10" s="50">
        <v>7.0</v>
      </c>
      <c r="K10" s="50">
        <v>8.0</v>
      </c>
      <c r="L10" s="50">
        <v>9.0</v>
      </c>
      <c r="M10" s="50">
        <v>11.0</v>
      </c>
      <c r="N10" s="50">
        <v>13.0</v>
      </c>
      <c r="O10" s="50">
        <v>14.0</v>
      </c>
      <c r="P10" s="50">
        <v>16.0</v>
      </c>
      <c r="Q10" s="50">
        <v>18.0</v>
      </c>
      <c r="R10" s="50">
        <v>19.0</v>
      </c>
      <c r="S10" s="50">
        <v>20.0</v>
      </c>
      <c r="T10" s="50">
        <v>21.0</v>
      </c>
      <c r="U10" s="50">
        <v>22.0</v>
      </c>
      <c r="V10" s="50">
        <v>23.0</v>
      </c>
      <c r="W10" s="50">
        <v>24.0</v>
      </c>
      <c r="X10" s="50">
        <v>25.0</v>
      </c>
      <c r="Y10" s="50">
        <v>26.0</v>
      </c>
      <c r="Z10" s="51"/>
      <c r="AA10" s="52"/>
      <c r="AG10" s="22"/>
      <c r="AH10" s="2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49">
        <f>'試算-SLOT'!G11</f>
        <v>0.002</v>
      </c>
      <c r="F11" s="50">
        <v>1.0</v>
      </c>
      <c r="G11" s="50">
        <v>2.0</v>
      </c>
      <c r="H11" s="50">
        <v>3.0</v>
      </c>
      <c r="I11" s="50">
        <v>4.0</v>
      </c>
      <c r="J11" s="50">
        <v>5.0</v>
      </c>
      <c r="K11" s="50">
        <v>6.0</v>
      </c>
      <c r="L11" s="50">
        <v>7.0</v>
      </c>
      <c r="M11" s="50">
        <v>8.0</v>
      </c>
      <c r="N11" s="50">
        <v>9.0</v>
      </c>
      <c r="O11" s="50">
        <v>10.0</v>
      </c>
      <c r="P11" s="50">
        <v>11.0</v>
      </c>
      <c r="Q11" s="50">
        <v>13.0</v>
      </c>
      <c r="R11" s="50">
        <v>14.0</v>
      </c>
      <c r="S11" s="50">
        <v>16.0</v>
      </c>
      <c r="T11" s="50">
        <v>18.0</v>
      </c>
      <c r="U11" s="50">
        <v>19.0</v>
      </c>
      <c r="V11" s="50">
        <v>20.0</v>
      </c>
      <c r="W11" s="50">
        <v>21.0</v>
      </c>
      <c r="X11" s="50">
        <v>22.0</v>
      </c>
      <c r="Y11" s="50">
        <v>23.0</v>
      </c>
      <c r="Z11" s="51"/>
      <c r="AA11" s="52"/>
      <c r="AG11" s="2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49">
        <f>'試算-SLOT'!G12</f>
        <v>0.002</v>
      </c>
      <c r="F12" s="50">
        <v>1.0</v>
      </c>
      <c r="G12" s="50">
        <v>2.0</v>
      </c>
      <c r="H12" s="50">
        <v>3.0</v>
      </c>
      <c r="I12" s="50">
        <v>4.0</v>
      </c>
      <c r="J12" s="50">
        <v>5.0</v>
      </c>
      <c r="K12" s="50">
        <v>6.0</v>
      </c>
      <c r="L12" s="50">
        <v>7.0</v>
      </c>
      <c r="M12" s="50">
        <v>8.0</v>
      </c>
      <c r="N12" s="50">
        <v>9.0</v>
      </c>
      <c r="O12" s="50">
        <v>10.0</v>
      </c>
      <c r="P12" s="50">
        <v>11.0</v>
      </c>
      <c r="Q12" s="50">
        <v>12.0</v>
      </c>
      <c r="R12" s="50">
        <v>13.0</v>
      </c>
      <c r="S12" s="50">
        <v>14.0</v>
      </c>
      <c r="T12" s="50">
        <v>15.0</v>
      </c>
      <c r="U12" s="50">
        <v>16.0</v>
      </c>
      <c r="V12" s="50">
        <v>17.0</v>
      </c>
      <c r="W12" s="50">
        <v>18.0</v>
      </c>
      <c r="X12" s="50">
        <v>19.0</v>
      </c>
      <c r="Y12" s="50">
        <v>20.0</v>
      </c>
      <c r="Z12" s="51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49">
        <f>'試算-SLOT'!G13</f>
        <v>0.002</v>
      </c>
      <c r="F13" s="50">
        <v>1.0</v>
      </c>
      <c r="G13" s="50">
        <v>2.0</v>
      </c>
      <c r="H13" s="50">
        <v>3.0</v>
      </c>
      <c r="I13" s="50">
        <v>4.0</v>
      </c>
      <c r="J13" s="50">
        <v>5.0</v>
      </c>
      <c r="K13" s="50">
        <v>6.0</v>
      </c>
      <c r="L13" s="50">
        <v>7.0</v>
      </c>
      <c r="M13" s="50">
        <v>8.0</v>
      </c>
      <c r="N13" s="50">
        <v>9.0</v>
      </c>
      <c r="O13" s="50">
        <v>10.0</v>
      </c>
      <c r="P13" s="50">
        <v>11.0</v>
      </c>
      <c r="Q13" s="50">
        <v>12.0</v>
      </c>
      <c r="R13" s="50">
        <v>13.0</v>
      </c>
      <c r="S13" s="50">
        <v>14.0</v>
      </c>
      <c r="T13" s="50">
        <v>15.0</v>
      </c>
      <c r="U13" s="50">
        <v>16.0</v>
      </c>
      <c r="V13" s="50">
        <v>17.0</v>
      </c>
      <c r="W13" s="50">
        <v>18.0</v>
      </c>
      <c r="X13" s="50">
        <v>19.0</v>
      </c>
      <c r="Y13" s="50">
        <v>20.0</v>
      </c>
      <c r="Z13" s="51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49">
        <f>'試算-SLOT'!G14</f>
        <v>0.002</v>
      </c>
      <c r="F14" s="50">
        <v>4.0</v>
      </c>
      <c r="G14" s="50">
        <v>6.0</v>
      </c>
      <c r="H14" s="50">
        <v>7.0</v>
      </c>
      <c r="I14" s="50">
        <v>9.0</v>
      </c>
      <c r="J14" s="50">
        <v>11.0</v>
      </c>
      <c r="K14" s="50">
        <v>13.0</v>
      </c>
      <c r="L14" s="50">
        <v>14.0</v>
      </c>
      <c r="M14" s="50">
        <v>16.0</v>
      </c>
      <c r="N14" s="50">
        <v>18.0</v>
      </c>
      <c r="O14" s="50">
        <v>19.0</v>
      </c>
      <c r="P14" s="50">
        <v>20.0</v>
      </c>
      <c r="Q14" s="50">
        <v>21.0</v>
      </c>
      <c r="R14" s="50">
        <v>22.0</v>
      </c>
      <c r="S14" s="50">
        <v>23.0</v>
      </c>
      <c r="T14" s="50">
        <v>24.0</v>
      </c>
      <c r="U14" s="50">
        <v>25.0</v>
      </c>
      <c r="V14" s="50">
        <v>26.0</v>
      </c>
      <c r="W14" s="50">
        <v>27.0</v>
      </c>
      <c r="X14" s="50">
        <v>28.0</v>
      </c>
      <c r="Y14" s="50">
        <v>29.0</v>
      </c>
      <c r="Z14" s="51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49">
        <f>'試算-SLOT'!G15</f>
        <v>0.01</v>
      </c>
      <c r="F15" s="50">
        <v>3.0</v>
      </c>
      <c r="G15" s="50">
        <v>4.0</v>
      </c>
      <c r="H15" s="50">
        <v>6.0</v>
      </c>
      <c r="I15" s="50">
        <v>7.0</v>
      </c>
      <c r="J15" s="50">
        <v>9.0</v>
      </c>
      <c r="K15" s="50">
        <v>11.0</v>
      </c>
      <c r="L15" s="50">
        <v>13.0</v>
      </c>
      <c r="M15" s="50">
        <v>14.0</v>
      </c>
      <c r="N15" s="50">
        <v>16.0</v>
      </c>
      <c r="O15" s="50">
        <v>18.0</v>
      </c>
      <c r="P15" s="50">
        <v>19.0</v>
      </c>
      <c r="Q15" s="50">
        <v>20.0</v>
      </c>
      <c r="R15" s="50">
        <v>21.0</v>
      </c>
      <c r="S15" s="50">
        <v>22.0</v>
      </c>
      <c r="T15" s="50">
        <v>23.0</v>
      </c>
      <c r="U15" s="50">
        <v>24.0</v>
      </c>
      <c r="V15" s="50">
        <v>25.0</v>
      </c>
      <c r="W15" s="50">
        <v>26.0</v>
      </c>
      <c r="X15" s="50">
        <v>27.0</v>
      </c>
      <c r="Y15" s="50">
        <v>28.0</v>
      </c>
      <c r="Z15" s="51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49">
        <f>'試算-SLOT'!G16</f>
        <v>0.002</v>
      </c>
      <c r="F16" s="50">
        <v>1.0</v>
      </c>
      <c r="G16" s="50">
        <v>2.0</v>
      </c>
      <c r="H16" s="50">
        <v>3.0</v>
      </c>
      <c r="I16" s="50">
        <v>4.0</v>
      </c>
      <c r="J16" s="50">
        <v>5.0</v>
      </c>
      <c r="K16" s="50">
        <v>6.0</v>
      </c>
      <c r="L16" s="50">
        <v>7.0</v>
      </c>
      <c r="M16" s="50">
        <v>8.0</v>
      </c>
      <c r="N16" s="50">
        <v>9.0</v>
      </c>
      <c r="O16" s="50">
        <v>10.0</v>
      </c>
      <c r="P16" s="50">
        <v>11.0</v>
      </c>
      <c r="Q16" s="50">
        <v>12.0</v>
      </c>
      <c r="R16" s="50">
        <v>13.0</v>
      </c>
      <c r="S16" s="50">
        <v>14.0</v>
      </c>
      <c r="T16" s="50">
        <v>15.0</v>
      </c>
      <c r="U16" s="50">
        <v>16.0</v>
      </c>
      <c r="V16" s="50">
        <v>18.0</v>
      </c>
      <c r="W16" s="50">
        <v>19.0</v>
      </c>
      <c r="X16" s="50">
        <v>20.0</v>
      </c>
      <c r="Y16" s="50">
        <v>21.0</v>
      </c>
      <c r="Z16" s="51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49">
        <f>'試算-SLOT'!G17</f>
        <v>0.004</v>
      </c>
      <c r="F17" s="50">
        <v>1.0</v>
      </c>
      <c r="G17" s="50">
        <v>2.0</v>
      </c>
      <c r="H17" s="50">
        <v>3.0</v>
      </c>
      <c r="I17" s="50">
        <v>4.0</v>
      </c>
      <c r="J17" s="50">
        <v>5.0</v>
      </c>
      <c r="K17" s="50">
        <v>6.0</v>
      </c>
      <c r="L17" s="50">
        <v>7.0</v>
      </c>
      <c r="M17" s="50">
        <v>8.0</v>
      </c>
      <c r="N17" s="50">
        <v>9.0</v>
      </c>
      <c r="O17" s="50">
        <v>11.0</v>
      </c>
      <c r="P17" s="50">
        <v>13.0</v>
      </c>
      <c r="Q17" s="50">
        <v>14.0</v>
      </c>
      <c r="R17" s="50">
        <v>16.0</v>
      </c>
      <c r="S17" s="50">
        <v>18.0</v>
      </c>
      <c r="T17" s="50">
        <v>19.0</v>
      </c>
      <c r="U17" s="50">
        <v>20.0</v>
      </c>
      <c r="V17" s="50">
        <v>21.0</v>
      </c>
      <c r="W17" s="50">
        <v>22.0</v>
      </c>
      <c r="X17" s="50">
        <v>23.0</v>
      </c>
      <c r="Y17" s="50">
        <v>24.0</v>
      </c>
      <c r="Z17" s="51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49">
        <f>'試算-SLOT'!G18</f>
        <v>0.002</v>
      </c>
      <c r="F18" s="50">
        <v>3.0</v>
      </c>
      <c r="G18" s="50">
        <v>4.0</v>
      </c>
      <c r="H18" s="50">
        <v>6.0</v>
      </c>
      <c r="I18" s="50">
        <v>7.0</v>
      </c>
      <c r="J18" s="50">
        <v>8.0</v>
      </c>
      <c r="K18" s="50">
        <v>9.0</v>
      </c>
      <c r="L18" s="50">
        <v>11.0</v>
      </c>
      <c r="M18" s="50">
        <v>13.0</v>
      </c>
      <c r="N18" s="50">
        <v>14.0</v>
      </c>
      <c r="O18" s="50">
        <v>16.0</v>
      </c>
      <c r="P18" s="50">
        <v>18.0</v>
      </c>
      <c r="Q18" s="50">
        <v>19.0</v>
      </c>
      <c r="R18" s="50">
        <v>20.0</v>
      </c>
      <c r="S18" s="50">
        <v>21.0</v>
      </c>
      <c r="T18" s="50">
        <v>22.0</v>
      </c>
      <c r="U18" s="50">
        <v>23.0</v>
      </c>
      <c r="V18" s="50">
        <v>24.0</v>
      </c>
      <c r="W18" s="50">
        <v>25.0</v>
      </c>
      <c r="X18" s="50">
        <v>26.0</v>
      </c>
      <c r="Y18" s="50">
        <v>27.0</v>
      </c>
      <c r="Z18" s="51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49">
        <f>'試算-SLOT'!G19</f>
        <v>0.002</v>
      </c>
      <c r="F19" s="50">
        <v>1.0</v>
      </c>
      <c r="G19" s="50">
        <v>2.0</v>
      </c>
      <c r="H19" s="50">
        <v>3.0</v>
      </c>
      <c r="I19" s="50">
        <v>4.0</v>
      </c>
      <c r="J19" s="50">
        <v>5.0</v>
      </c>
      <c r="K19" s="50">
        <v>6.0</v>
      </c>
      <c r="L19" s="50">
        <v>7.0</v>
      </c>
      <c r="M19" s="50">
        <v>8.0</v>
      </c>
      <c r="N19" s="50">
        <v>9.0</v>
      </c>
      <c r="O19" s="50">
        <v>11.0</v>
      </c>
      <c r="P19" s="50">
        <v>13.0</v>
      </c>
      <c r="Q19" s="50">
        <v>14.0</v>
      </c>
      <c r="R19" s="50">
        <v>16.0</v>
      </c>
      <c r="S19" s="50">
        <v>18.0</v>
      </c>
      <c r="T19" s="50">
        <v>19.0</v>
      </c>
      <c r="U19" s="50">
        <v>20.0</v>
      </c>
      <c r="V19" s="50">
        <v>21.0</v>
      </c>
      <c r="W19" s="50">
        <v>22.0</v>
      </c>
      <c r="X19" s="50">
        <v>23.0</v>
      </c>
      <c r="Y19" s="50">
        <v>24.0</v>
      </c>
      <c r="Z19" s="51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49">
        <f>'試算-SLOT'!G20</f>
        <v>0.002</v>
      </c>
      <c r="F20" s="50">
        <v>2.0</v>
      </c>
      <c r="G20" s="50">
        <v>3.0</v>
      </c>
      <c r="H20" s="50">
        <v>4.0</v>
      </c>
      <c r="I20" s="50">
        <v>5.0</v>
      </c>
      <c r="J20" s="50">
        <v>6.0</v>
      </c>
      <c r="K20" s="50">
        <v>7.0</v>
      </c>
      <c r="L20" s="50">
        <v>8.0</v>
      </c>
      <c r="M20" s="50">
        <v>9.0</v>
      </c>
      <c r="N20" s="50">
        <v>11.0</v>
      </c>
      <c r="O20" s="50">
        <v>13.0</v>
      </c>
      <c r="P20" s="50">
        <v>14.0</v>
      </c>
      <c r="Q20" s="50">
        <v>16.0</v>
      </c>
      <c r="R20" s="50">
        <v>18.0</v>
      </c>
      <c r="S20" s="50">
        <v>19.0</v>
      </c>
      <c r="T20" s="50">
        <v>20.0</v>
      </c>
      <c r="U20" s="50">
        <v>21.0</v>
      </c>
      <c r="V20" s="50">
        <v>22.0</v>
      </c>
      <c r="W20" s="50">
        <v>23.0</v>
      </c>
      <c r="X20" s="50">
        <v>24.0</v>
      </c>
      <c r="Y20" s="50">
        <v>25.0</v>
      </c>
      <c r="Z20" s="51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49">
        <f>'試算-SLOT'!G21</f>
        <v>0.002</v>
      </c>
      <c r="F21" s="50">
        <v>1.0</v>
      </c>
      <c r="G21" s="50">
        <v>2.0</v>
      </c>
      <c r="H21" s="50">
        <v>3.0</v>
      </c>
      <c r="I21" s="50">
        <v>4.0</v>
      </c>
      <c r="J21" s="50">
        <v>5.0</v>
      </c>
      <c r="K21" s="50">
        <v>6.0</v>
      </c>
      <c r="L21" s="50">
        <v>7.0</v>
      </c>
      <c r="M21" s="50">
        <v>8.0</v>
      </c>
      <c r="N21" s="50">
        <v>9.0</v>
      </c>
      <c r="O21" s="50">
        <v>10.0</v>
      </c>
      <c r="P21" s="50">
        <v>11.0</v>
      </c>
      <c r="Q21" s="50">
        <v>13.0</v>
      </c>
      <c r="R21" s="50">
        <v>14.0</v>
      </c>
      <c r="S21" s="50">
        <v>16.0</v>
      </c>
      <c r="T21" s="50">
        <v>18.0</v>
      </c>
      <c r="U21" s="50">
        <v>19.0</v>
      </c>
      <c r="V21" s="50">
        <v>20.0</v>
      </c>
      <c r="W21" s="50">
        <v>21.0</v>
      </c>
      <c r="X21" s="50">
        <v>22.0</v>
      </c>
      <c r="Y21" s="50">
        <v>23.0</v>
      </c>
      <c r="Z21" s="51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49">
        <f>'試算-SLOT'!G22</f>
        <v>0.002</v>
      </c>
      <c r="F22" s="50">
        <v>1.0</v>
      </c>
      <c r="G22" s="50">
        <v>2.0</v>
      </c>
      <c r="H22" s="50">
        <v>3.0</v>
      </c>
      <c r="I22" s="50">
        <v>4.0</v>
      </c>
      <c r="J22" s="50">
        <v>5.0</v>
      </c>
      <c r="K22" s="50">
        <v>6.0</v>
      </c>
      <c r="L22" s="50">
        <v>7.0</v>
      </c>
      <c r="M22" s="50">
        <v>8.0</v>
      </c>
      <c r="N22" s="50">
        <v>9.0</v>
      </c>
      <c r="O22" s="50">
        <v>10.0</v>
      </c>
      <c r="P22" s="50">
        <v>11.0</v>
      </c>
      <c r="Q22" s="50">
        <v>12.0</v>
      </c>
      <c r="R22" s="50">
        <v>13.0</v>
      </c>
      <c r="S22" s="50">
        <v>14.0</v>
      </c>
      <c r="T22" s="50">
        <v>15.0</v>
      </c>
      <c r="U22" s="50">
        <v>16.0</v>
      </c>
      <c r="V22" s="50">
        <v>18.0</v>
      </c>
      <c r="W22" s="50">
        <v>19.0</v>
      </c>
      <c r="X22" s="50">
        <v>20.0</v>
      </c>
      <c r="Y22" s="50">
        <v>21.0</v>
      </c>
      <c r="Z22" s="51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49">
        <f>'試算-SLOT'!G23</f>
        <v>0.004</v>
      </c>
      <c r="F23" s="50">
        <v>4.0</v>
      </c>
      <c r="G23" s="50">
        <v>6.0</v>
      </c>
      <c r="H23" s="50">
        <v>7.0</v>
      </c>
      <c r="I23" s="50">
        <v>9.0</v>
      </c>
      <c r="J23" s="50">
        <v>11.0</v>
      </c>
      <c r="K23" s="50">
        <v>13.0</v>
      </c>
      <c r="L23" s="50">
        <v>14.0</v>
      </c>
      <c r="M23" s="50">
        <v>16.0</v>
      </c>
      <c r="N23" s="50">
        <v>18.0</v>
      </c>
      <c r="O23" s="50">
        <v>19.0</v>
      </c>
      <c r="P23" s="50">
        <v>20.0</v>
      </c>
      <c r="Q23" s="50">
        <v>21.0</v>
      </c>
      <c r="R23" s="50">
        <v>22.0</v>
      </c>
      <c r="S23" s="50">
        <v>23.0</v>
      </c>
      <c r="T23" s="50">
        <v>24.0</v>
      </c>
      <c r="U23" s="50">
        <v>25.0</v>
      </c>
      <c r="V23" s="50">
        <v>26.0</v>
      </c>
      <c r="W23" s="50">
        <v>27.0</v>
      </c>
      <c r="X23" s="50">
        <v>28.0</v>
      </c>
      <c r="Y23" s="50">
        <v>29.0</v>
      </c>
      <c r="Z23" s="51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49">
        <f>'試算-SLOT'!G24</f>
        <v>0.02</v>
      </c>
      <c r="F24" s="50">
        <v>7.0</v>
      </c>
      <c r="G24" s="50">
        <v>9.0</v>
      </c>
      <c r="H24" s="50">
        <v>11.0</v>
      </c>
      <c r="I24" s="50">
        <v>14.0</v>
      </c>
      <c r="J24" s="50">
        <v>15.0</v>
      </c>
      <c r="K24" s="50">
        <v>16.0</v>
      </c>
      <c r="L24" s="50">
        <v>17.0</v>
      </c>
      <c r="M24" s="50">
        <v>18.0</v>
      </c>
      <c r="N24" s="50">
        <v>19.0</v>
      </c>
      <c r="O24" s="50">
        <v>20.0</v>
      </c>
      <c r="P24" s="50">
        <v>21.0</v>
      </c>
      <c r="Q24" s="50">
        <v>22.0</v>
      </c>
      <c r="R24" s="50">
        <v>23.0</v>
      </c>
      <c r="S24" s="50">
        <v>24.0</v>
      </c>
      <c r="T24" s="50">
        <v>25.0</v>
      </c>
      <c r="U24" s="50">
        <v>26.0</v>
      </c>
      <c r="V24" s="50">
        <v>27.0</v>
      </c>
      <c r="W24" s="50">
        <v>28.0</v>
      </c>
      <c r="X24" s="50">
        <v>29.0</v>
      </c>
      <c r="Y24" s="50">
        <v>30.0</v>
      </c>
      <c r="Z24" s="51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49">
        <f>'試算-SLOT'!G25</f>
        <v>0.03</v>
      </c>
      <c r="F25" s="50">
        <v>3.0</v>
      </c>
      <c r="G25" s="50">
        <v>4.0</v>
      </c>
      <c r="H25" s="50">
        <v>6.0</v>
      </c>
      <c r="I25" s="50">
        <v>7.0</v>
      </c>
      <c r="J25" s="50">
        <v>9.0</v>
      </c>
      <c r="K25" s="50">
        <v>11.0</v>
      </c>
      <c r="L25" s="50">
        <v>13.0</v>
      </c>
      <c r="M25" s="50">
        <v>14.0</v>
      </c>
      <c r="N25" s="50">
        <v>16.0</v>
      </c>
      <c r="O25" s="50">
        <v>18.0</v>
      </c>
      <c r="P25" s="50">
        <v>19.0</v>
      </c>
      <c r="Q25" s="50">
        <v>20.0</v>
      </c>
      <c r="R25" s="50">
        <v>21.0</v>
      </c>
      <c r="S25" s="50">
        <v>22.0</v>
      </c>
      <c r="T25" s="50">
        <v>23.0</v>
      </c>
      <c r="U25" s="50">
        <v>24.0</v>
      </c>
      <c r="V25" s="50">
        <v>25.0</v>
      </c>
      <c r="W25" s="50">
        <v>26.0</v>
      </c>
      <c r="X25" s="50">
        <v>27.0</v>
      </c>
      <c r="Y25" s="50">
        <v>28.0</v>
      </c>
      <c r="Z25" s="51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49">
        <f>'試算-SLOT'!G26</f>
        <v>0.05</v>
      </c>
      <c r="F26" s="50">
        <v>4.0</v>
      </c>
      <c r="G26" s="50">
        <v>6.0</v>
      </c>
      <c r="H26" s="50">
        <v>7.0</v>
      </c>
      <c r="I26" s="50">
        <v>9.0</v>
      </c>
      <c r="J26" s="50">
        <v>11.0</v>
      </c>
      <c r="K26" s="50">
        <v>13.0</v>
      </c>
      <c r="L26" s="50">
        <v>14.0</v>
      </c>
      <c r="M26" s="50">
        <v>16.0</v>
      </c>
      <c r="N26" s="50">
        <v>18.0</v>
      </c>
      <c r="O26" s="50">
        <v>19.0</v>
      </c>
      <c r="P26" s="50">
        <v>20.0</v>
      </c>
      <c r="Q26" s="50">
        <v>21.0</v>
      </c>
      <c r="R26" s="50">
        <v>22.0</v>
      </c>
      <c r="S26" s="50">
        <v>23.0</v>
      </c>
      <c r="T26" s="50">
        <v>24.0</v>
      </c>
      <c r="U26" s="50">
        <v>25.0</v>
      </c>
      <c r="V26" s="50">
        <v>26.0</v>
      </c>
      <c r="W26" s="50">
        <v>27.0</v>
      </c>
      <c r="X26" s="50">
        <v>28.0</v>
      </c>
      <c r="Y26" s="50">
        <v>29.0</v>
      </c>
      <c r="Z26" s="51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49">
        <f>'試算-SLOT'!G27</f>
        <v>0.5</v>
      </c>
      <c r="F27" s="50">
        <v>2.0</v>
      </c>
      <c r="G27" s="50">
        <v>4.0</v>
      </c>
      <c r="H27" s="50">
        <v>6.0</v>
      </c>
      <c r="I27" s="50">
        <v>7.0</v>
      </c>
      <c r="J27" s="50">
        <v>9.0</v>
      </c>
      <c r="K27" s="50">
        <v>11.0</v>
      </c>
      <c r="L27" s="50">
        <v>13.0</v>
      </c>
      <c r="M27" s="50">
        <v>14.0</v>
      </c>
      <c r="N27" s="50">
        <v>16.0</v>
      </c>
      <c r="O27" s="50">
        <v>18.0</v>
      </c>
      <c r="P27" s="50">
        <v>19.0</v>
      </c>
      <c r="Q27" s="50">
        <v>20.0</v>
      </c>
      <c r="R27" s="50">
        <v>21.0</v>
      </c>
      <c r="S27" s="50">
        <v>22.0</v>
      </c>
      <c r="T27" s="50">
        <v>23.0</v>
      </c>
      <c r="U27" s="50">
        <v>24.0</v>
      </c>
      <c r="V27" s="50">
        <v>25.0</v>
      </c>
      <c r="W27" s="50">
        <v>26.0</v>
      </c>
      <c r="X27" s="50">
        <v>27.0</v>
      </c>
      <c r="Y27" s="50">
        <v>28.0</v>
      </c>
      <c r="Z27" s="51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49">
        <f>'試算-SLOT'!G28</f>
        <v>0.002</v>
      </c>
      <c r="F28" s="50">
        <v>4.0</v>
      </c>
      <c r="G28" s="50">
        <v>6.0</v>
      </c>
      <c r="H28" s="50">
        <v>7.0</v>
      </c>
      <c r="I28" s="50">
        <v>9.0</v>
      </c>
      <c r="J28" s="50">
        <v>11.0</v>
      </c>
      <c r="K28" s="50">
        <v>13.0</v>
      </c>
      <c r="L28" s="50">
        <v>14.0</v>
      </c>
      <c r="M28" s="50">
        <v>16.0</v>
      </c>
      <c r="N28" s="50">
        <v>18.0</v>
      </c>
      <c r="O28" s="50">
        <v>19.0</v>
      </c>
      <c r="P28" s="50">
        <v>20.0</v>
      </c>
      <c r="Q28" s="50">
        <v>21.0</v>
      </c>
      <c r="R28" s="50">
        <v>22.0</v>
      </c>
      <c r="S28" s="50">
        <v>23.0</v>
      </c>
      <c r="T28" s="50">
        <v>24.0</v>
      </c>
      <c r="U28" s="50">
        <v>25.0</v>
      </c>
      <c r="V28" s="50">
        <v>26.0</v>
      </c>
      <c r="W28" s="50">
        <v>27.0</v>
      </c>
      <c r="X28" s="50">
        <v>28.0</v>
      </c>
      <c r="Y28" s="50">
        <v>29.0</v>
      </c>
      <c r="Z28" s="51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49">
        <f>'試算-SLOT'!G29</f>
        <v>0.01</v>
      </c>
      <c r="F29" s="50">
        <v>3.0</v>
      </c>
      <c r="G29" s="50">
        <v>4.0</v>
      </c>
      <c r="H29" s="50">
        <v>6.0</v>
      </c>
      <c r="I29" s="50">
        <v>7.0</v>
      </c>
      <c r="J29" s="50">
        <v>9.0</v>
      </c>
      <c r="K29" s="50">
        <v>11.0</v>
      </c>
      <c r="L29" s="50">
        <v>13.0</v>
      </c>
      <c r="M29" s="50">
        <v>14.0</v>
      </c>
      <c r="N29" s="50">
        <v>16.0</v>
      </c>
      <c r="O29" s="50">
        <v>18.0</v>
      </c>
      <c r="P29" s="50">
        <v>19.0</v>
      </c>
      <c r="Q29" s="50">
        <v>20.0</v>
      </c>
      <c r="R29" s="50">
        <v>21.0</v>
      </c>
      <c r="S29" s="50">
        <v>22.0</v>
      </c>
      <c r="T29" s="50">
        <v>23.0</v>
      </c>
      <c r="U29" s="50">
        <v>24.0</v>
      </c>
      <c r="V29" s="50">
        <v>25.0</v>
      </c>
      <c r="W29" s="50">
        <v>26.0</v>
      </c>
      <c r="X29" s="50">
        <v>27.0</v>
      </c>
      <c r="Y29" s="50">
        <v>28.0</v>
      </c>
      <c r="Z29" s="51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49">
        <f>'試算-SLOT'!G30</f>
        <v>0.002</v>
      </c>
      <c r="F30" s="50">
        <v>3.0</v>
      </c>
      <c r="G30" s="50">
        <v>4.0</v>
      </c>
      <c r="H30" s="50">
        <v>6.0</v>
      </c>
      <c r="I30" s="50">
        <v>7.0</v>
      </c>
      <c r="J30" s="50">
        <v>9.0</v>
      </c>
      <c r="K30" s="50">
        <v>11.0</v>
      </c>
      <c r="L30" s="50">
        <v>13.0</v>
      </c>
      <c r="M30" s="50">
        <v>14.0</v>
      </c>
      <c r="N30" s="50">
        <v>16.0</v>
      </c>
      <c r="O30" s="50">
        <v>18.0</v>
      </c>
      <c r="P30" s="50">
        <v>19.0</v>
      </c>
      <c r="Q30" s="50">
        <v>20.0</v>
      </c>
      <c r="R30" s="50">
        <v>21.0</v>
      </c>
      <c r="S30" s="50">
        <v>22.0</v>
      </c>
      <c r="T30" s="50">
        <v>23.0</v>
      </c>
      <c r="U30" s="50">
        <v>24.0</v>
      </c>
      <c r="V30" s="50">
        <v>25.0</v>
      </c>
      <c r="W30" s="50">
        <v>26.0</v>
      </c>
      <c r="X30" s="50">
        <v>27.0</v>
      </c>
      <c r="Y30" s="50">
        <v>28.0</v>
      </c>
      <c r="Z30" s="51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49">
        <f>'試算-SLOT'!G31</f>
        <v>0.1</v>
      </c>
      <c r="F31" s="50">
        <v>4.0</v>
      </c>
      <c r="G31" s="50">
        <v>6.0</v>
      </c>
      <c r="H31" s="50">
        <v>7.0</v>
      </c>
      <c r="I31" s="50">
        <v>9.0</v>
      </c>
      <c r="J31" s="50">
        <v>11.0</v>
      </c>
      <c r="K31" s="50">
        <v>13.0</v>
      </c>
      <c r="L31" s="50">
        <v>14.0</v>
      </c>
      <c r="M31" s="50">
        <v>16.0</v>
      </c>
      <c r="N31" s="50">
        <v>18.0</v>
      </c>
      <c r="O31" s="50">
        <v>19.0</v>
      </c>
      <c r="P31" s="50">
        <v>20.0</v>
      </c>
      <c r="Q31" s="50">
        <v>21.0</v>
      </c>
      <c r="R31" s="50">
        <v>22.0</v>
      </c>
      <c r="S31" s="50">
        <v>23.0</v>
      </c>
      <c r="T31" s="50">
        <v>24.0</v>
      </c>
      <c r="U31" s="50">
        <v>25.0</v>
      </c>
      <c r="V31" s="50">
        <v>26.0</v>
      </c>
      <c r="W31" s="50">
        <v>27.0</v>
      </c>
      <c r="X31" s="50">
        <v>28.0</v>
      </c>
      <c r="Y31" s="50">
        <v>29.0</v>
      </c>
      <c r="Z31" s="51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49">
        <f>'試算-SLOT'!G32</f>
        <v>0.002</v>
      </c>
      <c r="F32" s="50">
        <v>1.0</v>
      </c>
      <c r="G32" s="50">
        <v>2.0</v>
      </c>
      <c r="H32" s="50">
        <v>3.0</v>
      </c>
      <c r="I32" s="50">
        <v>4.0</v>
      </c>
      <c r="J32" s="50">
        <v>5.0</v>
      </c>
      <c r="K32" s="50">
        <v>6.0</v>
      </c>
      <c r="L32" s="50">
        <v>7.0</v>
      </c>
      <c r="M32" s="50">
        <v>8.0</v>
      </c>
      <c r="N32" s="50">
        <v>9.0</v>
      </c>
      <c r="O32" s="50">
        <v>10.0</v>
      </c>
      <c r="P32" s="50">
        <v>11.0</v>
      </c>
      <c r="Q32" s="50">
        <v>12.0</v>
      </c>
      <c r="R32" s="50">
        <v>13.0</v>
      </c>
      <c r="S32" s="50">
        <v>14.0</v>
      </c>
      <c r="T32" s="50">
        <v>15.0</v>
      </c>
      <c r="U32" s="50">
        <v>16.0</v>
      </c>
      <c r="V32" s="50">
        <v>17.0</v>
      </c>
      <c r="W32" s="50">
        <v>18.0</v>
      </c>
      <c r="X32" s="50">
        <v>19.0</v>
      </c>
      <c r="Y32" s="50">
        <v>20.0</v>
      </c>
      <c r="Z32" s="51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49">
        <f>'試算-SLOT'!G33</f>
        <v>0.02</v>
      </c>
      <c r="F33" s="50">
        <v>4.0</v>
      </c>
      <c r="G33" s="50">
        <v>6.0</v>
      </c>
      <c r="H33" s="50">
        <v>7.0</v>
      </c>
      <c r="I33" s="50">
        <v>9.0</v>
      </c>
      <c r="J33" s="50">
        <v>11.0</v>
      </c>
      <c r="K33" s="50">
        <v>13.0</v>
      </c>
      <c r="L33" s="50">
        <v>14.0</v>
      </c>
      <c r="M33" s="50">
        <v>16.0</v>
      </c>
      <c r="N33" s="50">
        <v>18.0</v>
      </c>
      <c r="O33" s="50">
        <v>19.0</v>
      </c>
      <c r="P33" s="50">
        <v>20.0</v>
      </c>
      <c r="Q33" s="50">
        <v>21.0</v>
      </c>
      <c r="R33" s="50">
        <v>22.0</v>
      </c>
      <c r="S33" s="50">
        <v>23.0</v>
      </c>
      <c r="T33" s="50">
        <v>24.0</v>
      </c>
      <c r="U33" s="50">
        <v>25.0</v>
      </c>
      <c r="V33" s="50">
        <v>26.0</v>
      </c>
      <c r="W33" s="50">
        <v>27.0</v>
      </c>
      <c r="X33" s="50">
        <v>28.0</v>
      </c>
      <c r="Y33" s="50">
        <v>29.0</v>
      </c>
      <c r="Z33" s="51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49">
        <f>'試算-SLOT'!G34</f>
        <v>0.02</v>
      </c>
      <c r="F34" s="50">
        <v>3.0</v>
      </c>
      <c r="G34" s="50">
        <v>4.0</v>
      </c>
      <c r="H34" s="50">
        <v>6.0</v>
      </c>
      <c r="I34" s="50">
        <v>7.0</v>
      </c>
      <c r="J34" s="50">
        <v>9.0</v>
      </c>
      <c r="K34" s="50">
        <v>11.0</v>
      </c>
      <c r="L34" s="50">
        <v>14.0</v>
      </c>
      <c r="M34" s="50">
        <v>16.0</v>
      </c>
      <c r="N34" s="50">
        <v>18.0</v>
      </c>
      <c r="O34" s="50">
        <v>19.0</v>
      </c>
      <c r="P34" s="50">
        <v>20.0</v>
      </c>
      <c r="Q34" s="50">
        <v>21.0</v>
      </c>
      <c r="R34" s="50">
        <v>22.0</v>
      </c>
      <c r="S34" s="50">
        <v>23.0</v>
      </c>
      <c r="T34" s="50">
        <v>24.0</v>
      </c>
      <c r="U34" s="50">
        <v>25.0</v>
      </c>
      <c r="V34" s="50">
        <v>26.0</v>
      </c>
      <c r="W34" s="50">
        <v>27.0</v>
      </c>
      <c r="X34" s="50">
        <v>28.0</v>
      </c>
      <c r="Y34" s="50">
        <v>29.0</v>
      </c>
      <c r="Z34" s="51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49">
        <f>'試算-SLOT'!G35</f>
        <v>0.002</v>
      </c>
      <c r="F35" s="50">
        <v>7.0</v>
      </c>
      <c r="G35" s="50">
        <v>9.0</v>
      </c>
      <c r="H35" s="50">
        <v>11.0</v>
      </c>
      <c r="I35" s="50">
        <v>14.0</v>
      </c>
      <c r="J35" s="50">
        <v>15.0</v>
      </c>
      <c r="K35" s="50">
        <v>16.0</v>
      </c>
      <c r="L35" s="50">
        <v>17.0</v>
      </c>
      <c r="M35" s="50">
        <v>18.0</v>
      </c>
      <c r="N35" s="50">
        <v>19.0</v>
      </c>
      <c r="O35" s="50">
        <v>20.0</v>
      </c>
      <c r="P35" s="50">
        <v>21.0</v>
      </c>
      <c r="Q35" s="50">
        <v>22.0</v>
      </c>
      <c r="R35" s="50">
        <v>23.0</v>
      </c>
      <c r="S35" s="50">
        <v>24.0</v>
      </c>
      <c r="T35" s="50">
        <v>25.0</v>
      </c>
      <c r="U35" s="50">
        <v>26.0</v>
      </c>
      <c r="V35" s="50">
        <v>27.0</v>
      </c>
      <c r="W35" s="50">
        <v>28.0</v>
      </c>
      <c r="X35" s="50">
        <v>29.0</v>
      </c>
      <c r="Y35" s="50">
        <v>30.0</v>
      </c>
      <c r="Z35" s="51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49">
        <f>'試算-SLOT'!G36</f>
        <v>0.002</v>
      </c>
      <c r="F36" s="50">
        <v>2.0</v>
      </c>
      <c r="G36" s="50">
        <v>3.0</v>
      </c>
      <c r="H36" s="50">
        <v>4.0</v>
      </c>
      <c r="I36" s="50">
        <v>5.0</v>
      </c>
      <c r="J36" s="50">
        <v>6.0</v>
      </c>
      <c r="K36" s="50">
        <v>7.0</v>
      </c>
      <c r="L36" s="50">
        <v>8.0</v>
      </c>
      <c r="M36" s="50">
        <v>9.0</v>
      </c>
      <c r="N36" s="50">
        <v>11.0</v>
      </c>
      <c r="O36" s="50">
        <v>13.0</v>
      </c>
      <c r="P36" s="50">
        <v>14.0</v>
      </c>
      <c r="Q36" s="50">
        <v>16.0</v>
      </c>
      <c r="R36" s="50">
        <v>18.0</v>
      </c>
      <c r="S36" s="50">
        <v>19.0</v>
      </c>
      <c r="T36" s="50">
        <v>20.0</v>
      </c>
      <c r="U36" s="50">
        <v>21.0</v>
      </c>
      <c r="V36" s="50">
        <v>22.0</v>
      </c>
      <c r="W36" s="50">
        <v>23.0</v>
      </c>
      <c r="X36" s="50">
        <v>24.0</v>
      </c>
      <c r="Y36" s="50">
        <v>25.0</v>
      </c>
      <c r="Z36" s="51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49">
        <f>'試算-SLOT'!G37</f>
        <v>0.002</v>
      </c>
      <c r="F37" s="50">
        <v>3.0</v>
      </c>
      <c r="G37" s="50">
        <v>4.0</v>
      </c>
      <c r="H37" s="50">
        <v>5.0</v>
      </c>
      <c r="I37" s="50">
        <v>6.0</v>
      </c>
      <c r="J37" s="50">
        <v>7.0</v>
      </c>
      <c r="K37" s="50">
        <v>8.0</v>
      </c>
      <c r="L37" s="50">
        <v>9.0</v>
      </c>
      <c r="M37" s="50">
        <v>11.0</v>
      </c>
      <c r="N37" s="50">
        <v>13.0</v>
      </c>
      <c r="O37" s="50">
        <v>14.0</v>
      </c>
      <c r="P37" s="50">
        <v>16.0</v>
      </c>
      <c r="Q37" s="50">
        <v>18.0</v>
      </c>
      <c r="R37" s="50">
        <v>19.0</v>
      </c>
      <c r="S37" s="50">
        <v>20.0</v>
      </c>
      <c r="T37" s="50">
        <v>21.0</v>
      </c>
      <c r="U37" s="50">
        <v>22.0</v>
      </c>
      <c r="V37" s="50">
        <v>23.0</v>
      </c>
      <c r="W37" s="50">
        <v>24.0</v>
      </c>
      <c r="X37" s="50">
        <v>25.0</v>
      </c>
      <c r="Y37" s="50">
        <v>26.0</v>
      </c>
      <c r="Z37" s="51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49">
        <f>'試算-SLOT'!G38</f>
        <v>0.002</v>
      </c>
      <c r="F38" s="50">
        <v>1.0</v>
      </c>
      <c r="G38" s="50">
        <v>2.0</v>
      </c>
      <c r="H38" s="50">
        <v>3.0</v>
      </c>
      <c r="I38" s="50">
        <v>4.0</v>
      </c>
      <c r="J38" s="50">
        <v>5.0</v>
      </c>
      <c r="K38" s="50">
        <v>6.0</v>
      </c>
      <c r="L38" s="50">
        <v>7.0</v>
      </c>
      <c r="M38" s="50">
        <v>8.0</v>
      </c>
      <c r="N38" s="50">
        <v>9.0</v>
      </c>
      <c r="O38" s="50">
        <v>10.0</v>
      </c>
      <c r="P38" s="50">
        <v>11.0</v>
      </c>
      <c r="Q38" s="50">
        <v>12.0</v>
      </c>
      <c r="R38" s="50">
        <v>13.0</v>
      </c>
      <c r="S38" s="50">
        <v>14.0</v>
      </c>
      <c r="T38" s="50">
        <v>15.0</v>
      </c>
      <c r="U38" s="50">
        <v>16.0</v>
      </c>
      <c r="V38" s="50">
        <v>17.0</v>
      </c>
      <c r="W38" s="50">
        <v>18.0</v>
      </c>
      <c r="X38" s="50">
        <v>19.0</v>
      </c>
      <c r="Y38" s="50">
        <v>20.0</v>
      </c>
      <c r="Z38" s="51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49">
        <f>'試算-SLOT'!G39</f>
        <v>0.002</v>
      </c>
      <c r="F39" s="50">
        <v>7.0</v>
      </c>
      <c r="G39" s="50">
        <v>9.0</v>
      </c>
      <c r="H39" s="50">
        <v>11.0</v>
      </c>
      <c r="I39" s="50">
        <v>14.0</v>
      </c>
      <c r="J39" s="50">
        <v>15.0</v>
      </c>
      <c r="K39" s="50">
        <v>16.0</v>
      </c>
      <c r="L39" s="50">
        <v>17.0</v>
      </c>
      <c r="M39" s="50">
        <v>18.0</v>
      </c>
      <c r="N39" s="50">
        <v>19.0</v>
      </c>
      <c r="O39" s="50">
        <v>20.0</v>
      </c>
      <c r="P39" s="50">
        <v>21.0</v>
      </c>
      <c r="Q39" s="50">
        <v>22.0</v>
      </c>
      <c r="R39" s="50">
        <v>23.0</v>
      </c>
      <c r="S39" s="50">
        <v>24.0</v>
      </c>
      <c r="T39" s="50">
        <v>25.0</v>
      </c>
      <c r="U39" s="50">
        <v>26.0</v>
      </c>
      <c r="V39" s="50">
        <v>27.0</v>
      </c>
      <c r="W39" s="50">
        <v>28.0</v>
      </c>
      <c r="X39" s="50">
        <v>29.0</v>
      </c>
      <c r="Y39" s="50">
        <v>30.0</v>
      </c>
      <c r="Z39" s="51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49">
        <f>'試算-SLOT'!G40</f>
        <v>0.002</v>
      </c>
      <c r="F40" s="50">
        <v>1.0</v>
      </c>
      <c r="G40" s="50">
        <v>2.0</v>
      </c>
      <c r="H40" s="50">
        <v>3.0</v>
      </c>
      <c r="I40" s="50">
        <v>4.0</v>
      </c>
      <c r="J40" s="50">
        <v>5.0</v>
      </c>
      <c r="K40" s="50">
        <v>6.0</v>
      </c>
      <c r="L40" s="50">
        <v>7.0</v>
      </c>
      <c r="M40" s="50">
        <v>8.0</v>
      </c>
      <c r="N40" s="50">
        <v>9.0</v>
      </c>
      <c r="O40" s="50">
        <v>10.0</v>
      </c>
      <c r="P40" s="50">
        <v>11.0</v>
      </c>
      <c r="Q40" s="50">
        <v>12.0</v>
      </c>
      <c r="R40" s="50">
        <v>13.0</v>
      </c>
      <c r="S40" s="50">
        <v>14.0</v>
      </c>
      <c r="T40" s="50">
        <v>15.0</v>
      </c>
      <c r="U40" s="50">
        <v>16.0</v>
      </c>
      <c r="V40" s="50">
        <v>17.0</v>
      </c>
      <c r="W40" s="50">
        <v>18.0</v>
      </c>
      <c r="X40" s="50">
        <v>19.0</v>
      </c>
      <c r="Y40" s="50">
        <v>20.0</v>
      </c>
      <c r="Z40" s="51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49">
        <f>'試算-SLOT'!G41</f>
        <v>0.002</v>
      </c>
      <c r="F41" s="50">
        <v>1.0</v>
      </c>
      <c r="G41" s="50">
        <v>2.0</v>
      </c>
      <c r="H41" s="50">
        <v>3.0</v>
      </c>
      <c r="I41" s="50">
        <v>4.0</v>
      </c>
      <c r="J41" s="50">
        <v>5.0</v>
      </c>
      <c r="K41" s="50">
        <v>6.0</v>
      </c>
      <c r="L41" s="50">
        <v>7.0</v>
      </c>
      <c r="M41" s="50">
        <v>8.0</v>
      </c>
      <c r="N41" s="50">
        <v>9.0</v>
      </c>
      <c r="O41" s="50">
        <v>10.0</v>
      </c>
      <c r="P41" s="50">
        <v>11.0</v>
      </c>
      <c r="Q41" s="50">
        <v>12.0</v>
      </c>
      <c r="R41" s="50">
        <v>13.0</v>
      </c>
      <c r="S41" s="50">
        <v>14.0</v>
      </c>
      <c r="T41" s="50">
        <v>15.0</v>
      </c>
      <c r="U41" s="50">
        <v>16.0</v>
      </c>
      <c r="V41" s="50">
        <v>17.0</v>
      </c>
      <c r="W41" s="50">
        <v>18.0</v>
      </c>
      <c r="X41" s="50">
        <v>19.0</v>
      </c>
      <c r="Y41" s="50">
        <v>20.0</v>
      </c>
      <c r="Z41" s="51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49">
        <f>'試算-SLOT'!G42</f>
        <v>0.002</v>
      </c>
      <c r="F42" s="50">
        <v>1.0</v>
      </c>
      <c r="G42" s="50">
        <v>2.0</v>
      </c>
      <c r="H42" s="50">
        <v>3.0</v>
      </c>
      <c r="I42" s="50">
        <v>4.0</v>
      </c>
      <c r="J42" s="50">
        <v>5.0</v>
      </c>
      <c r="K42" s="50">
        <v>6.0</v>
      </c>
      <c r="L42" s="50">
        <v>7.0</v>
      </c>
      <c r="M42" s="50">
        <v>8.0</v>
      </c>
      <c r="N42" s="50">
        <v>9.0</v>
      </c>
      <c r="O42" s="50">
        <v>10.0</v>
      </c>
      <c r="P42" s="50">
        <v>11.0</v>
      </c>
      <c r="Q42" s="50">
        <v>13.0</v>
      </c>
      <c r="R42" s="50">
        <v>14.0</v>
      </c>
      <c r="S42" s="50">
        <v>16.0</v>
      </c>
      <c r="T42" s="50">
        <v>17.0</v>
      </c>
      <c r="U42" s="50">
        <v>18.0</v>
      </c>
      <c r="V42" s="50">
        <v>19.0</v>
      </c>
      <c r="W42" s="50">
        <v>20.0</v>
      </c>
      <c r="X42" s="50">
        <v>21.0</v>
      </c>
      <c r="Y42" s="50">
        <v>22.0</v>
      </c>
      <c r="Z42" s="51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49">
        <f>'試算-SLOT'!G43</f>
        <v>0.002</v>
      </c>
      <c r="F43" s="50">
        <v>1.0</v>
      </c>
      <c r="G43" s="50">
        <v>2.0</v>
      </c>
      <c r="H43" s="50">
        <v>3.0</v>
      </c>
      <c r="I43" s="50">
        <v>4.0</v>
      </c>
      <c r="J43" s="50">
        <v>5.0</v>
      </c>
      <c r="K43" s="50">
        <v>6.0</v>
      </c>
      <c r="L43" s="50">
        <v>7.0</v>
      </c>
      <c r="M43" s="50">
        <v>8.0</v>
      </c>
      <c r="N43" s="50">
        <v>9.0</v>
      </c>
      <c r="O43" s="50">
        <v>10.0</v>
      </c>
      <c r="P43" s="50">
        <v>11.0</v>
      </c>
      <c r="Q43" s="50">
        <v>13.0</v>
      </c>
      <c r="R43" s="50">
        <v>14.0</v>
      </c>
      <c r="S43" s="50">
        <v>16.0</v>
      </c>
      <c r="T43" s="50">
        <v>17.0</v>
      </c>
      <c r="U43" s="50">
        <v>18.0</v>
      </c>
      <c r="V43" s="50">
        <v>19.0</v>
      </c>
      <c r="W43" s="50">
        <v>20.0</v>
      </c>
      <c r="X43" s="50">
        <v>21.0</v>
      </c>
      <c r="Y43" s="50">
        <v>22.0</v>
      </c>
      <c r="Z43" s="51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49">
        <f>'試算-SLOT'!G44</f>
        <v>0.002</v>
      </c>
      <c r="F44" s="50">
        <v>1.0</v>
      </c>
      <c r="G44" s="50">
        <v>2.0</v>
      </c>
      <c r="H44" s="50">
        <v>3.0</v>
      </c>
      <c r="I44" s="50">
        <v>4.0</v>
      </c>
      <c r="J44" s="50">
        <v>5.0</v>
      </c>
      <c r="K44" s="50">
        <v>6.0</v>
      </c>
      <c r="L44" s="50">
        <v>7.0</v>
      </c>
      <c r="M44" s="50">
        <v>8.0</v>
      </c>
      <c r="N44" s="50">
        <v>9.0</v>
      </c>
      <c r="O44" s="50">
        <v>10.0</v>
      </c>
      <c r="P44" s="50">
        <v>11.0</v>
      </c>
      <c r="Q44" s="50">
        <v>12.0</v>
      </c>
      <c r="R44" s="50">
        <v>13.0</v>
      </c>
      <c r="S44" s="50">
        <v>14.0</v>
      </c>
      <c r="T44" s="50">
        <v>15.0</v>
      </c>
      <c r="U44" s="50">
        <v>16.0</v>
      </c>
      <c r="V44" s="50">
        <v>18.0</v>
      </c>
      <c r="W44" s="50">
        <v>19.0</v>
      </c>
      <c r="X44" s="50">
        <v>20.0</v>
      </c>
      <c r="Y44" s="50">
        <v>21.0</v>
      </c>
      <c r="Z44" s="51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49">
        <f>'試算-SLOT'!G45</f>
        <v>0.1</v>
      </c>
      <c r="F45" s="50">
        <v>4.0</v>
      </c>
      <c r="G45" s="50">
        <v>6.0</v>
      </c>
      <c r="H45" s="50">
        <v>7.0</v>
      </c>
      <c r="I45" s="50">
        <v>9.0</v>
      </c>
      <c r="J45" s="50">
        <v>11.0</v>
      </c>
      <c r="K45" s="50">
        <v>13.0</v>
      </c>
      <c r="L45" s="50">
        <v>14.0</v>
      </c>
      <c r="M45" s="50">
        <v>16.0</v>
      </c>
      <c r="N45" s="50">
        <v>18.0</v>
      </c>
      <c r="O45" s="50">
        <v>19.0</v>
      </c>
      <c r="P45" s="50">
        <v>20.0</v>
      </c>
      <c r="Q45" s="50">
        <v>21.0</v>
      </c>
      <c r="R45" s="50">
        <v>22.0</v>
      </c>
      <c r="S45" s="50">
        <v>23.0</v>
      </c>
      <c r="T45" s="50">
        <v>24.0</v>
      </c>
      <c r="U45" s="50">
        <v>25.0</v>
      </c>
      <c r="V45" s="50">
        <v>26.0</v>
      </c>
      <c r="W45" s="50">
        <v>27.0</v>
      </c>
      <c r="X45" s="50">
        <v>28.0</v>
      </c>
      <c r="Y45" s="50">
        <v>29.0</v>
      </c>
      <c r="Z45" s="51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49">
        <f>'試算-SLOT'!G46</f>
        <v>0.5</v>
      </c>
      <c r="F46" s="50">
        <v>4.0</v>
      </c>
      <c r="G46" s="50">
        <v>6.0</v>
      </c>
      <c r="H46" s="50">
        <v>7.0</v>
      </c>
      <c r="I46" s="50">
        <v>9.0</v>
      </c>
      <c r="J46" s="50">
        <v>11.0</v>
      </c>
      <c r="K46" s="50">
        <v>13.0</v>
      </c>
      <c r="L46" s="50">
        <v>14.0</v>
      </c>
      <c r="M46" s="50">
        <v>16.0</v>
      </c>
      <c r="N46" s="50">
        <v>18.0</v>
      </c>
      <c r="O46" s="50">
        <v>19.0</v>
      </c>
      <c r="P46" s="50">
        <v>20.0</v>
      </c>
      <c r="Q46" s="50">
        <v>21.0</v>
      </c>
      <c r="R46" s="50">
        <v>22.0</v>
      </c>
      <c r="S46" s="50">
        <v>23.0</v>
      </c>
      <c r="T46" s="50">
        <v>24.0</v>
      </c>
      <c r="U46" s="50">
        <v>25.0</v>
      </c>
      <c r="V46" s="50">
        <v>26.0</v>
      </c>
      <c r="W46" s="50">
        <v>27.0</v>
      </c>
      <c r="X46" s="50">
        <v>28.0</v>
      </c>
      <c r="Y46" s="50">
        <v>29.0</v>
      </c>
      <c r="Z46" s="51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49">
        <f>'試算-SLOT'!G47</f>
        <v>0.01</v>
      </c>
      <c r="F47" s="50">
        <v>4.0</v>
      </c>
      <c r="G47" s="50">
        <v>6.0</v>
      </c>
      <c r="H47" s="50">
        <v>7.0</v>
      </c>
      <c r="I47" s="50">
        <v>9.0</v>
      </c>
      <c r="J47" s="50">
        <v>11.0</v>
      </c>
      <c r="K47" s="50">
        <v>13.0</v>
      </c>
      <c r="L47" s="50">
        <v>14.0</v>
      </c>
      <c r="M47" s="50">
        <v>16.0</v>
      </c>
      <c r="N47" s="50">
        <v>18.0</v>
      </c>
      <c r="O47" s="50">
        <v>19.0</v>
      </c>
      <c r="P47" s="50">
        <v>20.0</v>
      </c>
      <c r="Q47" s="50">
        <v>21.0</v>
      </c>
      <c r="R47" s="50">
        <v>22.0</v>
      </c>
      <c r="S47" s="50">
        <v>23.0</v>
      </c>
      <c r="T47" s="50">
        <v>24.0</v>
      </c>
      <c r="U47" s="50">
        <v>25.0</v>
      </c>
      <c r="V47" s="50">
        <v>26.0</v>
      </c>
      <c r="W47" s="50">
        <v>27.0</v>
      </c>
      <c r="X47" s="50">
        <v>28.0</v>
      </c>
      <c r="Y47" s="50">
        <v>29.0</v>
      </c>
      <c r="Z47" s="51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49">
        <f>'試算-SLOT'!G48</f>
        <v>1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>
        <v>6.0</v>
      </c>
      <c r="L48" s="50">
        <v>7.0</v>
      </c>
      <c r="M48" s="50">
        <v>8.0</v>
      </c>
      <c r="N48" s="50">
        <v>9.0</v>
      </c>
      <c r="O48" s="50">
        <v>10.0</v>
      </c>
      <c r="P48" s="50">
        <v>11.0</v>
      </c>
      <c r="Q48" s="50">
        <v>13.0</v>
      </c>
      <c r="R48" s="50">
        <v>14.0</v>
      </c>
      <c r="S48" s="50">
        <v>16.0</v>
      </c>
      <c r="T48" s="50">
        <v>17.0</v>
      </c>
      <c r="U48" s="50">
        <v>18.0</v>
      </c>
      <c r="V48" s="50">
        <v>19.0</v>
      </c>
      <c r="W48" s="50">
        <v>20.0</v>
      </c>
      <c r="X48" s="50">
        <v>21.0</v>
      </c>
      <c r="Y48" s="50">
        <v>22.0</v>
      </c>
      <c r="Z48" s="53"/>
    </row>
    <row r="49">
      <c r="A49" s="54" t="str">
        <f>'試算-SLOT'!A49</f>
        <v>DZD</v>
      </c>
      <c r="B49" s="54" t="str">
        <f>'試算-SLOT'!B49</f>
        <v>دج</v>
      </c>
      <c r="C49" s="54" t="str">
        <f>'試算-SLOT'!C49</f>
        <v>阿爾及利亞第納爾</v>
      </c>
      <c r="D49" s="54" t="str">
        <f>IF('試算-SLOT'!D49=1,"",'試算-SLOT'!D49)</f>
        <v/>
      </c>
      <c r="E49" s="55">
        <f>'試算-SLOT'!G49</f>
        <v>0.002</v>
      </c>
      <c r="F49" s="56">
        <v>7.0</v>
      </c>
      <c r="G49" s="56">
        <v>9.0</v>
      </c>
      <c r="H49" s="56">
        <v>11.0</v>
      </c>
      <c r="I49" s="56">
        <v>14.0</v>
      </c>
      <c r="J49" s="56">
        <v>15.0</v>
      </c>
      <c r="K49" s="56">
        <v>16.0</v>
      </c>
      <c r="L49" s="56">
        <v>17.0</v>
      </c>
      <c r="M49" s="56">
        <v>18.0</v>
      </c>
      <c r="N49" s="56">
        <v>19.0</v>
      </c>
      <c r="O49" s="56">
        <v>20.0</v>
      </c>
      <c r="P49" s="56">
        <v>21.0</v>
      </c>
      <c r="Q49" s="56">
        <v>22.0</v>
      </c>
      <c r="R49" s="56">
        <v>23.0</v>
      </c>
      <c r="S49" s="56">
        <v>24.0</v>
      </c>
      <c r="T49" s="56">
        <v>25.0</v>
      </c>
      <c r="U49" s="56">
        <v>26.0</v>
      </c>
      <c r="V49" s="56">
        <v>27.0</v>
      </c>
      <c r="W49" s="56">
        <v>28.0</v>
      </c>
      <c r="X49" s="56">
        <v>29.0</v>
      </c>
      <c r="Y49" s="56">
        <v>30.0</v>
      </c>
      <c r="Z49" s="53"/>
      <c r="AA49" s="22"/>
      <c r="AB49" s="22"/>
      <c r="AC49" s="22"/>
      <c r="AD49" s="22"/>
      <c r="AE49" s="22"/>
      <c r="AF49" s="22"/>
      <c r="AG49" s="22"/>
      <c r="AH49" s="22"/>
      <c r="AI49" s="22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49">
        <f>'試算-SLOT'!G50</f>
        <v>0.002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>
        <v>6.0</v>
      </c>
      <c r="L50" s="50">
        <v>7.0</v>
      </c>
      <c r="M50" s="50">
        <v>8.0</v>
      </c>
      <c r="N50" s="50">
        <v>9.0</v>
      </c>
      <c r="O50" s="50">
        <v>11.0</v>
      </c>
      <c r="P50" s="50">
        <v>13.0</v>
      </c>
      <c r="Q50" s="50">
        <v>14.0</v>
      </c>
      <c r="R50" s="50">
        <v>16.0</v>
      </c>
      <c r="S50" s="50">
        <v>18.0</v>
      </c>
      <c r="T50" s="50">
        <v>19.0</v>
      </c>
      <c r="U50" s="50">
        <v>20.0</v>
      </c>
      <c r="V50" s="50">
        <v>21.0</v>
      </c>
      <c r="W50" s="50">
        <v>22.0</v>
      </c>
      <c r="X50" s="50">
        <v>23.0</v>
      </c>
      <c r="Y50" s="50">
        <v>24.0</v>
      </c>
      <c r="Z50" s="53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49">
        <f>'試算-SLOT'!G51</f>
        <v>0.002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>
        <v>6.0</v>
      </c>
      <c r="L51" s="50">
        <v>7.0</v>
      </c>
      <c r="M51" s="50">
        <v>8.0</v>
      </c>
      <c r="N51" s="50">
        <v>9.0</v>
      </c>
      <c r="O51" s="50">
        <v>11.0</v>
      </c>
      <c r="P51" s="50">
        <v>13.0</v>
      </c>
      <c r="Q51" s="50">
        <v>14.0</v>
      </c>
      <c r="R51" s="50">
        <v>16.0</v>
      </c>
      <c r="S51" s="50">
        <v>18.0</v>
      </c>
      <c r="T51" s="50">
        <v>19.0</v>
      </c>
      <c r="U51" s="50">
        <v>20.0</v>
      </c>
      <c r="V51" s="50">
        <v>21.0</v>
      </c>
      <c r="W51" s="50">
        <v>22.0</v>
      </c>
      <c r="X51" s="50">
        <v>23.0</v>
      </c>
      <c r="Y51" s="50">
        <v>24.0</v>
      </c>
      <c r="Z51" s="53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49">
        <f>'試算-SLOT'!G52</f>
        <v>0.002</v>
      </c>
      <c r="F52" s="50">
        <v>2.0</v>
      </c>
      <c r="G52" s="50">
        <v>3.0</v>
      </c>
      <c r="H52" s="50">
        <v>4.0</v>
      </c>
      <c r="I52" s="50">
        <v>5.0</v>
      </c>
      <c r="J52" s="50">
        <v>6.0</v>
      </c>
      <c r="K52" s="50">
        <v>7.0</v>
      </c>
      <c r="L52" s="50">
        <v>8.0</v>
      </c>
      <c r="M52" s="50">
        <v>9.0</v>
      </c>
      <c r="N52" s="50">
        <v>11.0</v>
      </c>
      <c r="O52" s="50">
        <v>13.0</v>
      </c>
      <c r="P52" s="50">
        <v>14.0</v>
      </c>
      <c r="Q52" s="50">
        <v>16.0</v>
      </c>
      <c r="R52" s="50">
        <v>18.0</v>
      </c>
      <c r="S52" s="50">
        <v>19.0</v>
      </c>
      <c r="T52" s="50">
        <v>20.0</v>
      </c>
      <c r="U52" s="50">
        <v>21.0</v>
      </c>
      <c r="V52" s="50">
        <v>22.0</v>
      </c>
      <c r="W52" s="50">
        <v>23.0</v>
      </c>
      <c r="X52" s="50">
        <v>24.0</v>
      </c>
      <c r="Y52" s="50">
        <v>25.0</v>
      </c>
      <c r="Z52" s="53"/>
    </row>
    <row r="53" ht="16.5" customHeight="1">
      <c r="A53" s="48" t="str">
        <f>'試算-SLOT'!A53</f>
        <v>RCC</v>
      </c>
      <c r="B53" s="48" t="str">
        <f>'試算-SLOT'!B53</f>
        <v/>
      </c>
      <c r="C53" s="48" t="str">
        <f>'試算-SLOT'!C53</f>
        <v>RCC幣</v>
      </c>
      <c r="D53" s="48" t="str">
        <f>IF('試算-SLOT'!D53=1,"",'試算-SLOT'!D53)</f>
        <v/>
      </c>
      <c r="E53" s="49">
        <f>'試算-SLOT'!G53</f>
        <v>0.002</v>
      </c>
      <c r="F53" s="50">
        <v>1.0</v>
      </c>
      <c r="G53" s="50">
        <v>2.0</v>
      </c>
      <c r="H53" s="50">
        <v>3.0</v>
      </c>
      <c r="I53" s="50">
        <v>4.0</v>
      </c>
      <c r="J53" s="50">
        <v>5.0</v>
      </c>
      <c r="K53" s="50">
        <v>6.0</v>
      </c>
      <c r="L53" s="50">
        <v>7.0</v>
      </c>
      <c r="M53" s="50">
        <v>8.0</v>
      </c>
      <c r="N53" s="50">
        <v>9.0</v>
      </c>
      <c r="O53" s="50">
        <v>10.0</v>
      </c>
      <c r="P53" s="50">
        <v>11.0</v>
      </c>
      <c r="Q53" s="50">
        <v>12.0</v>
      </c>
      <c r="R53" s="50">
        <v>13.0</v>
      </c>
      <c r="S53" s="50">
        <v>14.0</v>
      </c>
      <c r="T53" s="50">
        <v>15.0</v>
      </c>
      <c r="U53" s="50">
        <v>16.0</v>
      </c>
      <c r="V53" s="50">
        <v>17.0</v>
      </c>
      <c r="W53" s="50">
        <v>18.0</v>
      </c>
      <c r="X53" s="50">
        <v>19.0</v>
      </c>
      <c r="Y53" s="50">
        <v>20.0</v>
      </c>
      <c r="Z53" s="51"/>
    </row>
    <row r="54" ht="16.5" customHeight="1">
      <c r="A54" s="48" t="str">
        <f>'試算-SLOT'!A54</f>
        <v>KBB</v>
      </c>
      <c r="B54" s="48" t="str">
        <f>'試算-SLOT'!B54</f>
        <v/>
      </c>
      <c r="C54" s="48" t="str">
        <f>'試算-SLOT'!C54</f>
        <v>爸幣</v>
      </c>
      <c r="D54" s="48" t="str">
        <f>IF('試算-SLOT'!D54=1,"",'試算-SLOT'!D54)</f>
        <v/>
      </c>
      <c r="E54" s="49">
        <f>'試算-SLOT'!G54</f>
        <v>0.01</v>
      </c>
      <c r="F54" s="50">
        <v>3.0</v>
      </c>
      <c r="G54" s="50">
        <v>4.0</v>
      </c>
      <c r="H54" s="50">
        <v>6.0</v>
      </c>
      <c r="I54" s="50">
        <v>7.0</v>
      </c>
      <c r="J54" s="50">
        <v>9.0</v>
      </c>
      <c r="K54" s="50">
        <v>11.0</v>
      </c>
      <c r="L54" s="50">
        <v>13.0</v>
      </c>
      <c r="M54" s="50">
        <v>14.0</v>
      </c>
      <c r="N54" s="50">
        <v>16.0</v>
      </c>
      <c r="O54" s="50">
        <v>18.0</v>
      </c>
      <c r="P54" s="50">
        <v>19.0</v>
      </c>
      <c r="Q54" s="50">
        <v>20.0</v>
      </c>
      <c r="R54" s="50">
        <v>21.0</v>
      </c>
      <c r="S54" s="50">
        <v>22.0</v>
      </c>
      <c r="T54" s="50">
        <v>23.0</v>
      </c>
      <c r="U54" s="50">
        <v>24.0</v>
      </c>
      <c r="V54" s="50">
        <v>25.0</v>
      </c>
      <c r="W54" s="50">
        <v>26.0</v>
      </c>
      <c r="X54" s="50">
        <v>27.0</v>
      </c>
      <c r="Y54" s="50">
        <v>28.0</v>
      </c>
      <c r="Z54" s="57"/>
    </row>
    <row r="55" ht="16.5" customHeight="1">
      <c r="A55" s="48" t="str">
        <f>'試算-SLOT'!A55</f>
        <v>XSMY</v>
      </c>
      <c r="B55" s="48" t="str">
        <f>'試算-SLOT'!B55</f>
        <v/>
      </c>
      <c r="C55" s="48" t="str">
        <f>'試算-SLOT'!C55</f>
        <v>星城馬來西亞</v>
      </c>
      <c r="D55" s="48" t="str">
        <f>IF('試算-SLOT'!D55=1,"",'試算-SLOT'!D55)</f>
        <v/>
      </c>
      <c r="E55" s="49">
        <f>'試算-SLOT'!G55</f>
        <v>1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>
        <v>6.0</v>
      </c>
      <c r="L55" s="50">
        <v>7.0</v>
      </c>
      <c r="M55" s="50">
        <v>8.0</v>
      </c>
      <c r="N55" s="50">
        <v>9.0</v>
      </c>
      <c r="O55" s="50">
        <v>10.0</v>
      </c>
      <c r="P55" s="50">
        <v>11.0</v>
      </c>
      <c r="Q55" s="50">
        <v>13.0</v>
      </c>
      <c r="R55" s="50">
        <v>14.0</v>
      </c>
      <c r="S55" s="50">
        <v>16.0</v>
      </c>
      <c r="T55" s="50">
        <v>17.0</v>
      </c>
      <c r="U55" s="50">
        <v>18.0</v>
      </c>
      <c r="V55" s="50">
        <v>19.0</v>
      </c>
      <c r="W55" s="50">
        <v>20.0</v>
      </c>
      <c r="X55" s="50">
        <v>21.0</v>
      </c>
      <c r="Y55" s="50">
        <v>22.0</v>
      </c>
      <c r="Z55" s="53"/>
    </row>
    <row r="56" ht="16.5" customHeight="1">
      <c r="A56" s="57"/>
      <c r="B56" s="57"/>
      <c r="C56" s="57"/>
      <c r="D56" s="57"/>
      <c r="E56" s="58"/>
      <c r="F56" s="57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3"/>
    </row>
    <row r="57" ht="16.5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60"/>
      <c r="AA57" s="42"/>
    </row>
    <row r="58" ht="16.5" customHeight="1">
      <c r="A58" s="43" t="str">
        <f t="shared" ref="A58:Y58" si="1">A5</f>
        <v>貨幣簡稱</v>
      </c>
      <c r="B58" s="44" t="str">
        <f t="shared" si="1"/>
        <v>貨幣符號</v>
      </c>
      <c r="C58" s="44" t="str">
        <f t="shared" si="1"/>
        <v>中文名稱</v>
      </c>
      <c r="D58" s="44" t="str">
        <f t="shared" si="1"/>
        <v>貨幣轉換</v>
      </c>
      <c r="E58" s="44" t="str">
        <f t="shared" si="1"/>
        <v>Denom</v>
      </c>
      <c r="F58" s="44" t="str">
        <f t="shared" si="1"/>
        <v>第 1 組</v>
      </c>
      <c r="G58" s="44" t="str">
        <f t="shared" si="1"/>
        <v>第 2 組</v>
      </c>
      <c r="H58" s="44" t="str">
        <f t="shared" si="1"/>
        <v>第 3 組</v>
      </c>
      <c r="I58" s="44" t="str">
        <f t="shared" si="1"/>
        <v>第 4 組</v>
      </c>
      <c r="J58" s="44" t="str">
        <f t="shared" si="1"/>
        <v>第 5 組</v>
      </c>
      <c r="K58" s="44" t="str">
        <f t="shared" si="1"/>
        <v>第 6 組</v>
      </c>
      <c r="L58" s="44" t="str">
        <f t="shared" si="1"/>
        <v>第 7 組</v>
      </c>
      <c r="M58" s="44" t="str">
        <f t="shared" si="1"/>
        <v>第 8 組</v>
      </c>
      <c r="N58" s="44" t="str">
        <f t="shared" si="1"/>
        <v>第 9 組</v>
      </c>
      <c r="O58" s="44" t="str">
        <f t="shared" si="1"/>
        <v>第 10 組</v>
      </c>
      <c r="P58" s="44" t="str">
        <f t="shared" si="1"/>
        <v>第 11 組</v>
      </c>
      <c r="Q58" s="44" t="str">
        <f t="shared" si="1"/>
        <v>第 12 組</v>
      </c>
      <c r="R58" s="44" t="str">
        <f t="shared" si="1"/>
        <v>第 13 組</v>
      </c>
      <c r="S58" s="44" t="str">
        <f t="shared" si="1"/>
        <v>第 14 組</v>
      </c>
      <c r="T58" s="44" t="str">
        <f t="shared" si="1"/>
        <v>第 15 組</v>
      </c>
      <c r="U58" s="44" t="str">
        <f t="shared" si="1"/>
        <v>第 16 組</v>
      </c>
      <c r="V58" s="44" t="str">
        <f t="shared" si="1"/>
        <v>第 17 組</v>
      </c>
      <c r="W58" s="44" t="str">
        <f t="shared" si="1"/>
        <v>第 18 組</v>
      </c>
      <c r="X58" s="44" t="str">
        <f t="shared" si="1"/>
        <v>第 19 組</v>
      </c>
      <c r="Y58" s="61" t="str">
        <f t="shared" si="1"/>
        <v>第 20 組</v>
      </c>
      <c r="Z58" s="62"/>
      <c r="AA58" s="63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48" t="str">
        <f t="shared" si="2"/>
        <v>泰銖</v>
      </c>
      <c r="D59" s="48" t="str">
        <f t="shared" si="2"/>
        <v/>
      </c>
      <c r="E59" s="64">
        <f t="shared" si="2"/>
        <v>0.002</v>
      </c>
      <c r="F59" s="65">
        <f t="shared" ref="F59:Y59" si="3">HLOOKUP(F6,$F$1:$AI$2,2) * $D$1 * $E59</f>
        <v>1</v>
      </c>
      <c r="G59" s="65">
        <f t="shared" si="3"/>
        <v>2</v>
      </c>
      <c r="H59" s="65">
        <f t="shared" si="3"/>
        <v>3</v>
      </c>
      <c r="I59" s="65">
        <f t="shared" si="3"/>
        <v>4</v>
      </c>
      <c r="J59" s="65">
        <f t="shared" si="3"/>
        <v>5</v>
      </c>
      <c r="K59" s="65">
        <f t="shared" si="3"/>
        <v>6</v>
      </c>
      <c r="L59" s="65">
        <f t="shared" si="3"/>
        <v>8</v>
      </c>
      <c r="M59" s="65">
        <f t="shared" si="3"/>
        <v>10</v>
      </c>
      <c r="N59" s="65">
        <f t="shared" si="3"/>
        <v>12</v>
      </c>
      <c r="O59" s="65">
        <f t="shared" si="3"/>
        <v>16</v>
      </c>
      <c r="P59" s="65">
        <f t="shared" si="3"/>
        <v>20</v>
      </c>
      <c r="Q59" s="65">
        <f t="shared" si="3"/>
        <v>30</v>
      </c>
      <c r="R59" s="65">
        <f t="shared" si="3"/>
        <v>40</v>
      </c>
      <c r="S59" s="65">
        <f t="shared" si="3"/>
        <v>60</v>
      </c>
      <c r="T59" s="65">
        <f t="shared" si="3"/>
        <v>100</v>
      </c>
      <c r="U59" s="65">
        <f t="shared" si="3"/>
        <v>200</v>
      </c>
      <c r="V59" s="65">
        <f t="shared" si="3"/>
        <v>300</v>
      </c>
      <c r="W59" s="65">
        <f t="shared" si="3"/>
        <v>600</v>
      </c>
      <c r="X59" s="65">
        <f t="shared" si="3"/>
        <v>1000</v>
      </c>
      <c r="Y59" s="66">
        <f t="shared" si="3"/>
        <v>1500</v>
      </c>
      <c r="Z59" s="67"/>
      <c r="AA59" s="68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48" t="str">
        <f t="shared" si="4"/>
        <v>港幣</v>
      </c>
      <c r="D60" s="48" t="str">
        <f t="shared" si="4"/>
        <v/>
      </c>
      <c r="E60" s="64">
        <f t="shared" si="4"/>
        <v>0.002</v>
      </c>
      <c r="F60" s="65">
        <f t="shared" ref="F60:Y60" si="5">HLOOKUP(F7,$F$1:$AI$2,2) * $D$1 * $E60</f>
        <v>0.2</v>
      </c>
      <c r="G60" s="65">
        <f t="shared" si="5"/>
        <v>0.4</v>
      </c>
      <c r="H60" s="65">
        <f t="shared" si="5"/>
        <v>1</v>
      </c>
      <c r="I60" s="65">
        <f t="shared" si="5"/>
        <v>2</v>
      </c>
      <c r="J60" s="65">
        <f t="shared" si="5"/>
        <v>2.4</v>
      </c>
      <c r="K60" s="65">
        <f t="shared" si="5"/>
        <v>3</v>
      </c>
      <c r="L60" s="65">
        <f t="shared" si="5"/>
        <v>4</v>
      </c>
      <c r="M60" s="65">
        <f t="shared" si="5"/>
        <v>5</v>
      </c>
      <c r="N60" s="65">
        <f t="shared" si="5"/>
        <v>6</v>
      </c>
      <c r="O60" s="65">
        <f t="shared" si="5"/>
        <v>8</v>
      </c>
      <c r="P60" s="65">
        <f t="shared" si="5"/>
        <v>10</v>
      </c>
      <c r="Q60" s="65">
        <f t="shared" si="5"/>
        <v>12</v>
      </c>
      <c r="R60" s="65">
        <f t="shared" si="5"/>
        <v>16</v>
      </c>
      <c r="S60" s="65">
        <f t="shared" si="5"/>
        <v>20</v>
      </c>
      <c r="T60" s="65">
        <f t="shared" si="5"/>
        <v>30</v>
      </c>
      <c r="U60" s="65">
        <f t="shared" si="5"/>
        <v>40</v>
      </c>
      <c r="V60" s="65">
        <f t="shared" si="5"/>
        <v>60</v>
      </c>
      <c r="W60" s="65">
        <f t="shared" si="5"/>
        <v>100</v>
      </c>
      <c r="X60" s="65">
        <f t="shared" si="5"/>
        <v>200</v>
      </c>
      <c r="Y60" s="66">
        <f t="shared" si="5"/>
        <v>300</v>
      </c>
      <c r="Z60" s="67"/>
      <c r="AA60" s="68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48" t="str">
        <f t="shared" si="6"/>
        <v>印度盧比</v>
      </c>
      <c r="D61" s="48" t="str">
        <f t="shared" si="6"/>
        <v/>
      </c>
      <c r="E61" s="64">
        <f t="shared" si="6"/>
        <v>0.002</v>
      </c>
      <c r="F61" s="65">
        <f t="shared" ref="F61:Y61" si="7">HLOOKUP(F8,$F$1:$AI$2,2) * $D$1 * $E61</f>
        <v>2</v>
      </c>
      <c r="G61" s="65">
        <f t="shared" si="7"/>
        <v>3</v>
      </c>
      <c r="H61" s="65">
        <f t="shared" si="7"/>
        <v>4</v>
      </c>
      <c r="I61" s="65">
        <f t="shared" si="7"/>
        <v>6</v>
      </c>
      <c r="J61" s="65">
        <f t="shared" si="7"/>
        <v>8</v>
      </c>
      <c r="K61" s="65">
        <f t="shared" si="7"/>
        <v>10</v>
      </c>
      <c r="L61" s="65">
        <f t="shared" si="7"/>
        <v>12</v>
      </c>
      <c r="M61" s="65">
        <f t="shared" si="7"/>
        <v>16</v>
      </c>
      <c r="N61" s="65">
        <f t="shared" si="7"/>
        <v>20</v>
      </c>
      <c r="O61" s="65">
        <f t="shared" si="7"/>
        <v>30</v>
      </c>
      <c r="P61" s="65">
        <f t="shared" si="7"/>
        <v>40</v>
      </c>
      <c r="Q61" s="65">
        <f t="shared" si="7"/>
        <v>60</v>
      </c>
      <c r="R61" s="65">
        <f t="shared" si="7"/>
        <v>100</v>
      </c>
      <c r="S61" s="65">
        <f t="shared" si="7"/>
        <v>200</v>
      </c>
      <c r="T61" s="65">
        <f t="shared" si="7"/>
        <v>300</v>
      </c>
      <c r="U61" s="65">
        <f t="shared" si="7"/>
        <v>600</v>
      </c>
      <c r="V61" s="65">
        <f t="shared" si="7"/>
        <v>1000</v>
      </c>
      <c r="W61" s="65">
        <f t="shared" si="7"/>
        <v>1500</v>
      </c>
      <c r="X61" s="65">
        <f t="shared" si="7"/>
        <v>2000</v>
      </c>
      <c r="Y61" s="66">
        <f t="shared" si="7"/>
        <v>3000</v>
      </c>
      <c r="Z61" s="67"/>
      <c r="AA61" s="68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48" t="str">
        <f t="shared" si="8"/>
        <v>印尼盧比(K)</v>
      </c>
      <c r="D62" s="48">
        <f t="shared" si="8"/>
        <v>1000</v>
      </c>
      <c r="E62" s="64">
        <f t="shared" si="8"/>
        <v>0.002</v>
      </c>
      <c r="F62" s="65">
        <f t="shared" ref="F62:Y62" si="9">HLOOKUP(F9,$F$1:$AI$2,2) * $D$1 * $E62</f>
        <v>0.4</v>
      </c>
      <c r="G62" s="65">
        <f t="shared" si="9"/>
        <v>1</v>
      </c>
      <c r="H62" s="65">
        <f t="shared" si="9"/>
        <v>2</v>
      </c>
      <c r="I62" s="65">
        <f t="shared" si="9"/>
        <v>2.4</v>
      </c>
      <c r="J62" s="65">
        <f t="shared" si="9"/>
        <v>3</v>
      </c>
      <c r="K62" s="65">
        <f t="shared" si="9"/>
        <v>4</v>
      </c>
      <c r="L62" s="65">
        <f t="shared" si="9"/>
        <v>5</v>
      </c>
      <c r="M62" s="65">
        <f t="shared" si="9"/>
        <v>6</v>
      </c>
      <c r="N62" s="65">
        <f t="shared" si="9"/>
        <v>8</v>
      </c>
      <c r="O62" s="65">
        <f t="shared" si="9"/>
        <v>10</v>
      </c>
      <c r="P62" s="65">
        <f t="shared" si="9"/>
        <v>12</v>
      </c>
      <c r="Q62" s="65">
        <f t="shared" si="9"/>
        <v>16</v>
      </c>
      <c r="R62" s="65">
        <f t="shared" si="9"/>
        <v>20</v>
      </c>
      <c r="S62" s="65">
        <f t="shared" si="9"/>
        <v>30</v>
      </c>
      <c r="T62" s="65">
        <f t="shared" si="9"/>
        <v>40</v>
      </c>
      <c r="U62" s="65">
        <f t="shared" si="9"/>
        <v>60</v>
      </c>
      <c r="V62" s="65">
        <f t="shared" si="9"/>
        <v>100</v>
      </c>
      <c r="W62" s="65">
        <f t="shared" si="9"/>
        <v>200</v>
      </c>
      <c r="X62" s="65">
        <f t="shared" si="9"/>
        <v>300</v>
      </c>
      <c r="Y62" s="66">
        <f t="shared" si="9"/>
        <v>600</v>
      </c>
      <c r="Z62" s="67"/>
      <c r="AA62" s="68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48" t="str">
        <f t="shared" si="10"/>
        <v>越南盾(K)</v>
      </c>
      <c r="D63" s="48">
        <f t="shared" si="10"/>
        <v>1000</v>
      </c>
      <c r="E63" s="64">
        <f t="shared" si="10"/>
        <v>0.002</v>
      </c>
      <c r="F63" s="65">
        <f t="shared" ref="F63:Y63" si="11">HLOOKUP(F10,$F$1:$AI$2,2) * $D$1 * $E63</f>
        <v>1</v>
      </c>
      <c r="G63" s="65">
        <f t="shared" si="11"/>
        <v>2</v>
      </c>
      <c r="H63" s="65">
        <f t="shared" si="11"/>
        <v>2.4</v>
      </c>
      <c r="I63" s="65">
        <f t="shared" si="11"/>
        <v>3</v>
      </c>
      <c r="J63" s="65">
        <f t="shared" si="11"/>
        <v>4</v>
      </c>
      <c r="K63" s="65">
        <f t="shared" si="11"/>
        <v>5</v>
      </c>
      <c r="L63" s="65">
        <f t="shared" si="11"/>
        <v>6</v>
      </c>
      <c r="M63" s="65">
        <f t="shared" si="11"/>
        <v>8</v>
      </c>
      <c r="N63" s="65">
        <f t="shared" si="11"/>
        <v>10</v>
      </c>
      <c r="O63" s="65">
        <f t="shared" si="11"/>
        <v>12</v>
      </c>
      <c r="P63" s="65">
        <f t="shared" si="11"/>
        <v>16</v>
      </c>
      <c r="Q63" s="65">
        <f t="shared" si="11"/>
        <v>20</v>
      </c>
      <c r="R63" s="65">
        <f t="shared" si="11"/>
        <v>30</v>
      </c>
      <c r="S63" s="65">
        <f t="shared" si="11"/>
        <v>40</v>
      </c>
      <c r="T63" s="65">
        <f t="shared" si="11"/>
        <v>60</v>
      </c>
      <c r="U63" s="65">
        <f t="shared" si="11"/>
        <v>100</v>
      </c>
      <c r="V63" s="65">
        <f t="shared" si="11"/>
        <v>200</v>
      </c>
      <c r="W63" s="65">
        <f t="shared" si="11"/>
        <v>300</v>
      </c>
      <c r="X63" s="65">
        <f t="shared" si="11"/>
        <v>600</v>
      </c>
      <c r="Y63" s="66">
        <f t="shared" si="11"/>
        <v>1000</v>
      </c>
      <c r="Z63" s="67"/>
      <c r="AA63" s="68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48" t="str">
        <f t="shared" si="12"/>
        <v>馬來西亞令吉</v>
      </c>
      <c r="D64" s="48" t="str">
        <f t="shared" si="12"/>
        <v/>
      </c>
      <c r="E64" s="64">
        <f t="shared" si="12"/>
        <v>0.002</v>
      </c>
      <c r="F64" s="65">
        <f t="shared" ref="F64:Y64" si="13">HLOOKUP(F11,$F$1:$AI$2,2) * $D$1 * $E64</f>
        <v>0.2</v>
      </c>
      <c r="G64" s="65">
        <f t="shared" si="13"/>
        <v>0.4</v>
      </c>
      <c r="H64" s="65">
        <f t="shared" si="13"/>
        <v>1</v>
      </c>
      <c r="I64" s="65">
        <f t="shared" si="13"/>
        <v>2</v>
      </c>
      <c r="J64" s="65">
        <f t="shared" si="13"/>
        <v>2.4</v>
      </c>
      <c r="K64" s="65">
        <f t="shared" si="13"/>
        <v>3</v>
      </c>
      <c r="L64" s="65">
        <f t="shared" si="13"/>
        <v>4</v>
      </c>
      <c r="M64" s="65">
        <f t="shared" si="13"/>
        <v>5</v>
      </c>
      <c r="N64" s="65">
        <f t="shared" si="13"/>
        <v>6</v>
      </c>
      <c r="O64" s="65">
        <f t="shared" si="13"/>
        <v>7</v>
      </c>
      <c r="P64" s="65">
        <f t="shared" si="13"/>
        <v>8</v>
      </c>
      <c r="Q64" s="65">
        <f t="shared" si="13"/>
        <v>10</v>
      </c>
      <c r="R64" s="65">
        <f t="shared" si="13"/>
        <v>12</v>
      </c>
      <c r="S64" s="65">
        <f t="shared" si="13"/>
        <v>16</v>
      </c>
      <c r="T64" s="65">
        <f t="shared" si="13"/>
        <v>20</v>
      </c>
      <c r="U64" s="65">
        <f t="shared" si="13"/>
        <v>30</v>
      </c>
      <c r="V64" s="65">
        <f t="shared" si="13"/>
        <v>40</v>
      </c>
      <c r="W64" s="65">
        <f t="shared" si="13"/>
        <v>60</v>
      </c>
      <c r="X64" s="65">
        <f t="shared" si="13"/>
        <v>100</v>
      </c>
      <c r="Y64" s="66">
        <f t="shared" si="13"/>
        <v>200</v>
      </c>
      <c r="Z64" s="67"/>
      <c r="AA64" s="68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48" t="str">
        <f t="shared" si="14"/>
        <v>新加坡幣</v>
      </c>
      <c r="D65" s="48" t="str">
        <f t="shared" si="14"/>
        <v/>
      </c>
      <c r="E65" s="64">
        <f t="shared" si="14"/>
        <v>0.002</v>
      </c>
      <c r="F65" s="65">
        <f t="shared" ref="F65:Y65" si="15">HLOOKUP(F12,$F$1:$AI$2,2) * $D$1 * $E65</f>
        <v>0.2</v>
      </c>
      <c r="G65" s="65">
        <f t="shared" si="15"/>
        <v>0.4</v>
      </c>
      <c r="H65" s="65">
        <f t="shared" si="15"/>
        <v>1</v>
      </c>
      <c r="I65" s="65">
        <f t="shared" si="15"/>
        <v>2</v>
      </c>
      <c r="J65" s="65">
        <f t="shared" si="15"/>
        <v>2.4</v>
      </c>
      <c r="K65" s="65">
        <f t="shared" si="15"/>
        <v>3</v>
      </c>
      <c r="L65" s="65">
        <f t="shared" si="15"/>
        <v>4</v>
      </c>
      <c r="M65" s="65">
        <f t="shared" si="15"/>
        <v>5</v>
      </c>
      <c r="N65" s="65">
        <f t="shared" si="15"/>
        <v>6</v>
      </c>
      <c r="O65" s="65">
        <f t="shared" si="15"/>
        <v>7</v>
      </c>
      <c r="P65" s="65">
        <f t="shared" si="15"/>
        <v>8</v>
      </c>
      <c r="Q65" s="65">
        <f t="shared" si="15"/>
        <v>9</v>
      </c>
      <c r="R65" s="65">
        <f t="shared" si="15"/>
        <v>10</v>
      </c>
      <c r="S65" s="65">
        <f t="shared" si="15"/>
        <v>12</v>
      </c>
      <c r="T65" s="65">
        <f t="shared" si="15"/>
        <v>14</v>
      </c>
      <c r="U65" s="65">
        <f t="shared" si="15"/>
        <v>16</v>
      </c>
      <c r="V65" s="65">
        <f t="shared" si="15"/>
        <v>18</v>
      </c>
      <c r="W65" s="65">
        <f t="shared" si="15"/>
        <v>20</v>
      </c>
      <c r="X65" s="65">
        <f t="shared" si="15"/>
        <v>30</v>
      </c>
      <c r="Y65" s="66">
        <f t="shared" si="15"/>
        <v>40</v>
      </c>
      <c r="Z65" s="67"/>
      <c r="AA65" s="68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48" t="str">
        <f t="shared" si="16"/>
        <v>美元</v>
      </c>
      <c r="D66" s="48" t="str">
        <f t="shared" si="16"/>
        <v/>
      </c>
      <c r="E66" s="64">
        <f t="shared" si="16"/>
        <v>0.002</v>
      </c>
      <c r="F66" s="65">
        <f t="shared" ref="F66:Y66" si="17">HLOOKUP(F13,$F$1:$AI$2,2) * $D$1 * $E66</f>
        <v>0.2</v>
      </c>
      <c r="G66" s="65">
        <f t="shared" si="17"/>
        <v>0.4</v>
      </c>
      <c r="H66" s="65">
        <f t="shared" si="17"/>
        <v>1</v>
      </c>
      <c r="I66" s="65">
        <f t="shared" si="17"/>
        <v>2</v>
      </c>
      <c r="J66" s="65">
        <f t="shared" si="17"/>
        <v>2.4</v>
      </c>
      <c r="K66" s="65">
        <f t="shared" si="17"/>
        <v>3</v>
      </c>
      <c r="L66" s="65">
        <f t="shared" si="17"/>
        <v>4</v>
      </c>
      <c r="M66" s="65">
        <f t="shared" si="17"/>
        <v>5</v>
      </c>
      <c r="N66" s="65">
        <f t="shared" si="17"/>
        <v>6</v>
      </c>
      <c r="O66" s="65">
        <f t="shared" si="17"/>
        <v>7</v>
      </c>
      <c r="P66" s="65">
        <f t="shared" si="17"/>
        <v>8</v>
      </c>
      <c r="Q66" s="65">
        <f t="shared" si="17"/>
        <v>9</v>
      </c>
      <c r="R66" s="65">
        <f t="shared" si="17"/>
        <v>10</v>
      </c>
      <c r="S66" s="65">
        <f t="shared" si="17"/>
        <v>12</v>
      </c>
      <c r="T66" s="65">
        <f t="shared" si="17"/>
        <v>14</v>
      </c>
      <c r="U66" s="65">
        <f t="shared" si="17"/>
        <v>16</v>
      </c>
      <c r="V66" s="65">
        <f t="shared" si="17"/>
        <v>18</v>
      </c>
      <c r="W66" s="65">
        <f t="shared" si="17"/>
        <v>20</v>
      </c>
      <c r="X66" s="65">
        <f t="shared" si="17"/>
        <v>30</v>
      </c>
      <c r="Y66" s="66">
        <f t="shared" si="17"/>
        <v>40</v>
      </c>
      <c r="Z66" s="67"/>
      <c r="AA66" s="68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48" t="str">
        <f t="shared" si="18"/>
        <v>孟加拉塔卡</v>
      </c>
      <c r="D67" s="48" t="str">
        <f t="shared" si="18"/>
        <v/>
      </c>
      <c r="E67" s="64">
        <f t="shared" si="18"/>
        <v>0.002</v>
      </c>
      <c r="F67" s="65">
        <f t="shared" ref="F67:Y67" si="19">HLOOKUP(F14,$F$1:$AI$2,2) * $D$1 * $E67</f>
        <v>2</v>
      </c>
      <c r="G67" s="65">
        <f t="shared" si="19"/>
        <v>3</v>
      </c>
      <c r="H67" s="65">
        <f t="shared" si="19"/>
        <v>4</v>
      </c>
      <c r="I67" s="65">
        <f t="shared" si="19"/>
        <v>6</v>
      </c>
      <c r="J67" s="65">
        <f t="shared" si="19"/>
        <v>8</v>
      </c>
      <c r="K67" s="65">
        <f t="shared" si="19"/>
        <v>10</v>
      </c>
      <c r="L67" s="65">
        <f t="shared" si="19"/>
        <v>12</v>
      </c>
      <c r="M67" s="65">
        <f t="shared" si="19"/>
        <v>16</v>
      </c>
      <c r="N67" s="65">
        <f t="shared" si="19"/>
        <v>20</v>
      </c>
      <c r="O67" s="65">
        <f t="shared" si="19"/>
        <v>30</v>
      </c>
      <c r="P67" s="65">
        <f t="shared" si="19"/>
        <v>40</v>
      </c>
      <c r="Q67" s="65">
        <f t="shared" si="19"/>
        <v>60</v>
      </c>
      <c r="R67" s="65">
        <f t="shared" si="19"/>
        <v>100</v>
      </c>
      <c r="S67" s="65">
        <f t="shared" si="19"/>
        <v>200</v>
      </c>
      <c r="T67" s="65">
        <f t="shared" si="19"/>
        <v>300</v>
      </c>
      <c r="U67" s="65">
        <f t="shared" si="19"/>
        <v>600</v>
      </c>
      <c r="V67" s="65">
        <f t="shared" si="19"/>
        <v>1000</v>
      </c>
      <c r="W67" s="65">
        <f t="shared" si="19"/>
        <v>1500</v>
      </c>
      <c r="X67" s="65">
        <f t="shared" si="19"/>
        <v>2000</v>
      </c>
      <c r="Y67" s="66">
        <f t="shared" si="19"/>
        <v>3000</v>
      </c>
      <c r="Z67" s="67"/>
      <c r="AA67" s="68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48" t="str">
        <f t="shared" si="20"/>
        <v>巴基斯坦盧比</v>
      </c>
      <c r="D68" s="48" t="str">
        <f t="shared" si="20"/>
        <v/>
      </c>
      <c r="E68" s="64">
        <f t="shared" si="20"/>
        <v>0.01</v>
      </c>
      <c r="F68" s="65">
        <f t="shared" ref="F68:Y68" si="21">HLOOKUP(F15,$F$1:$AI$2,2) * $D$1 * $E68</f>
        <v>5</v>
      </c>
      <c r="G68" s="65">
        <f t="shared" si="21"/>
        <v>10</v>
      </c>
      <c r="H68" s="65">
        <f t="shared" si="21"/>
        <v>15</v>
      </c>
      <c r="I68" s="65">
        <f t="shared" si="21"/>
        <v>20</v>
      </c>
      <c r="J68" s="65">
        <f t="shared" si="21"/>
        <v>30</v>
      </c>
      <c r="K68" s="65">
        <f t="shared" si="21"/>
        <v>40</v>
      </c>
      <c r="L68" s="65">
        <f t="shared" si="21"/>
        <v>50</v>
      </c>
      <c r="M68" s="65">
        <f t="shared" si="21"/>
        <v>60</v>
      </c>
      <c r="N68" s="65">
        <f t="shared" si="21"/>
        <v>80</v>
      </c>
      <c r="O68" s="65">
        <f t="shared" si="21"/>
        <v>100</v>
      </c>
      <c r="P68" s="65">
        <f t="shared" si="21"/>
        <v>150</v>
      </c>
      <c r="Q68" s="65">
        <f t="shared" si="21"/>
        <v>200</v>
      </c>
      <c r="R68" s="65">
        <f t="shared" si="21"/>
        <v>300</v>
      </c>
      <c r="S68" s="65">
        <f t="shared" si="21"/>
        <v>500</v>
      </c>
      <c r="T68" s="65">
        <f t="shared" si="21"/>
        <v>1000</v>
      </c>
      <c r="U68" s="65">
        <f t="shared" si="21"/>
        <v>1500</v>
      </c>
      <c r="V68" s="65">
        <f t="shared" si="21"/>
        <v>3000</v>
      </c>
      <c r="W68" s="65">
        <f t="shared" si="21"/>
        <v>5000</v>
      </c>
      <c r="X68" s="65">
        <f t="shared" si="21"/>
        <v>7500</v>
      </c>
      <c r="Y68" s="66">
        <f t="shared" si="21"/>
        <v>10000</v>
      </c>
      <c r="Z68" s="67"/>
      <c r="AA68" s="68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48" t="str">
        <f t="shared" si="22"/>
        <v>緬甸元(K)</v>
      </c>
      <c r="D69" s="48">
        <f t="shared" si="22"/>
        <v>1000</v>
      </c>
      <c r="E69" s="64">
        <f t="shared" si="22"/>
        <v>0.002</v>
      </c>
      <c r="F69" s="65">
        <f t="shared" ref="F69:Y69" si="23">HLOOKUP(F16,$F$1:$AI$2,2) * $D$1 * $E69</f>
        <v>0.2</v>
      </c>
      <c r="G69" s="65">
        <f t="shared" si="23"/>
        <v>0.4</v>
      </c>
      <c r="H69" s="65">
        <f t="shared" si="23"/>
        <v>1</v>
      </c>
      <c r="I69" s="65">
        <f t="shared" si="23"/>
        <v>2</v>
      </c>
      <c r="J69" s="65">
        <f t="shared" si="23"/>
        <v>2.4</v>
      </c>
      <c r="K69" s="65">
        <f t="shared" si="23"/>
        <v>3</v>
      </c>
      <c r="L69" s="65">
        <f t="shared" si="23"/>
        <v>4</v>
      </c>
      <c r="M69" s="65">
        <f t="shared" si="23"/>
        <v>5</v>
      </c>
      <c r="N69" s="65">
        <f t="shared" si="23"/>
        <v>6</v>
      </c>
      <c r="O69" s="65">
        <f t="shared" si="23"/>
        <v>7</v>
      </c>
      <c r="P69" s="65">
        <f t="shared" si="23"/>
        <v>8</v>
      </c>
      <c r="Q69" s="65">
        <f t="shared" si="23"/>
        <v>9</v>
      </c>
      <c r="R69" s="65">
        <f t="shared" si="23"/>
        <v>10</v>
      </c>
      <c r="S69" s="65">
        <f t="shared" si="23"/>
        <v>12</v>
      </c>
      <c r="T69" s="65">
        <f t="shared" si="23"/>
        <v>14</v>
      </c>
      <c r="U69" s="65">
        <f t="shared" si="23"/>
        <v>16</v>
      </c>
      <c r="V69" s="65">
        <f t="shared" si="23"/>
        <v>20</v>
      </c>
      <c r="W69" s="65">
        <f t="shared" si="23"/>
        <v>30</v>
      </c>
      <c r="X69" s="65">
        <f t="shared" si="23"/>
        <v>40</v>
      </c>
      <c r="Y69" s="66">
        <f t="shared" si="23"/>
        <v>60</v>
      </c>
      <c r="Z69" s="67"/>
      <c r="AA69" s="68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48" t="str">
        <f t="shared" si="24"/>
        <v>緬甸元(H)</v>
      </c>
      <c r="D70" s="48">
        <f t="shared" si="24"/>
        <v>100</v>
      </c>
      <c r="E70" s="64">
        <f t="shared" si="24"/>
        <v>0.004</v>
      </c>
      <c r="F70" s="65">
        <f t="shared" ref="F70:Y70" si="25">HLOOKUP(F17,$F$1:$AI$2,2) * $D$1 * $E70</f>
        <v>0.4</v>
      </c>
      <c r="G70" s="65">
        <f t="shared" si="25"/>
        <v>0.8</v>
      </c>
      <c r="H70" s="65">
        <f t="shared" si="25"/>
        <v>2</v>
      </c>
      <c r="I70" s="65">
        <f t="shared" si="25"/>
        <v>4</v>
      </c>
      <c r="J70" s="65">
        <f t="shared" si="25"/>
        <v>4.8</v>
      </c>
      <c r="K70" s="65">
        <f t="shared" si="25"/>
        <v>6</v>
      </c>
      <c r="L70" s="65">
        <f t="shared" si="25"/>
        <v>8</v>
      </c>
      <c r="M70" s="65">
        <f t="shared" si="25"/>
        <v>10</v>
      </c>
      <c r="N70" s="65">
        <f t="shared" si="25"/>
        <v>12</v>
      </c>
      <c r="O70" s="65">
        <f t="shared" si="25"/>
        <v>16</v>
      </c>
      <c r="P70" s="65">
        <f t="shared" si="25"/>
        <v>20</v>
      </c>
      <c r="Q70" s="65">
        <f t="shared" si="25"/>
        <v>24</v>
      </c>
      <c r="R70" s="65">
        <f t="shared" si="25"/>
        <v>32</v>
      </c>
      <c r="S70" s="65">
        <f t="shared" si="25"/>
        <v>40</v>
      </c>
      <c r="T70" s="65">
        <f t="shared" si="25"/>
        <v>60</v>
      </c>
      <c r="U70" s="65">
        <f t="shared" si="25"/>
        <v>80</v>
      </c>
      <c r="V70" s="65">
        <f t="shared" si="25"/>
        <v>120</v>
      </c>
      <c r="W70" s="65">
        <f t="shared" si="25"/>
        <v>200</v>
      </c>
      <c r="X70" s="65">
        <f t="shared" si="25"/>
        <v>400</v>
      </c>
      <c r="Y70" s="66">
        <f t="shared" si="25"/>
        <v>600</v>
      </c>
      <c r="Z70" s="67"/>
      <c r="AA70" s="68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48" t="str">
        <f t="shared" si="26"/>
        <v>菲律賓披索</v>
      </c>
      <c r="D71" s="48" t="str">
        <f t="shared" si="26"/>
        <v/>
      </c>
      <c r="E71" s="64">
        <f t="shared" si="26"/>
        <v>0.002</v>
      </c>
      <c r="F71" s="65">
        <f t="shared" ref="F71:Y71" si="27">HLOOKUP(F18,$F$1:$AI$2,2) * $D$1 * $E71</f>
        <v>1</v>
      </c>
      <c r="G71" s="65">
        <f t="shared" si="27"/>
        <v>2</v>
      </c>
      <c r="H71" s="65">
        <f t="shared" si="27"/>
        <v>3</v>
      </c>
      <c r="I71" s="65">
        <f t="shared" si="27"/>
        <v>4</v>
      </c>
      <c r="J71" s="65">
        <f t="shared" si="27"/>
        <v>5</v>
      </c>
      <c r="K71" s="65">
        <f t="shared" si="27"/>
        <v>6</v>
      </c>
      <c r="L71" s="65">
        <f t="shared" si="27"/>
        <v>8</v>
      </c>
      <c r="M71" s="65">
        <f t="shared" si="27"/>
        <v>10</v>
      </c>
      <c r="N71" s="65">
        <f t="shared" si="27"/>
        <v>12</v>
      </c>
      <c r="O71" s="65">
        <f t="shared" si="27"/>
        <v>16</v>
      </c>
      <c r="P71" s="65">
        <f t="shared" si="27"/>
        <v>20</v>
      </c>
      <c r="Q71" s="65">
        <f t="shared" si="27"/>
        <v>30</v>
      </c>
      <c r="R71" s="65">
        <f t="shared" si="27"/>
        <v>40</v>
      </c>
      <c r="S71" s="65">
        <f t="shared" si="27"/>
        <v>60</v>
      </c>
      <c r="T71" s="65">
        <f t="shared" si="27"/>
        <v>100</v>
      </c>
      <c r="U71" s="65">
        <f t="shared" si="27"/>
        <v>200</v>
      </c>
      <c r="V71" s="65">
        <f t="shared" si="27"/>
        <v>300</v>
      </c>
      <c r="W71" s="65">
        <f t="shared" si="27"/>
        <v>600</v>
      </c>
      <c r="X71" s="65">
        <f t="shared" si="27"/>
        <v>1000</v>
      </c>
      <c r="Y71" s="66">
        <f t="shared" si="27"/>
        <v>1500</v>
      </c>
      <c r="Z71" s="67"/>
      <c r="AA71" s="68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48" t="str">
        <f t="shared" si="28"/>
        <v>人民幣</v>
      </c>
      <c r="D72" s="48" t="str">
        <f t="shared" si="28"/>
        <v/>
      </c>
      <c r="E72" s="64">
        <f t="shared" si="28"/>
        <v>0.002</v>
      </c>
      <c r="F72" s="65">
        <f t="shared" ref="F72:Y72" si="29">HLOOKUP(F19,$F$1:$AI$2,2) * $D$1 * $E72</f>
        <v>0.2</v>
      </c>
      <c r="G72" s="65">
        <f t="shared" si="29"/>
        <v>0.4</v>
      </c>
      <c r="H72" s="65">
        <f t="shared" si="29"/>
        <v>1</v>
      </c>
      <c r="I72" s="65">
        <f t="shared" si="29"/>
        <v>2</v>
      </c>
      <c r="J72" s="65">
        <f t="shared" si="29"/>
        <v>2.4</v>
      </c>
      <c r="K72" s="65">
        <f t="shared" si="29"/>
        <v>3</v>
      </c>
      <c r="L72" s="65">
        <f t="shared" si="29"/>
        <v>4</v>
      </c>
      <c r="M72" s="65">
        <f t="shared" si="29"/>
        <v>5</v>
      </c>
      <c r="N72" s="65">
        <f t="shared" si="29"/>
        <v>6</v>
      </c>
      <c r="O72" s="65">
        <f t="shared" si="29"/>
        <v>8</v>
      </c>
      <c r="P72" s="65">
        <f t="shared" si="29"/>
        <v>10</v>
      </c>
      <c r="Q72" s="65">
        <f t="shared" si="29"/>
        <v>12</v>
      </c>
      <c r="R72" s="65">
        <f t="shared" si="29"/>
        <v>16</v>
      </c>
      <c r="S72" s="65">
        <f t="shared" si="29"/>
        <v>20</v>
      </c>
      <c r="T72" s="65">
        <f t="shared" si="29"/>
        <v>30</v>
      </c>
      <c r="U72" s="65">
        <f t="shared" si="29"/>
        <v>40</v>
      </c>
      <c r="V72" s="65">
        <f t="shared" si="29"/>
        <v>60</v>
      </c>
      <c r="W72" s="65">
        <f t="shared" si="29"/>
        <v>100</v>
      </c>
      <c r="X72" s="65">
        <f t="shared" si="29"/>
        <v>200</v>
      </c>
      <c r="Y72" s="66">
        <f t="shared" si="29"/>
        <v>300</v>
      </c>
      <c r="Z72" s="67"/>
      <c r="AA72" s="68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48" t="str">
        <f t="shared" si="30"/>
        <v>墨⻄哥披索</v>
      </c>
      <c r="D73" s="48" t="str">
        <f t="shared" si="30"/>
        <v/>
      </c>
      <c r="E73" s="64">
        <f t="shared" si="30"/>
        <v>0.002</v>
      </c>
      <c r="F73" s="65">
        <f t="shared" ref="F73:Y73" si="31">HLOOKUP(F20,$F$1:$AI$2,2) * $D$1 * $E73</f>
        <v>0.4</v>
      </c>
      <c r="G73" s="65">
        <f t="shared" si="31"/>
        <v>1</v>
      </c>
      <c r="H73" s="65">
        <f t="shared" si="31"/>
        <v>2</v>
      </c>
      <c r="I73" s="65">
        <f t="shared" si="31"/>
        <v>2.4</v>
      </c>
      <c r="J73" s="65">
        <f t="shared" si="31"/>
        <v>3</v>
      </c>
      <c r="K73" s="65">
        <f t="shared" si="31"/>
        <v>4</v>
      </c>
      <c r="L73" s="65">
        <f t="shared" si="31"/>
        <v>5</v>
      </c>
      <c r="M73" s="65">
        <f t="shared" si="31"/>
        <v>6</v>
      </c>
      <c r="N73" s="65">
        <f t="shared" si="31"/>
        <v>8</v>
      </c>
      <c r="O73" s="65">
        <f t="shared" si="31"/>
        <v>10</v>
      </c>
      <c r="P73" s="65">
        <f t="shared" si="31"/>
        <v>12</v>
      </c>
      <c r="Q73" s="65">
        <f t="shared" si="31"/>
        <v>16</v>
      </c>
      <c r="R73" s="65">
        <f t="shared" si="31"/>
        <v>20</v>
      </c>
      <c r="S73" s="65">
        <f t="shared" si="31"/>
        <v>30</v>
      </c>
      <c r="T73" s="65">
        <f t="shared" si="31"/>
        <v>40</v>
      </c>
      <c r="U73" s="65">
        <f t="shared" si="31"/>
        <v>60</v>
      </c>
      <c r="V73" s="65">
        <f t="shared" si="31"/>
        <v>100</v>
      </c>
      <c r="W73" s="65">
        <f t="shared" si="31"/>
        <v>200</v>
      </c>
      <c r="X73" s="65">
        <f t="shared" si="31"/>
        <v>300</v>
      </c>
      <c r="Y73" s="66">
        <f t="shared" si="31"/>
        <v>600</v>
      </c>
      <c r="Z73" s="67"/>
      <c r="AA73" s="68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48" t="str">
        <f t="shared" si="32"/>
        <v>巴西雷亞爾</v>
      </c>
      <c r="D74" s="48" t="str">
        <f t="shared" si="32"/>
        <v/>
      </c>
      <c r="E74" s="64">
        <f t="shared" si="32"/>
        <v>0.002</v>
      </c>
      <c r="F74" s="65">
        <f t="shared" ref="F74:Y74" si="33">HLOOKUP(F21,$F$1:$AI$2,2) * $D$1 * $E74</f>
        <v>0.2</v>
      </c>
      <c r="G74" s="65">
        <f t="shared" si="33"/>
        <v>0.4</v>
      </c>
      <c r="H74" s="65">
        <f t="shared" si="33"/>
        <v>1</v>
      </c>
      <c r="I74" s="65">
        <f t="shared" si="33"/>
        <v>2</v>
      </c>
      <c r="J74" s="65">
        <f t="shared" si="33"/>
        <v>2.4</v>
      </c>
      <c r="K74" s="65">
        <f t="shared" si="33"/>
        <v>3</v>
      </c>
      <c r="L74" s="65">
        <f t="shared" si="33"/>
        <v>4</v>
      </c>
      <c r="M74" s="65">
        <f t="shared" si="33"/>
        <v>5</v>
      </c>
      <c r="N74" s="65">
        <f t="shared" si="33"/>
        <v>6</v>
      </c>
      <c r="O74" s="65">
        <f t="shared" si="33"/>
        <v>7</v>
      </c>
      <c r="P74" s="65">
        <f t="shared" si="33"/>
        <v>8</v>
      </c>
      <c r="Q74" s="65">
        <f t="shared" si="33"/>
        <v>10</v>
      </c>
      <c r="R74" s="65">
        <f t="shared" si="33"/>
        <v>12</v>
      </c>
      <c r="S74" s="65">
        <f t="shared" si="33"/>
        <v>16</v>
      </c>
      <c r="T74" s="65">
        <f t="shared" si="33"/>
        <v>20</v>
      </c>
      <c r="U74" s="65">
        <f t="shared" si="33"/>
        <v>30</v>
      </c>
      <c r="V74" s="65">
        <f t="shared" si="33"/>
        <v>40</v>
      </c>
      <c r="W74" s="65">
        <f t="shared" si="33"/>
        <v>60</v>
      </c>
      <c r="X74" s="65">
        <f t="shared" si="33"/>
        <v>100</v>
      </c>
      <c r="Y74" s="66">
        <f t="shared" si="33"/>
        <v>200</v>
      </c>
      <c r="Z74" s="67"/>
      <c r="AA74" s="68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48" t="str">
        <f t="shared" si="34"/>
        <v>澳洲元</v>
      </c>
      <c r="D75" s="48" t="str">
        <f t="shared" si="34"/>
        <v/>
      </c>
      <c r="E75" s="64">
        <f t="shared" si="34"/>
        <v>0.002</v>
      </c>
      <c r="F75" s="65">
        <f t="shared" ref="F75:Y75" si="35">HLOOKUP(F22,$F$1:$AI$2,2) * $D$1 * $E75</f>
        <v>0.2</v>
      </c>
      <c r="G75" s="65">
        <f t="shared" si="35"/>
        <v>0.4</v>
      </c>
      <c r="H75" s="65">
        <f t="shared" si="35"/>
        <v>1</v>
      </c>
      <c r="I75" s="65">
        <f t="shared" si="35"/>
        <v>2</v>
      </c>
      <c r="J75" s="65">
        <f t="shared" si="35"/>
        <v>2.4</v>
      </c>
      <c r="K75" s="65">
        <f t="shared" si="35"/>
        <v>3</v>
      </c>
      <c r="L75" s="65">
        <f t="shared" si="35"/>
        <v>4</v>
      </c>
      <c r="M75" s="65">
        <f t="shared" si="35"/>
        <v>5</v>
      </c>
      <c r="N75" s="65">
        <f t="shared" si="35"/>
        <v>6</v>
      </c>
      <c r="O75" s="65">
        <f t="shared" si="35"/>
        <v>7</v>
      </c>
      <c r="P75" s="65">
        <f t="shared" si="35"/>
        <v>8</v>
      </c>
      <c r="Q75" s="65">
        <f t="shared" si="35"/>
        <v>9</v>
      </c>
      <c r="R75" s="65">
        <f t="shared" si="35"/>
        <v>10</v>
      </c>
      <c r="S75" s="65">
        <f t="shared" si="35"/>
        <v>12</v>
      </c>
      <c r="T75" s="65">
        <f t="shared" si="35"/>
        <v>14</v>
      </c>
      <c r="U75" s="65">
        <f t="shared" si="35"/>
        <v>16</v>
      </c>
      <c r="V75" s="65">
        <f t="shared" si="35"/>
        <v>20</v>
      </c>
      <c r="W75" s="65">
        <f t="shared" si="35"/>
        <v>30</v>
      </c>
      <c r="X75" s="65">
        <f t="shared" si="35"/>
        <v>40</v>
      </c>
      <c r="Y75" s="66">
        <f t="shared" si="35"/>
        <v>60</v>
      </c>
      <c r="Z75" s="67"/>
      <c r="AA75" s="68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48" t="str">
        <f t="shared" si="36"/>
        <v>日圓</v>
      </c>
      <c r="D76" s="48" t="str">
        <f t="shared" si="36"/>
        <v/>
      </c>
      <c r="E76" s="64">
        <f t="shared" si="36"/>
        <v>0.004</v>
      </c>
      <c r="F76" s="65">
        <f t="shared" ref="F76:Y76" si="37">HLOOKUP(F23,$F$1:$AI$2,2) * $D$1 * $E76</f>
        <v>4</v>
      </c>
      <c r="G76" s="65">
        <f t="shared" si="37"/>
        <v>6</v>
      </c>
      <c r="H76" s="65">
        <f t="shared" si="37"/>
        <v>8</v>
      </c>
      <c r="I76" s="65">
        <f t="shared" si="37"/>
        <v>12</v>
      </c>
      <c r="J76" s="65">
        <f t="shared" si="37"/>
        <v>16</v>
      </c>
      <c r="K76" s="65">
        <f t="shared" si="37"/>
        <v>20</v>
      </c>
      <c r="L76" s="65">
        <f t="shared" si="37"/>
        <v>24</v>
      </c>
      <c r="M76" s="65">
        <f t="shared" si="37"/>
        <v>32</v>
      </c>
      <c r="N76" s="65">
        <f t="shared" si="37"/>
        <v>40</v>
      </c>
      <c r="O76" s="65">
        <f t="shared" si="37"/>
        <v>60</v>
      </c>
      <c r="P76" s="65">
        <f t="shared" si="37"/>
        <v>80</v>
      </c>
      <c r="Q76" s="65">
        <f t="shared" si="37"/>
        <v>120</v>
      </c>
      <c r="R76" s="65">
        <f t="shared" si="37"/>
        <v>200</v>
      </c>
      <c r="S76" s="65">
        <f t="shared" si="37"/>
        <v>400</v>
      </c>
      <c r="T76" s="65">
        <f t="shared" si="37"/>
        <v>600</v>
      </c>
      <c r="U76" s="65">
        <f t="shared" si="37"/>
        <v>1200</v>
      </c>
      <c r="V76" s="65">
        <f t="shared" si="37"/>
        <v>2000</v>
      </c>
      <c r="W76" s="65">
        <f t="shared" si="37"/>
        <v>3000</v>
      </c>
      <c r="X76" s="65">
        <f t="shared" si="37"/>
        <v>4000</v>
      </c>
      <c r="Y76" s="66">
        <f t="shared" si="37"/>
        <v>6000</v>
      </c>
      <c r="Z76" s="67"/>
      <c r="AA76" s="68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48" t="str">
        <f t="shared" si="38"/>
        <v>韓圓</v>
      </c>
      <c r="D77" s="48" t="str">
        <f t="shared" si="38"/>
        <v/>
      </c>
      <c r="E77" s="64">
        <f t="shared" si="38"/>
        <v>0.02</v>
      </c>
      <c r="F77" s="65">
        <f t="shared" ref="F77:Y77" si="39">HLOOKUP(F24,$F$1:$AI$2,2) * $D$1 * $E77</f>
        <v>40</v>
      </c>
      <c r="G77" s="65">
        <f t="shared" si="39"/>
        <v>60</v>
      </c>
      <c r="H77" s="65">
        <f t="shared" si="39"/>
        <v>80</v>
      </c>
      <c r="I77" s="65">
        <f t="shared" si="39"/>
        <v>120</v>
      </c>
      <c r="J77" s="65">
        <f t="shared" si="39"/>
        <v>140</v>
      </c>
      <c r="K77" s="65">
        <f t="shared" si="39"/>
        <v>160</v>
      </c>
      <c r="L77" s="65">
        <f t="shared" si="39"/>
        <v>180</v>
      </c>
      <c r="M77" s="65">
        <f t="shared" si="39"/>
        <v>200</v>
      </c>
      <c r="N77" s="65">
        <f t="shared" si="39"/>
        <v>300</v>
      </c>
      <c r="O77" s="65">
        <f t="shared" si="39"/>
        <v>400</v>
      </c>
      <c r="P77" s="65">
        <f t="shared" si="39"/>
        <v>600</v>
      </c>
      <c r="Q77" s="65">
        <f t="shared" si="39"/>
        <v>1000</v>
      </c>
      <c r="R77" s="65">
        <f t="shared" si="39"/>
        <v>2000</v>
      </c>
      <c r="S77" s="65">
        <f t="shared" si="39"/>
        <v>3000</v>
      </c>
      <c r="T77" s="65">
        <f t="shared" si="39"/>
        <v>6000</v>
      </c>
      <c r="U77" s="65">
        <f t="shared" si="39"/>
        <v>10000</v>
      </c>
      <c r="V77" s="65">
        <f t="shared" si="39"/>
        <v>15000</v>
      </c>
      <c r="W77" s="65">
        <f t="shared" si="39"/>
        <v>20000</v>
      </c>
      <c r="X77" s="65">
        <f t="shared" si="39"/>
        <v>30000</v>
      </c>
      <c r="Y77" s="66">
        <f t="shared" si="39"/>
        <v>50000</v>
      </c>
      <c r="Z77" s="67"/>
      <c r="AA77" s="68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48" t="str">
        <f t="shared" si="40"/>
        <v>智利披索</v>
      </c>
      <c r="D78" s="48" t="str">
        <f t="shared" si="40"/>
        <v/>
      </c>
      <c r="E78" s="64">
        <f t="shared" si="40"/>
        <v>0.03</v>
      </c>
      <c r="F78" s="65">
        <f t="shared" ref="F78:Y78" si="41">HLOOKUP(F25,$F$1:$AI$2,2) * $D$1 * $E78</f>
        <v>15</v>
      </c>
      <c r="G78" s="65">
        <f t="shared" si="41"/>
        <v>30</v>
      </c>
      <c r="H78" s="65">
        <f t="shared" si="41"/>
        <v>45</v>
      </c>
      <c r="I78" s="65">
        <f t="shared" si="41"/>
        <v>60</v>
      </c>
      <c r="J78" s="65">
        <f t="shared" si="41"/>
        <v>90</v>
      </c>
      <c r="K78" s="65">
        <f t="shared" si="41"/>
        <v>120</v>
      </c>
      <c r="L78" s="65">
        <f t="shared" si="41"/>
        <v>150</v>
      </c>
      <c r="M78" s="65">
        <f t="shared" si="41"/>
        <v>180</v>
      </c>
      <c r="N78" s="65">
        <f t="shared" si="41"/>
        <v>240</v>
      </c>
      <c r="O78" s="65">
        <f t="shared" si="41"/>
        <v>300</v>
      </c>
      <c r="P78" s="65">
        <f t="shared" si="41"/>
        <v>450</v>
      </c>
      <c r="Q78" s="65">
        <f t="shared" si="41"/>
        <v>600</v>
      </c>
      <c r="R78" s="65">
        <f t="shared" si="41"/>
        <v>900</v>
      </c>
      <c r="S78" s="65">
        <f t="shared" si="41"/>
        <v>1500</v>
      </c>
      <c r="T78" s="65">
        <f t="shared" si="41"/>
        <v>3000</v>
      </c>
      <c r="U78" s="65">
        <f t="shared" si="41"/>
        <v>4500</v>
      </c>
      <c r="V78" s="65">
        <f t="shared" si="41"/>
        <v>9000</v>
      </c>
      <c r="W78" s="65">
        <f t="shared" si="41"/>
        <v>15000</v>
      </c>
      <c r="X78" s="65">
        <f t="shared" si="41"/>
        <v>22500</v>
      </c>
      <c r="Y78" s="66">
        <f t="shared" si="41"/>
        <v>30000</v>
      </c>
      <c r="Z78" s="67"/>
      <c r="AA78" s="68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48" t="str">
        <f t="shared" si="42"/>
        <v>緬甸元</v>
      </c>
      <c r="D79" s="48" t="str">
        <f t="shared" si="42"/>
        <v/>
      </c>
      <c r="E79" s="64">
        <f t="shared" si="42"/>
        <v>0.05</v>
      </c>
      <c r="F79" s="65">
        <f t="shared" ref="F79:Y79" si="43">HLOOKUP(F26,$F$1:$AI$2,2) * $D$1 * $E79</f>
        <v>50</v>
      </c>
      <c r="G79" s="65">
        <f t="shared" si="43"/>
        <v>75</v>
      </c>
      <c r="H79" s="65">
        <f t="shared" si="43"/>
        <v>100</v>
      </c>
      <c r="I79" s="65">
        <f t="shared" si="43"/>
        <v>150</v>
      </c>
      <c r="J79" s="65">
        <f t="shared" si="43"/>
        <v>200</v>
      </c>
      <c r="K79" s="65">
        <f t="shared" si="43"/>
        <v>250</v>
      </c>
      <c r="L79" s="65">
        <f t="shared" si="43"/>
        <v>300</v>
      </c>
      <c r="M79" s="65">
        <f t="shared" si="43"/>
        <v>400</v>
      </c>
      <c r="N79" s="65">
        <f t="shared" si="43"/>
        <v>500</v>
      </c>
      <c r="O79" s="65">
        <f t="shared" si="43"/>
        <v>750</v>
      </c>
      <c r="P79" s="65">
        <f t="shared" si="43"/>
        <v>1000</v>
      </c>
      <c r="Q79" s="65">
        <f t="shared" si="43"/>
        <v>1500</v>
      </c>
      <c r="R79" s="65">
        <f t="shared" si="43"/>
        <v>2500</v>
      </c>
      <c r="S79" s="65">
        <f t="shared" si="43"/>
        <v>5000</v>
      </c>
      <c r="T79" s="65">
        <f t="shared" si="43"/>
        <v>7500</v>
      </c>
      <c r="U79" s="65">
        <f t="shared" si="43"/>
        <v>15000</v>
      </c>
      <c r="V79" s="65">
        <f t="shared" si="43"/>
        <v>25000</v>
      </c>
      <c r="W79" s="65">
        <f t="shared" si="43"/>
        <v>37500</v>
      </c>
      <c r="X79" s="65">
        <f t="shared" si="43"/>
        <v>50000</v>
      </c>
      <c r="Y79" s="66">
        <f t="shared" si="43"/>
        <v>75000</v>
      </c>
      <c r="Z79" s="67"/>
      <c r="AA79" s="68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48" t="str">
        <f t="shared" si="44"/>
        <v>印尼盧比</v>
      </c>
      <c r="D80" s="48" t="str">
        <f t="shared" si="44"/>
        <v/>
      </c>
      <c r="E80" s="64">
        <f t="shared" si="44"/>
        <v>0.5</v>
      </c>
      <c r="F80" s="65">
        <f t="shared" ref="F80:Y80" si="45">HLOOKUP(F27,$F$1:$AI$2,2) * $D$1 * $E80</f>
        <v>100</v>
      </c>
      <c r="G80" s="65">
        <f t="shared" si="45"/>
        <v>500</v>
      </c>
      <c r="H80" s="65">
        <f t="shared" si="45"/>
        <v>750</v>
      </c>
      <c r="I80" s="65">
        <f t="shared" si="45"/>
        <v>1000</v>
      </c>
      <c r="J80" s="65">
        <f t="shared" si="45"/>
        <v>1500</v>
      </c>
      <c r="K80" s="65">
        <f t="shared" si="45"/>
        <v>2000</v>
      </c>
      <c r="L80" s="65">
        <f t="shared" si="45"/>
        <v>2500</v>
      </c>
      <c r="M80" s="65">
        <f t="shared" si="45"/>
        <v>3000</v>
      </c>
      <c r="N80" s="65">
        <f t="shared" si="45"/>
        <v>4000</v>
      </c>
      <c r="O80" s="65">
        <f t="shared" si="45"/>
        <v>5000</v>
      </c>
      <c r="P80" s="65">
        <f t="shared" si="45"/>
        <v>7500</v>
      </c>
      <c r="Q80" s="65">
        <f t="shared" si="45"/>
        <v>10000</v>
      </c>
      <c r="R80" s="65">
        <f t="shared" si="45"/>
        <v>15000</v>
      </c>
      <c r="S80" s="65">
        <f t="shared" si="45"/>
        <v>25000</v>
      </c>
      <c r="T80" s="65">
        <f t="shared" si="45"/>
        <v>50000</v>
      </c>
      <c r="U80" s="65">
        <f t="shared" si="45"/>
        <v>75000</v>
      </c>
      <c r="V80" s="65">
        <f t="shared" si="45"/>
        <v>150000</v>
      </c>
      <c r="W80" s="65">
        <f t="shared" si="45"/>
        <v>250000</v>
      </c>
      <c r="X80" s="65">
        <f t="shared" si="45"/>
        <v>375000</v>
      </c>
      <c r="Y80" s="66">
        <f t="shared" si="45"/>
        <v>500000</v>
      </c>
      <c r="Z80" s="67"/>
      <c r="AA80" s="68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48" t="str">
        <f t="shared" si="46"/>
        <v>盧布</v>
      </c>
      <c r="D81" s="48" t="str">
        <f t="shared" si="46"/>
        <v/>
      </c>
      <c r="E81" s="64">
        <f t="shared" si="46"/>
        <v>0.002</v>
      </c>
      <c r="F81" s="65">
        <f t="shared" ref="F81:Y81" si="47">HLOOKUP(F28,$F$1:$AI$2,2) * $D$1 * $E81</f>
        <v>2</v>
      </c>
      <c r="G81" s="65">
        <f t="shared" si="47"/>
        <v>3</v>
      </c>
      <c r="H81" s="65">
        <f t="shared" si="47"/>
        <v>4</v>
      </c>
      <c r="I81" s="65">
        <f t="shared" si="47"/>
        <v>6</v>
      </c>
      <c r="J81" s="65">
        <f t="shared" si="47"/>
        <v>8</v>
      </c>
      <c r="K81" s="65">
        <f t="shared" si="47"/>
        <v>10</v>
      </c>
      <c r="L81" s="65">
        <f t="shared" si="47"/>
        <v>12</v>
      </c>
      <c r="M81" s="65">
        <f t="shared" si="47"/>
        <v>16</v>
      </c>
      <c r="N81" s="65">
        <f t="shared" si="47"/>
        <v>20</v>
      </c>
      <c r="O81" s="65">
        <f t="shared" si="47"/>
        <v>30</v>
      </c>
      <c r="P81" s="65">
        <f t="shared" si="47"/>
        <v>40</v>
      </c>
      <c r="Q81" s="65">
        <f t="shared" si="47"/>
        <v>60</v>
      </c>
      <c r="R81" s="65">
        <f t="shared" si="47"/>
        <v>100</v>
      </c>
      <c r="S81" s="65">
        <f t="shared" si="47"/>
        <v>200</v>
      </c>
      <c r="T81" s="65">
        <f t="shared" si="47"/>
        <v>300</v>
      </c>
      <c r="U81" s="65">
        <f t="shared" si="47"/>
        <v>600</v>
      </c>
      <c r="V81" s="65">
        <f t="shared" si="47"/>
        <v>1000</v>
      </c>
      <c r="W81" s="65">
        <f t="shared" si="47"/>
        <v>1500</v>
      </c>
      <c r="X81" s="65">
        <f t="shared" si="47"/>
        <v>2000</v>
      </c>
      <c r="Y81" s="66">
        <f t="shared" si="47"/>
        <v>3000</v>
      </c>
      <c r="Z81" s="67"/>
      <c r="AA81" s="68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48" t="str">
        <f t="shared" si="48"/>
        <v>斯里蘭卡盧比</v>
      </c>
      <c r="D82" s="48" t="str">
        <f t="shared" si="48"/>
        <v/>
      </c>
      <c r="E82" s="64">
        <f t="shared" si="48"/>
        <v>0.01</v>
      </c>
      <c r="F82" s="65">
        <f t="shared" ref="F82:Y82" si="49">HLOOKUP(F29,$F$1:$AI$2,2) * $D$1 * $E82</f>
        <v>5</v>
      </c>
      <c r="G82" s="65">
        <f t="shared" si="49"/>
        <v>10</v>
      </c>
      <c r="H82" s="65">
        <f t="shared" si="49"/>
        <v>15</v>
      </c>
      <c r="I82" s="65">
        <f t="shared" si="49"/>
        <v>20</v>
      </c>
      <c r="J82" s="65">
        <f t="shared" si="49"/>
        <v>30</v>
      </c>
      <c r="K82" s="65">
        <f t="shared" si="49"/>
        <v>40</v>
      </c>
      <c r="L82" s="65">
        <f t="shared" si="49"/>
        <v>50</v>
      </c>
      <c r="M82" s="65">
        <f t="shared" si="49"/>
        <v>60</v>
      </c>
      <c r="N82" s="65">
        <f t="shared" si="49"/>
        <v>80</v>
      </c>
      <c r="O82" s="65">
        <f t="shared" si="49"/>
        <v>100</v>
      </c>
      <c r="P82" s="65">
        <f t="shared" si="49"/>
        <v>150</v>
      </c>
      <c r="Q82" s="65">
        <f t="shared" si="49"/>
        <v>200</v>
      </c>
      <c r="R82" s="65">
        <f t="shared" si="49"/>
        <v>300</v>
      </c>
      <c r="S82" s="65">
        <f t="shared" si="49"/>
        <v>500</v>
      </c>
      <c r="T82" s="65">
        <f t="shared" si="49"/>
        <v>1000</v>
      </c>
      <c r="U82" s="65">
        <f t="shared" si="49"/>
        <v>1500</v>
      </c>
      <c r="V82" s="65">
        <f t="shared" si="49"/>
        <v>3000</v>
      </c>
      <c r="W82" s="65">
        <f t="shared" si="49"/>
        <v>5000</v>
      </c>
      <c r="X82" s="65">
        <f t="shared" si="49"/>
        <v>7500</v>
      </c>
      <c r="Y82" s="66">
        <f t="shared" si="49"/>
        <v>10000</v>
      </c>
      <c r="Z82" s="67"/>
      <c r="AA82" s="68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48" t="str">
        <f t="shared" si="50"/>
        <v>衣索比亞比爾</v>
      </c>
      <c r="D83" s="48" t="str">
        <f t="shared" si="50"/>
        <v/>
      </c>
      <c r="E83" s="64">
        <f t="shared" si="50"/>
        <v>0.002</v>
      </c>
      <c r="F83" s="65">
        <f t="shared" ref="F83:Y83" si="51">HLOOKUP(F30,$F$1:$AI$2,2) * $D$1 * $E83</f>
        <v>1</v>
      </c>
      <c r="G83" s="65">
        <f t="shared" si="51"/>
        <v>2</v>
      </c>
      <c r="H83" s="65">
        <f t="shared" si="51"/>
        <v>3</v>
      </c>
      <c r="I83" s="65">
        <f t="shared" si="51"/>
        <v>4</v>
      </c>
      <c r="J83" s="65">
        <f t="shared" si="51"/>
        <v>6</v>
      </c>
      <c r="K83" s="65">
        <f t="shared" si="51"/>
        <v>8</v>
      </c>
      <c r="L83" s="65">
        <f t="shared" si="51"/>
        <v>10</v>
      </c>
      <c r="M83" s="65">
        <f t="shared" si="51"/>
        <v>12</v>
      </c>
      <c r="N83" s="65">
        <f t="shared" si="51"/>
        <v>16</v>
      </c>
      <c r="O83" s="65">
        <f t="shared" si="51"/>
        <v>20</v>
      </c>
      <c r="P83" s="65">
        <f t="shared" si="51"/>
        <v>30</v>
      </c>
      <c r="Q83" s="65">
        <f t="shared" si="51"/>
        <v>40</v>
      </c>
      <c r="R83" s="65">
        <f t="shared" si="51"/>
        <v>60</v>
      </c>
      <c r="S83" s="65">
        <f t="shared" si="51"/>
        <v>100</v>
      </c>
      <c r="T83" s="65">
        <f t="shared" si="51"/>
        <v>200</v>
      </c>
      <c r="U83" s="65">
        <f t="shared" si="51"/>
        <v>300</v>
      </c>
      <c r="V83" s="65">
        <f t="shared" si="51"/>
        <v>600</v>
      </c>
      <c r="W83" s="65">
        <f t="shared" si="51"/>
        <v>1000</v>
      </c>
      <c r="X83" s="65">
        <f t="shared" si="51"/>
        <v>1500</v>
      </c>
      <c r="Y83" s="66">
        <f t="shared" si="51"/>
        <v>2000</v>
      </c>
      <c r="Z83" s="67"/>
      <c r="AA83" s="68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48" t="str">
        <f t="shared" si="52"/>
        <v>烏干達先令</v>
      </c>
      <c r="D84" s="48" t="str">
        <f t="shared" si="52"/>
        <v/>
      </c>
      <c r="E84" s="64">
        <f t="shared" si="52"/>
        <v>0.1</v>
      </c>
      <c r="F84" s="65">
        <f t="shared" ref="F84:Y84" si="53">HLOOKUP(F31,$F$1:$AI$2,2) * $D$1 * $E84</f>
        <v>100</v>
      </c>
      <c r="G84" s="65">
        <f t="shared" si="53"/>
        <v>150</v>
      </c>
      <c r="H84" s="65">
        <f t="shared" si="53"/>
        <v>200</v>
      </c>
      <c r="I84" s="65">
        <f t="shared" si="53"/>
        <v>300</v>
      </c>
      <c r="J84" s="65">
        <f t="shared" si="53"/>
        <v>400</v>
      </c>
      <c r="K84" s="65">
        <f t="shared" si="53"/>
        <v>500</v>
      </c>
      <c r="L84" s="65">
        <f t="shared" si="53"/>
        <v>600</v>
      </c>
      <c r="M84" s="65">
        <f t="shared" si="53"/>
        <v>800</v>
      </c>
      <c r="N84" s="65">
        <f t="shared" si="53"/>
        <v>1000</v>
      </c>
      <c r="O84" s="65">
        <f t="shared" si="53"/>
        <v>1500</v>
      </c>
      <c r="P84" s="65">
        <f t="shared" si="53"/>
        <v>2000</v>
      </c>
      <c r="Q84" s="65">
        <f t="shared" si="53"/>
        <v>3000</v>
      </c>
      <c r="R84" s="65">
        <f t="shared" si="53"/>
        <v>5000</v>
      </c>
      <c r="S84" s="65">
        <f t="shared" si="53"/>
        <v>10000</v>
      </c>
      <c r="T84" s="65">
        <f t="shared" si="53"/>
        <v>15000</v>
      </c>
      <c r="U84" s="65">
        <f t="shared" si="53"/>
        <v>30000</v>
      </c>
      <c r="V84" s="65">
        <f t="shared" si="53"/>
        <v>50000</v>
      </c>
      <c r="W84" s="65">
        <f t="shared" si="53"/>
        <v>75000</v>
      </c>
      <c r="X84" s="65">
        <f t="shared" si="53"/>
        <v>100000</v>
      </c>
      <c r="Y84" s="66">
        <f t="shared" si="53"/>
        <v>150000</v>
      </c>
      <c r="Z84" s="67"/>
      <c r="AA84" s="68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48" t="str">
        <f t="shared" si="54"/>
        <v>歐元</v>
      </c>
      <c r="D85" s="48" t="str">
        <f t="shared" si="54"/>
        <v/>
      </c>
      <c r="E85" s="64">
        <f t="shared" si="54"/>
        <v>0.002</v>
      </c>
      <c r="F85" s="65">
        <f t="shared" ref="F85:Y85" si="55">HLOOKUP(F32,$F$1:$AI$2,2) * $D$1 * $E85</f>
        <v>0.2</v>
      </c>
      <c r="G85" s="65">
        <f t="shared" si="55"/>
        <v>0.4</v>
      </c>
      <c r="H85" s="65">
        <f t="shared" si="55"/>
        <v>1</v>
      </c>
      <c r="I85" s="65">
        <f t="shared" si="55"/>
        <v>2</v>
      </c>
      <c r="J85" s="65">
        <f t="shared" si="55"/>
        <v>2.4</v>
      </c>
      <c r="K85" s="65">
        <f t="shared" si="55"/>
        <v>3</v>
      </c>
      <c r="L85" s="65">
        <f t="shared" si="55"/>
        <v>4</v>
      </c>
      <c r="M85" s="65">
        <f t="shared" si="55"/>
        <v>5</v>
      </c>
      <c r="N85" s="65">
        <f t="shared" si="55"/>
        <v>6</v>
      </c>
      <c r="O85" s="65">
        <f t="shared" si="55"/>
        <v>7</v>
      </c>
      <c r="P85" s="65">
        <f t="shared" si="55"/>
        <v>8</v>
      </c>
      <c r="Q85" s="65">
        <f t="shared" si="55"/>
        <v>9</v>
      </c>
      <c r="R85" s="65">
        <f t="shared" si="55"/>
        <v>10</v>
      </c>
      <c r="S85" s="65">
        <f t="shared" si="55"/>
        <v>12</v>
      </c>
      <c r="T85" s="65">
        <f t="shared" si="55"/>
        <v>14</v>
      </c>
      <c r="U85" s="65">
        <f t="shared" si="55"/>
        <v>16</v>
      </c>
      <c r="V85" s="65">
        <f t="shared" si="55"/>
        <v>18</v>
      </c>
      <c r="W85" s="65">
        <f t="shared" si="55"/>
        <v>20</v>
      </c>
      <c r="X85" s="65">
        <f t="shared" si="55"/>
        <v>30</v>
      </c>
      <c r="Y85" s="66">
        <f t="shared" si="55"/>
        <v>40</v>
      </c>
      <c r="Z85" s="67"/>
      <c r="AA85" s="68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48" t="str">
        <f t="shared" si="56"/>
        <v>阿根廷披索</v>
      </c>
      <c r="D86" s="48" t="str">
        <f t="shared" si="56"/>
        <v/>
      </c>
      <c r="E86" s="64">
        <f t="shared" si="56"/>
        <v>0.02</v>
      </c>
      <c r="F86" s="65">
        <f t="shared" ref="F86:Y86" si="57">HLOOKUP(F33,$F$1:$AI$2,2) * $D$1 * $E86</f>
        <v>20</v>
      </c>
      <c r="G86" s="65">
        <f t="shared" si="57"/>
        <v>30</v>
      </c>
      <c r="H86" s="65">
        <f t="shared" si="57"/>
        <v>40</v>
      </c>
      <c r="I86" s="65">
        <f t="shared" si="57"/>
        <v>60</v>
      </c>
      <c r="J86" s="65">
        <f t="shared" si="57"/>
        <v>80</v>
      </c>
      <c r="K86" s="65">
        <f t="shared" si="57"/>
        <v>100</v>
      </c>
      <c r="L86" s="65">
        <f t="shared" si="57"/>
        <v>120</v>
      </c>
      <c r="M86" s="65">
        <f t="shared" si="57"/>
        <v>160</v>
      </c>
      <c r="N86" s="65">
        <f t="shared" si="57"/>
        <v>200</v>
      </c>
      <c r="O86" s="65">
        <f t="shared" si="57"/>
        <v>300</v>
      </c>
      <c r="P86" s="65">
        <f t="shared" si="57"/>
        <v>400</v>
      </c>
      <c r="Q86" s="65">
        <f t="shared" si="57"/>
        <v>600</v>
      </c>
      <c r="R86" s="65">
        <f t="shared" si="57"/>
        <v>1000</v>
      </c>
      <c r="S86" s="65">
        <f t="shared" si="57"/>
        <v>2000</v>
      </c>
      <c r="T86" s="65">
        <f t="shared" si="57"/>
        <v>3000</v>
      </c>
      <c r="U86" s="65">
        <f t="shared" si="57"/>
        <v>6000</v>
      </c>
      <c r="V86" s="65">
        <f t="shared" si="57"/>
        <v>10000</v>
      </c>
      <c r="W86" s="65">
        <f t="shared" si="57"/>
        <v>15000</v>
      </c>
      <c r="X86" s="65">
        <f t="shared" si="57"/>
        <v>20000</v>
      </c>
      <c r="Y86" s="66">
        <f t="shared" si="57"/>
        <v>30000</v>
      </c>
      <c r="Z86" s="67"/>
      <c r="AA86" s="68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48" t="str">
        <f t="shared" si="58"/>
        <v>奈及利亞奈拉</v>
      </c>
      <c r="D87" s="48" t="str">
        <f t="shared" si="58"/>
        <v/>
      </c>
      <c r="E87" s="64">
        <f t="shared" si="58"/>
        <v>0.02</v>
      </c>
      <c r="F87" s="65">
        <f t="shared" ref="F87:Y87" si="59">HLOOKUP(F34,$F$1:$AI$2,2) * $D$1 * $E87</f>
        <v>10</v>
      </c>
      <c r="G87" s="65">
        <f t="shared" si="59"/>
        <v>20</v>
      </c>
      <c r="H87" s="65">
        <f t="shared" si="59"/>
        <v>30</v>
      </c>
      <c r="I87" s="65">
        <f t="shared" si="59"/>
        <v>40</v>
      </c>
      <c r="J87" s="65">
        <f t="shared" si="59"/>
        <v>60</v>
      </c>
      <c r="K87" s="65">
        <f t="shared" si="59"/>
        <v>80</v>
      </c>
      <c r="L87" s="65">
        <f t="shared" si="59"/>
        <v>120</v>
      </c>
      <c r="M87" s="65">
        <f t="shared" si="59"/>
        <v>160</v>
      </c>
      <c r="N87" s="65">
        <f t="shared" si="59"/>
        <v>200</v>
      </c>
      <c r="O87" s="65">
        <f t="shared" si="59"/>
        <v>300</v>
      </c>
      <c r="P87" s="65">
        <f t="shared" si="59"/>
        <v>400</v>
      </c>
      <c r="Q87" s="65">
        <f t="shared" si="59"/>
        <v>600</v>
      </c>
      <c r="R87" s="65">
        <f t="shared" si="59"/>
        <v>1000</v>
      </c>
      <c r="S87" s="65">
        <f t="shared" si="59"/>
        <v>2000</v>
      </c>
      <c r="T87" s="65">
        <f t="shared" si="59"/>
        <v>3000</v>
      </c>
      <c r="U87" s="65">
        <f t="shared" si="59"/>
        <v>6000</v>
      </c>
      <c r="V87" s="65">
        <f t="shared" si="59"/>
        <v>10000</v>
      </c>
      <c r="W87" s="65">
        <f t="shared" si="59"/>
        <v>15000</v>
      </c>
      <c r="X87" s="65">
        <f t="shared" si="59"/>
        <v>20000</v>
      </c>
      <c r="Y87" s="66">
        <f t="shared" si="59"/>
        <v>30000</v>
      </c>
      <c r="Z87" s="67"/>
      <c r="AA87" s="68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48" t="str">
        <f t="shared" si="60"/>
        <v>肯亞先令</v>
      </c>
      <c r="D88" s="48" t="str">
        <f t="shared" si="60"/>
        <v/>
      </c>
      <c r="E88" s="64">
        <f t="shared" si="60"/>
        <v>0.002</v>
      </c>
      <c r="F88" s="65">
        <f t="shared" ref="F88:Y88" si="61">HLOOKUP(F35,$F$1:$AI$2,2) * $D$1 * $E88</f>
        <v>4</v>
      </c>
      <c r="G88" s="65">
        <f t="shared" si="61"/>
        <v>6</v>
      </c>
      <c r="H88" s="65">
        <f t="shared" si="61"/>
        <v>8</v>
      </c>
      <c r="I88" s="65">
        <f t="shared" si="61"/>
        <v>12</v>
      </c>
      <c r="J88" s="65">
        <f t="shared" si="61"/>
        <v>14</v>
      </c>
      <c r="K88" s="65">
        <f t="shared" si="61"/>
        <v>16</v>
      </c>
      <c r="L88" s="65">
        <f t="shared" si="61"/>
        <v>18</v>
      </c>
      <c r="M88" s="65">
        <f t="shared" si="61"/>
        <v>20</v>
      </c>
      <c r="N88" s="65">
        <f t="shared" si="61"/>
        <v>30</v>
      </c>
      <c r="O88" s="65">
        <f t="shared" si="61"/>
        <v>40</v>
      </c>
      <c r="P88" s="65">
        <f t="shared" si="61"/>
        <v>60</v>
      </c>
      <c r="Q88" s="65">
        <f t="shared" si="61"/>
        <v>100</v>
      </c>
      <c r="R88" s="65">
        <f t="shared" si="61"/>
        <v>200</v>
      </c>
      <c r="S88" s="65">
        <f t="shared" si="61"/>
        <v>300</v>
      </c>
      <c r="T88" s="65">
        <f t="shared" si="61"/>
        <v>600</v>
      </c>
      <c r="U88" s="65">
        <f t="shared" si="61"/>
        <v>1000</v>
      </c>
      <c r="V88" s="65">
        <f t="shared" si="61"/>
        <v>1500</v>
      </c>
      <c r="W88" s="65">
        <f t="shared" si="61"/>
        <v>2000</v>
      </c>
      <c r="X88" s="65">
        <f t="shared" si="61"/>
        <v>3000</v>
      </c>
      <c r="Y88" s="66">
        <f t="shared" si="61"/>
        <v>5000</v>
      </c>
      <c r="Z88" s="67"/>
      <c r="AA88" s="68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48" t="str">
        <f t="shared" si="62"/>
        <v>南非鍰</v>
      </c>
      <c r="D89" s="48" t="str">
        <f t="shared" si="62"/>
        <v/>
      </c>
      <c r="E89" s="64">
        <f t="shared" si="62"/>
        <v>0.002</v>
      </c>
      <c r="F89" s="65">
        <f t="shared" ref="F89:Y89" si="63">HLOOKUP(F36,$F$1:$AI$2,2) * $D$1 * $E89</f>
        <v>0.4</v>
      </c>
      <c r="G89" s="65">
        <f t="shared" si="63"/>
        <v>1</v>
      </c>
      <c r="H89" s="65">
        <f t="shared" si="63"/>
        <v>2</v>
      </c>
      <c r="I89" s="65">
        <f t="shared" si="63"/>
        <v>2.4</v>
      </c>
      <c r="J89" s="65">
        <f t="shared" si="63"/>
        <v>3</v>
      </c>
      <c r="K89" s="65">
        <f t="shared" si="63"/>
        <v>4</v>
      </c>
      <c r="L89" s="65">
        <f t="shared" si="63"/>
        <v>5</v>
      </c>
      <c r="M89" s="65">
        <f t="shared" si="63"/>
        <v>6</v>
      </c>
      <c r="N89" s="65">
        <f t="shared" si="63"/>
        <v>8</v>
      </c>
      <c r="O89" s="65">
        <f t="shared" si="63"/>
        <v>10</v>
      </c>
      <c r="P89" s="65">
        <f t="shared" si="63"/>
        <v>12</v>
      </c>
      <c r="Q89" s="65">
        <f t="shared" si="63"/>
        <v>16</v>
      </c>
      <c r="R89" s="65">
        <f t="shared" si="63"/>
        <v>20</v>
      </c>
      <c r="S89" s="65">
        <f t="shared" si="63"/>
        <v>30</v>
      </c>
      <c r="T89" s="65">
        <f t="shared" si="63"/>
        <v>40</v>
      </c>
      <c r="U89" s="65">
        <f t="shared" si="63"/>
        <v>60</v>
      </c>
      <c r="V89" s="65">
        <f t="shared" si="63"/>
        <v>100</v>
      </c>
      <c r="W89" s="65">
        <f t="shared" si="63"/>
        <v>200</v>
      </c>
      <c r="X89" s="65">
        <f t="shared" si="63"/>
        <v>300</v>
      </c>
      <c r="Y89" s="66">
        <f t="shared" si="63"/>
        <v>600</v>
      </c>
      <c r="Z89" s="67"/>
      <c r="AA89" s="68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48" t="str">
        <f t="shared" si="64"/>
        <v>土耳其里拉</v>
      </c>
      <c r="D90" s="48" t="str">
        <f t="shared" si="64"/>
        <v/>
      </c>
      <c r="E90" s="64">
        <f t="shared" si="64"/>
        <v>0.002</v>
      </c>
      <c r="F90" s="65">
        <f t="shared" ref="F90:Y90" si="65">HLOOKUP(F37,$F$1:$AI$2,2) * $D$1 * $E90</f>
        <v>1</v>
      </c>
      <c r="G90" s="65">
        <f t="shared" si="65"/>
        <v>2</v>
      </c>
      <c r="H90" s="65">
        <f t="shared" si="65"/>
        <v>2.4</v>
      </c>
      <c r="I90" s="65">
        <f t="shared" si="65"/>
        <v>3</v>
      </c>
      <c r="J90" s="65">
        <f t="shared" si="65"/>
        <v>4</v>
      </c>
      <c r="K90" s="65">
        <f t="shared" si="65"/>
        <v>5</v>
      </c>
      <c r="L90" s="65">
        <f t="shared" si="65"/>
        <v>6</v>
      </c>
      <c r="M90" s="65">
        <f t="shared" si="65"/>
        <v>8</v>
      </c>
      <c r="N90" s="65">
        <f t="shared" si="65"/>
        <v>10</v>
      </c>
      <c r="O90" s="65">
        <f t="shared" si="65"/>
        <v>12</v>
      </c>
      <c r="P90" s="65">
        <f t="shared" si="65"/>
        <v>16</v>
      </c>
      <c r="Q90" s="65">
        <f t="shared" si="65"/>
        <v>20</v>
      </c>
      <c r="R90" s="65">
        <f t="shared" si="65"/>
        <v>30</v>
      </c>
      <c r="S90" s="65">
        <f t="shared" si="65"/>
        <v>40</v>
      </c>
      <c r="T90" s="65">
        <f t="shared" si="65"/>
        <v>60</v>
      </c>
      <c r="U90" s="65">
        <f t="shared" si="65"/>
        <v>100</v>
      </c>
      <c r="V90" s="65">
        <f t="shared" si="65"/>
        <v>200</v>
      </c>
      <c r="W90" s="65">
        <f t="shared" si="65"/>
        <v>300</v>
      </c>
      <c r="X90" s="65">
        <f t="shared" si="65"/>
        <v>600</v>
      </c>
      <c r="Y90" s="66">
        <f t="shared" si="65"/>
        <v>1000</v>
      </c>
      <c r="Z90" s="67"/>
      <c r="AA90" s="68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48" t="str">
        <f t="shared" si="66"/>
        <v>英鎊</v>
      </c>
      <c r="D91" s="48" t="str">
        <f t="shared" si="66"/>
        <v/>
      </c>
      <c r="E91" s="64">
        <f t="shared" si="66"/>
        <v>0.002</v>
      </c>
      <c r="F91" s="65">
        <f t="shared" ref="F91:Y91" si="67">HLOOKUP(F38,$F$1:$AI$2,2) * $D$1 * $E91</f>
        <v>0.2</v>
      </c>
      <c r="G91" s="65">
        <f t="shared" si="67"/>
        <v>0.4</v>
      </c>
      <c r="H91" s="65">
        <f t="shared" si="67"/>
        <v>1</v>
      </c>
      <c r="I91" s="65">
        <f t="shared" si="67"/>
        <v>2</v>
      </c>
      <c r="J91" s="65">
        <f t="shared" si="67"/>
        <v>2.4</v>
      </c>
      <c r="K91" s="65">
        <f t="shared" si="67"/>
        <v>3</v>
      </c>
      <c r="L91" s="65">
        <f t="shared" si="67"/>
        <v>4</v>
      </c>
      <c r="M91" s="65">
        <f t="shared" si="67"/>
        <v>5</v>
      </c>
      <c r="N91" s="65">
        <f t="shared" si="67"/>
        <v>6</v>
      </c>
      <c r="O91" s="65">
        <f t="shared" si="67"/>
        <v>7</v>
      </c>
      <c r="P91" s="65">
        <f t="shared" si="67"/>
        <v>8</v>
      </c>
      <c r="Q91" s="65">
        <f t="shared" si="67"/>
        <v>9</v>
      </c>
      <c r="R91" s="65">
        <f t="shared" si="67"/>
        <v>10</v>
      </c>
      <c r="S91" s="65">
        <f t="shared" si="67"/>
        <v>12</v>
      </c>
      <c r="T91" s="65">
        <f t="shared" si="67"/>
        <v>14</v>
      </c>
      <c r="U91" s="65">
        <f t="shared" si="67"/>
        <v>16</v>
      </c>
      <c r="V91" s="65">
        <f t="shared" si="67"/>
        <v>18</v>
      </c>
      <c r="W91" s="65">
        <f t="shared" si="67"/>
        <v>20</v>
      </c>
      <c r="X91" s="65">
        <f t="shared" si="67"/>
        <v>30</v>
      </c>
      <c r="Y91" s="66">
        <f t="shared" si="67"/>
        <v>40</v>
      </c>
      <c r="Z91" s="67"/>
      <c r="AA91" s="68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48" t="str">
        <f t="shared" si="68"/>
        <v>尼泊爾盧比</v>
      </c>
      <c r="D92" s="48" t="str">
        <f t="shared" si="68"/>
        <v/>
      </c>
      <c r="E92" s="64">
        <f t="shared" si="68"/>
        <v>0.002</v>
      </c>
      <c r="F92" s="65">
        <f t="shared" ref="F92:Y92" si="69">HLOOKUP(F39,$F$1:$AI$2,2) * $D$1 * $E92</f>
        <v>4</v>
      </c>
      <c r="G92" s="65">
        <f t="shared" si="69"/>
        <v>6</v>
      </c>
      <c r="H92" s="65">
        <f t="shared" si="69"/>
        <v>8</v>
      </c>
      <c r="I92" s="65">
        <f t="shared" si="69"/>
        <v>12</v>
      </c>
      <c r="J92" s="65">
        <f t="shared" si="69"/>
        <v>14</v>
      </c>
      <c r="K92" s="65">
        <f t="shared" si="69"/>
        <v>16</v>
      </c>
      <c r="L92" s="65">
        <f t="shared" si="69"/>
        <v>18</v>
      </c>
      <c r="M92" s="65">
        <f t="shared" si="69"/>
        <v>20</v>
      </c>
      <c r="N92" s="65">
        <f t="shared" si="69"/>
        <v>30</v>
      </c>
      <c r="O92" s="65">
        <f t="shared" si="69"/>
        <v>40</v>
      </c>
      <c r="P92" s="65">
        <f t="shared" si="69"/>
        <v>60</v>
      </c>
      <c r="Q92" s="65">
        <f t="shared" si="69"/>
        <v>100</v>
      </c>
      <c r="R92" s="65">
        <f t="shared" si="69"/>
        <v>200</v>
      </c>
      <c r="S92" s="65">
        <f t="shared" si="69"/>
        <v>300</v>
      </c>
      <c r="T92" s="65">
        <f t="shared" si="69"/>
        <v>600</v>
      </c>
      <c r="U92" s="65">
        <f t="shared" si="69"/>
        <v>1000</v>
      </c>
      <c r="V92" s="65">
        <f t="shared" si="69"/>
        <v>1500</v>
      </c>
      <c r="W92" s="65">
        <f t="shared" si="69"/>
        <v>2000</v>
      </c>
      <c r="X92" s="65">
        <f t="shared" si="69"/>
        <v>3000</v>
      </c>
      <c r="Y92" s="66">
        <f t="shared" si="69"/>
        <v>5000</v>
      </c>
      <c r="Z92" s="67"/>
      <c r="AA92" s="68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48" t="str">
        <f t="shared" si="70"/>
        <v>瑞士法郎</v>
      </c>
      <c r="D93" s="48" t="str">
        <f t="shared" si="70"/>
        <v/>
      </c>
      <c r="E93" s="64">
        <f t="shared" si="70"/>
        <v>0.002</v>
      </c>
      <c r="F93" s="65">
        <f t="shared" ref="F93:Y93" si="71">HLOOKUP(F40,$F$1:$AI$2,2) * $D$1 * $E93</f>
        <v>0.2</v>
      </c>
      <c r="G93" s="65">
        <f t="shared" si="71"/>
        <v>0.4</v>
      </c>
      <c r="H93" s="65">
        <f t="shared" si="71"/>
        <v>1</v>
      </c>
      <c r="I93" s="65">
        <f t="shared" si="71"/>
        <v>2</v>
      </c>
      <c r="J93" s="65">
        <f t="shared" si="71"/>
        <v>2.4</v>
      </c>
      <c r="K93" s="65">
        <f t="shared" si="71"/>
        <v>3</v>
      </c>
      <c r="L93" s="65">
        <f t="shared" si="71"/>
        <v>4</v>
      </c>
      <c r="M93" s="65">
        <f t="shared" si="71"/>
        <v>5</v>
      </c>
      <c r="N93" s="65">
        <f t="shared" si="71"/>
        <v>6</v>
      </c>
      <c r="O93" s="65">
        <f t="shared" si="71"/>
        <v>7</v>
      </c>
      <c r="P93" s="65">
        <f t="shared" si="71"/>
        <v>8</v>
      </c>
      <c r="Q93" s="65">
        <f t="shared" si="71"/>
        <v>9</v>
      </c>
      <c r="R93" s="65">
        <f t="shared" si="71"/>
        <v>10</v>
      </c>
      <c r="S93" s="65">
        <f t="shared" si="71"/>
        <v>12</v>
      </c>
      <c r="T93" s="65">
        <f t="shared" si="71"/>
        <v>14</v>
      </c>
      <c r="U93" s="65">
        <f t="shared" si="71"/>
        <v>16</v>
      </c>
      <c r="V93" s="65">
        <f t="shared" si="71"/>
        <v>18</v>
      </c>
      <c r="W93" s="65">
        <f t="shared" si="71"/>
        <v>20</v>
      </c>
      <c r="X93" s="65">
        <f t="shared" si="71"/>
        <v>30</v>
      </c>
      <c r="Y93" s="66">
        <f t="shared" si="71"/>
        <v>40</v>
      </c>
      <c r="Z93" s="67"/>
      <c r="AA93" s="68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48" t="str">
        <f t="shared" si="72"/>
        <v>加幣</v>
      </c>
      <c r="D94" s="48" t="str">
        <f t="shared" si="72"/>
        <v/>
      </c>
      <c r="E94" s="64">
        <f t="shared" si="72"/>
        <v>0.002</v>
      </c>
      <c r="F94" s="65">
        <f t="shared" ref="F94:Y94" si="73">HLOOKUP(F41,$F$1:$AI$2,2) * $D$1 * $E94</f>
        <v>0.2</v>
      </c>
      <c r="G94" s="65">
        <f t="shared" si="73"/>
        <v>0.4</v>
      </c>
      <c r="H94" s="65">
        <f t="shared" si="73"/>
        <v>1</v>
      </c>
      <c r="I94" s="65">
        <f t="shared" si="73"/>
        <v>2</v>
      </c>
      <c r="J94" s="65">
        <f t="shared" si="73"/>
        <v>2.4</v>
      </c>
      <c r="K94" s="65">
        <f t="shared" si="73"/>
        <v>3</v>
      </c>
      <c r="L94" s="65">
        <f t="shared" si="73"/>
        <v>4</v>
      </c>
      <c r="M94" s="65">
        <f t="shared" si="73"/>
        <v>5</v>
      </c>
      <c r="N94" s="65">
        <f t="shared" si="73"/>
        <v>6</v>
      </c>
      <c r="O94" s="65">
        <f t="shared" si="73"/>
        <v>7</v>
      </c>
      <c r="P94" s="65">
        <f t="shared" si="73"/>
        <v>8</v>
      </c>
      <c r="Q94" s="65">
        <f t="shared" si="73"/>
        <v>9</v>
      </c>
      <c r="R94" s="65">
        <f t="shared" si="73"/>
        <v>10</v>
      </c>
      <c r="S94" s="65">
        <f t="shared" si="73"/>
        <v>12</v>
      </c>
      <c r="T94" s="65">
        <f t="shared" si="73"/>
        <v>14</v>
      </c>
      <c r="U94" s="65">
        <f t="shared" si="73"/>
        <v>16</v>
      </c>
      <c r="V94" s="65">
        <f t="shared" si="73"/>
        <v>18</v>
      </c>
      <c r="W94" s="65">
        <f t="shared" si="73"/>
        <v>20</v>
      </c>
      <c r="X94" s="65">
        <f t="shared" si="73"/>
        <v>30</v>
      </c>
      <c r="Y94" s="66">
        <f t="shared" si="73"/>
        <v>40</v>
      </c>
      <c r="Z94" s="67"/>
      <c r="AA94" s="68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48" t="str">
        <f t="shared" si="74"/>
        <v>秘魯新索爾</v>
      </c>
      <c r="D95" s="48" t="str">
        <f t="shared" si="74"/>
        <v/>
      </c>
      <c r="E95" s="64">
        <f t="shared" si="74"/>
        <v>0.002</v>
      </c>
      <c r="F95" s="65">
        <f t="shared" ref="F95:Y95" si="75">HLOOKUP(F42,$F$1:$AI$2,2) * $D$1 * $E95</f>
        <v>0.2</v>
      </c>
      <c r="G95" s="65">
        <f t="shared" si="75"/>
        <v>0.4</v>
      </c>
      <c r="H95" s="65">
        <f t="shared" si="75"/>
        <v>1</v>
      </c>
      <c r="I95" s="65">
        <f t="shared" si="75"/>
        <v>2</v>
      </c>
      <c r="J95" s="65">
        <f t="shared" si="75"/>
        <v>2.4</v>
      </c>
      <c r="K95" s="65">
        <f t="shared" si="75"/>
        <v>3</v>
      </c>
      <c r="L95" s="65">
        <f t="shared" si="75"/>
        <v>4</v>
      </c>
      <c r="M95" s="65">
        <f t="shared" si="75"/>
        <v>5</v>
      </c>
      <c r="N95" s="65">
        <f t="shared" si="75"/>
        <v>6</v>
      </c>
      <c r="O95" s="65">
        <f t="shared" si="75"/>
        <v>7</v>
      </c>
      <c r="P95" s="65">
        <f t="shared" si="75"/>
        <v>8</v>
      </c>
      <c r="Q95" s="65">
        <f t="shared" si="75"/>
        <v>10</v>
      </c>
      <c r="R95" s="65">
        <f t="shared" si="75"/>
        <v>12</v>
      </c>
      <c r="S95" s="65">
        <f t="shared" si="75"/>
        <v>16</v>
      </c>
      <c r="T95" s="65">
        <f t="shared" si="75"/>
        <v>18</v>
      </c>
      <c r="U95" s="65">
        <f t="shared" si="75"/>
        <v>20</v>
      </c>
      <c r="V95" s="65">
        <f t="shared" si="75"/>
        <v>30</v>
      </c>
      <c r="W95" s="65">
        <f t="shared" si="75"/>
        <v>40</v>
      </c>
      <c r="X95" s="65">
        <f t="shared" si="75"/>
        <v>60</v>
      </c>
      <c r="Y95" s="66">
        <f t="shared" si="75"/>
        <v>100</v>
      </c>
      <c r="Z95" s="67"/>
      <c r="AA95" s="68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48" t="str">
        <f t="shared" si="76"/>
        <v>阿聯迪拉姆</v>
      </c>
      <c r="D96" s="48" t="str">
        <f t="shared" si="76"/>
        <v/>
      </c>
      <c r="E96" s="64">
        <f t="shared" si="76"/>
        <v>0.002</v>
      </c>
      <c r="F96" s="65">
        <f t="shared" ref="F96:Y96" si="77">HLOOKUP(F43,$F$1:$AI$2,2) * $D$1 * $E96</f>
        <v>0.2</v>
      </c>
      <c r="G96" s="65">
        <f t="shared" si="77"/>
        <v>0.4</v>
      </c>
      <c r="H96" s="65">
        <f t="shared" si="77"/>
        <v>1</v>
      </c>
      <c r="I96" s="65">
        <f t="shared" si="77"/>
        <v>2</v>
      </c>
      <c r="J96" s="65">
        <f t="shared" si="77"/>
        <v>2.4</v>
      </c>
      <c r="K96" s="65">
        <f t="shared" si="77"/>
        <v>3</v>
      </c>
      <c r="L96" s="65">
        <f t="shared" si="77"/>
        <v>4</v>
      </c>
      <c r="M96" s="65">
        <f t="shared" si="77"/>
        <v>5</v>
      </c>
      <c r="N96" s="65">
        <f t="shared" si="77"/>
        <v>6</v>
      </c>
      <c r="O96" s="65">
        <f t="shared" si="77"/>
        <v>7</v>
      </c>
      <c r="P96" s="65">
        <f t="shared" si="77"/>
        <v>8</v>
      </c>
      <c r="Q96" s="65">
        <f t="shared" si="77"/>
        <v>10</v>
      </c>
      <c r="R96" s="65">
        <f t="shared" si="77"/>
        <v>12</v>
      </c>
      <c r="S96" s="65">
        <f t="shared" si="77"/>
        <v>16</v>
      </c>
      <c r="T96" s="65">
        <f t="shared" si="77"/>
        <v>18</v>
      </c>
      <c r="U96" s="65">
        <f t="shared" si="77"/>
        <v>20</v>
      </c>
      <c r="V96" s="65">
        <f t="shared" si="77"/>
        <v>30</v>
      </c>
      <c r="W96" s="65">
        <f t="shared" si="77"/>
        <v>40</v>
      </c>
      <c r="X96" s="65">
        <f t="shared" si="77"/>
        <v>60</v>
      </c>
      <c r="Y96" s="66">
        <f t="shared" si="77"/>
        <v>100</v>
      </c>
      <c r="Z96" s="67"/>
      <c r="AA96" s="68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48" t="str">
        <f t="shared" si="78"/>
        <v>汶萊幣</v>
      </c>
      <c r="D97" s="48" t="str">
        <f t="shared" si="78"/>
        <v/>
      </c>
      <c r="E97" s="64">
        <f t="shared" si="78"/>
        <v>0.002</v>
      </c>
      <c r="F97" s="65">
        <f t="shared" ref="F97:Y97" si="79">HLOOKUP(F44,$F$1:$AI$2,2) * $D$1 * $E97</f>
        <v>0.2</v>
      </c>
      <c r="G97" s="65">
        <f t="shared" si="79"/>
        <v>0.4</v>
      </c>
      <c r="H97" s="65">
        <f t="shared" si="79"/>
        <v>1</v>
      </c>
      <c r="I97" s="65">
        <f t="shared" si="79"/>
        <v>2</v>
      </c>
      <c r="J97" s="65">
        <f t="shared" si="79"/>
        <v>2.4</v>
      </c>
      <c r="K97" s="65">
        <f t="shared" si="79"/>
        <v>3</v>
      </c>
      <c r="L97" s="65">
        <f t="shared" si="79"/>
        <v>4</v>
      </c>
      <c r="M97" s="65">
        <f t="shared" si="79"/>
        <v>5</v>
      </c>
      <c r="N97" s="65">
        <f t="shared" si="79"/>
        <v>6</v>
      </c>
      <c r="O97" s="65">
        <f t="shared" si="79"/>
        <v>7</v>
      </c>
      <c r="P97" s="65">
        <f t="shared" si="79"/>
        <v>8</v>
      </c>
      <c r="Q97" s="65">
        <f t="shared" si="79"/>
        <v>9</v>
      </c>
      <c r="R97" s="65">
        <f t="shared" si="79"/>
        <v>10</v>
      </c>
      <c r="S97" s="65">
        <f t="shared" si="79"/>
        <v>12</v>
      </c>
      <c r="T97" s="65">
        <f t="shared" si="79"/>
        <v>14</v>
      </c>
      <c r="U97" s="65">
        <f t="shared" si="79"/>
        <v>16</v>
      </c>
      <c r="V97" s="65">
        <f t="shared" si="79"/>
        <v>20</v>
      </c>
      <c r="W97" s="65">
        <f t="shared" si="79"/>
        <v>30</v>
      </c>
      <c r="X97" s="65">
        <f t="shared" si="79"/>
        <v>40</v>
      </c>
      <c r="Y97" s="66">
        <f t="shared" si="79"/>
        <v>60</v>
      </c>
      <c r="Z97" s="67"/>
      <c r="AA97" s="68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48" t="str">
        <f t="shared" si="80"/>
        <v>哥倫比亞披索</v>
      </c>
      <c r="D98" s="48" t="str">
        <f t="shared" si="80"/>
        <v/>
      </c>
      <c r="E98" s="64">
        <f t="shared" si="80"/>
        <v>0.1</v>
      </c>
      <c r="F98" s="65">
        <f t="shared" ref="F98:Y98" si="81">HLOOKUP(F45,$F$1:$AI$2,2) * $D$1 * $E98</f>
        <v>100</v>
      </c>
      <c r="G98" s="65">
        <f t="shared" si="81"/>
        <v>150</v>
      </c>
      <c r="H98" s="65">
        <f t="shared" si="81"/>
        <v>200</v>
      </c>
      <c r="I98" s="65">
        <f t="shared" si="81"/>
        <v>300</v>
      </c>
      <c r="J98" s="65">
        <f t="shared" si="81"/>
        <v>400</v>
      </c>
      <c r="K98" s="65">
        <f t="shared" si="81"/>
        <v>500</v>
      </c>
      <c r="L98" s="65">
        <f t="shared" si="81"/>
        <v>600</v>
      </c>
      <c r="M98" s="65">
        <f t="shared" si="81"/>
        <v>800</v>
      </c>
      <c r="N98" s="65">
        <f t="shared" si="81"/>
        <v>1000</v>
      </c>
      <c r="O98" s="65">
        <f t="shared" si="81"/>
        <v>1500</v>
      </c>
      <c r="P98" s="65">
        <f t="shared" si="81"/>
        <v>2000</v>
      </c>
      <c r="Q98" s="65">
        <f t="shared" si="81"/>
        <v>3000</v>
      </c>
      <c r="R98" s="65">
        <f t="shared" si="81"/>
        <v>5000</v>
      </c>
      <c r="S98" s="65">
        <f t="shared" si="81"/>
        <v>10000</v>
      </c>
      <c r="T98" s="65">
        <f t="shared" si="81"/>
        <v>15000</v>
      </c>
      <c r="U98" s="65">
        <f t="shared" si="81"/>
        <v>30000</v>
      </c>
      <c r="V98" s="65">
        <f t="shared" si="81"/>
        <v>50000</v>
      </c>
      <c r="W98" s="65">
        <f t="shared" si="81"/>
        <v>75000</v>
      </c>
      <c r="X98" s="65">
        <f t="shared" si="81"/>
        <v>100000</v>
      </c>
      <c r="Y98" s="66">
        <f t="shared" si="81"/>
        <v>150000</v>
      </c>
      <c r="Z98" s="67"/>
      <c r="AA98" s="68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48" t="str">
        <f t="shared" si="82"/>
        <v>越南盾</v>
      </c>
      <c r="D99" s="48" t="str">
        <f t="shared" si="82"/>
        <v/>
      </c>
      <c r="E99" s="64">
        <f t="shared" si="82"/>
        <v>0.5</v>
      </c>
      <c r="F99" s="65">
        <f t="shared" ref="F99:Y99" si="83">HLOOKUP(F46,$F$1:$AI$2,2) * $D$1 * $E99</f>
        <v>500</v>
      </c>
      <c r="G99" s="65">
        <f t="shared" si="83"/>
        <v>750</v>
      </c>
      <c r="H99" s="65">
        <f t="shared" si="83"/>
        <v>1000</v>
      </c>
      <c r="I99" s="65">
        <f t="shared" si="83"/>
        <v>1500</v>
      </c>
      <c r="J99" s="65">
        <f t="shared" si="83"/>
        <v>2000</v>
      </c>
      <c r="K99" s="65">
        <f t="shared" si="83"/>
        <v>2500</v>
      </c>
      <c r="L99" s="65">
        <f t="shared" si="83"/>
        <v>3000</v>
      </c>
      <c r="M99" s="65">
        <f t="shared" si="83"/>
        <v>4000</v>
      </c>
      <c r="N99" s="65">
        <f t="shared" si="83"/>
        <v>5000</v>
      </c>
      <c r="O99" s="65">
        <f t="shared" si="83"/>
        <v>7500</v>
      </c>
      <c r="P99" s="65">
        <f t="shared" si="83"/>
        <v>10000</v>
      </c>
      <c r="Q99" s="65">
        <f t="shared" si="83"/>
        <v>15000</v>
      </c>
      <c r="R99" s="65">
        <f t="shared" si="83"/>
        <v>25000</v>
      </c>
      <c r="S99" s="65">
        <f t="shared" si="83"/>
        <v>50000</v>
      </c>
      <c r="T99" s="65">
        <f t="shared" si="83"/>
        <v>75000</v>
      </c>
      <c r="U99" s="65">
        <f t="shared" si="83"/>
        <v>150000</v>
      </c>
      <c r="V99" s="65">
        <f t="shared" si="83"/>
        <v>250000</v>
      </c>
      <c r="W99" s="65">
        <f t="shared" si="83"/>
        <v>375000</v>
      </c>
      <c r="X99" s="65">
        <f t="shared" si="83"/>
        <v>500000</v>
      </c>
      <c r="Y99" s="66">
        <f t="shared" si="83"/>
        <v>750000</v>
      </c>
      <c r="Z99" s="67"/>
      <c r="AA99" s="68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48" t="str">
        <f t="shared" si="84"/>
        <v>馬來西亞令吉</v>
      </c>
      <c r="D100" s="48">
        <f t="shared" si="84"/>
        <v>0.01</v>
      </c>
      <c r="E100" s="64">
        <f t="shared" si="84"/>
        <v>0.01</v>
      </c>
      <c r="F100" s="65">
        <f t="shared" ref="F100:Y100" si="85">HLOOKUP(F47,$F$1:$AI$2,2) * $D$1 * $E100</f>
        <v>10</v>
      </c>
      <c r="G100" s="65">
        <f t="shared" si="85"/>
        <v>15</v>
      </c>
      <c r="H100" s="65">
        <f t="shared" si="85"/>
        <v>20</v>
      </c>
      <c r="I100" s="65">
        <f t="shared" si="85"/>
        <v>30</v>
      </c>
      <c r="J100" s="65">
        <f t="shared" si="85"/>
        <v>40</v>
      </c>
      <c r="K100" s="65">
        <f t="shared" si="85"/>
        <v>50</v>
      </c>
      <c r="L100" s="65">
        <f t="shared" si="85"/>
        <v>60</v>
      </c>
      <c r="M100" s="65">
        <f t="shared" si="85"/>
        <v>80</v>
      </c>
      <c r="N100" s="65">
        <f t="shared" si="85"/>
        <v>100</v>
      </c>
      <c r="O100" s="65">
        <f t="shared" si="85"/>
        <v>150</v>
      </c>
      <c r="P100" s="65">
        <f t="shared" si="85"/>
        <v>200</v>
      </c>
      <c r="Q100" s="65">
        <f t="shared" si="85"/>
        <v>300</v>
      </c>
      <c r="R100" s="65">
        <f t="shared" si="85"/>
        <v>500</v>
      </c>
      <c r="S100" s="65">
        <f t="shared" si="85"/>
        <v>1000</v>
      </c>
      <c r="T100" s="65">
        <f t="shared" si="85"/>
        <v>1500</v>
      </c>
      <c r="U100" s="65">
        <f t="shared" si="85"/>
        <v>3000</v>
      </c>
      <c r="V100" s="65">
        <f t="shared" si="85"/>
        <v>5000</v>
      </c>
      <c r="W100" s="65">
        <f t="shared" si="85"/>
        <v>7500</v>
      </c>
      <c r="X100" s="65">
        <f t="shared" si="85"/>
        <v>10000</v>
      </c>
      <c r="Y100" s="66">
        <f t="shared" si="85"/>
        <v>15000</v>
      </c>
      <c r="Z100" s="67"/>
      <c r="AA100" s="69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48" t="str">
        <f t="shared" si="86"/>
        <v>星幣</v>
      </c>
      <c r="D101" s="48" t="str">
        <f t="shared" si="86"/>
        <v/>
      </c>
      <c r="E101" s="64">
        <f t="shared" si="86"/>
        <v>1</v>
      </c>
      <c r="F101" s="65">
        <f t="shared" ref="F101:Y101" si="87">HLOOKUP(F48,$F$1:$AI$2,2) * $D$1 * $E101</f>
        <v>100</v>
      </c>
      <c r="G101" s="65">
        <f t="shared" si="87"/>
        <v>200</v>
      </c>
      <c r="H101" s="65">
        <f t="shared" si="87"/>
        <v>500</v>
      </c>
      <c r="I101" s="65">
        <f t="shared" si="87"/>
        <v>1000</v>
      </c>
      <c r="J101" s="65">
        <f t="shared" si="87"/>
        <v>1200</v>
      </c>
      <c r="K101" s="65">
        <f t="shared" si="87"/>
        <v>1500</v>
      </c>
      <c r="L101" s="65">
        <f t="shared" si="87"/>
        <v>2000</v>
      </c>
      <c r="M101" s="65">
        <f t="shared" si="87"/>
        <v>2500</v>
      </c>
      <c r="N101" s="65">
        <f t="shared" si="87"/>
        <v>3000</v>
      </c>
      <c r="O101" s="65">
        <f t="shared" si="87"/>
        <v>3500</v>
      </c>
      <c r="P101" s="65">
        <f t="shared" si="87"/>
        <v>4000</v>
      </c>
      <c r="Q101" s="65">
        <f t="shared" si="87"/>
        <v>5000</v>
      </c>
      <c r="R101" s="65">
        <f t="shared" si="87"/>
        <v>6000</v>
      </c>
      <c r="S101" s="65">
        <f t="shared" si="87"/>
        <v>8000</v>
      </c>
      <c r="T101" s="65">
        <f t="shared" si="87"/>
        <v>9000</v>
      </c>
      <c r="U101" s="65">
        <f t="shared" si="87"/>
        <v>10000</v>
      </c>
      <c r="V101" s="65">
        <f t="shared" si="87"/>
        <v>15000</v>
      </c>
      <c r="W101" s="65">
        <f t="shared" si="87"/>
        <v>20000</v>
      </c>
      <c r="X101" s="65">
        <f t="shared" si="87"/>
        <v>30000</v>
      </c>
      <c r="Y101" s="65">
        <f t="shared" si="87"/>
        <v>50000</v>
      </c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48" t="str">
        <f t="shared" si="88"/>
        <v>阿爾及利亞第納爾</v>
      </c>
      <c r="D102" s="48" t="str">
        <f t="shared" si="88"/>
        <v/>
      </c>
      <c r="E102" s="64">
        <f t="shared" si="88"/>
        <v>0.002</v>
      </c>
      <c r="F102" s="65">
        <f t="shared" ref="F102:Y102" si="89">HLOOKUP(F49,$F$1:$AI$2,2) * $D$1 * $E102</f>
        <v>4</v>
      </c>
      <c r="G102" s="65">
        <f t="shared" si="89"/>
        <v>6</v>
      </c>
      <c r="H102" s="65">
        <f t="shared" si="89"/>
        <v>8</v>
      </c>
      <c r="I102" s="65">
        <f t="shared" si="89"/>
        <v>12</v>
      </c>
      <c r="J102" s="65">
        <f t="shared" si="89"/>
        <v>14</v>
      </c>
      <c r="K102" s="65">
        <f t="shared" si="89"/>
        <v>16</v>
      </c>
      <c r="L102" s="65">
        <f t="shared" si="89"/>
        <v>18</v>
      </c>
      <c r="M102" s="65">
        <f t="shared" si="89"/>
        <v>20</v>
      </c>
      <c r="N102" s="65">
        <f t="shared" si="89"/>
        <v>30</v>
      </c>
      <c r="O102" s="65">
        <f t="shared" si="89"/>
        <v>40</v>
      </c>
      <c r="P102" s="65">
        <f t="shared" si="89"/>
        <v>60</v>
      </c>
      <c r="Q102" s="65">
        <f t="shared" si="89"/>
        <v>100</v>
      </c>
      <c r="R102" s="65">
        <f t="shared" si="89"/>
        <v>200</v>
      </c>
      <c r="S102" s="65">
        <f t="shared" si="89"/>
        <v>300</v>
      </c>
      <c r="T102" s="65">
        <f t="shared" si="89"/>
        <v>600</v>
      </c>
      <c r="U102" s="65">
        <f t="shared" si="89"/>
        <v>1000</v>
      </c>
      <c r="V102" s="65">
        <f t="shared" si="89"/>
        <v>1500</v>
      </c>
      <c r="W102" s="65">
        <f t="shared" si="89"/>
        <v>2000</v>
      </c>
      <c r="X102" s="65">
        <f t="shared" si="89"/>
        <v>3000</v>
      </c>
      <c r="Y102" s="65">
        <f t="shared" si="89"/>
        <v>5000</v>
      </c>
      <c r="Z102" s="70"/>
      <c r="AA102" s="70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48" t="str">
        <f t="shared" si="90"/>
        <v>摩洛哥迪拉姆</v>
      </c>
      <c r="D103" s="48" t="str">
        <f t="shared" si="90"/>
        <v/>
      </c>
      <c r="E103" s="64">
        <f t="shared" si="90"/>
        <v>0.002</v>
      </c>
      <c r="F103" s="65">
        <f t="shared" ref="F103:Y103" si="91">HLOOKUP(F50,$F$1:$AI$2,2) * $D$1 * $E103</f>
        <v>0.2</v>
      </c>
      <c r="G103" s="65">
        <f t="shared" si="91"/>
        <v>0.4</v>
      </c>
      <c r="H103" s="65">
        <f t="shared" si="91"/>
        <v>1</v>
      </c>
      <c r="I103" s="65">
        <f t="shared" si="91"/>
        <v>2</v>
      </c>
      <c r="J103" s="65">
        <f t="shared" si="91"/>
        <v>2.4</v>
      </c>
      <c r="K103" s="65">
        <f t="shared" si="91"/>
        <v>3</v>
      </c>
      <c r="L103" s="65">
        <f t="shared" si="91"/>
        <v>4</v>
      </c>
      <c r="M103" s="65">
        <f t="shared" si="91"/>
        <v>5</v>
      </c>
      <c r="N103" s="65">
        <f t="shared" si="91"/>
        <v>6</v>
      </c>
      <c r="O103" s="65">
        <f t="shared" si="91"/>
        <v>8</v>
      </c>
      <c r="P103" s="65">
        <f t="shared" si="91"/>
        <v>10</v>
      </c>
      <c r="Q103" s="65">
        <f t="shared" si="91"/>
        <v>12</v>
      </c>
      <c r="R103" s="65">
        <f t="shared" si="91"/>
        <v>16</v>
      </c>
      <c r="S103" s="65">
        <f t="shared" si="91"/>
        <v>20</v>
      </c>
      <c r="T103" s="65">
        <f t="shared" si="91"/>
        <v>30</v>
      </c>
      <c r="U103" s="65">
        <f t="shared" si="91"/>
        <v>40</v>
      </c>
      <c r="V103" s="65">
        <f t="shared" si="91"/>
        <v>60</v>
      </c>
      <c r="W103" s="65">
        <f t="shared" si="91"/>
        <v>100</v>
      </c>
      <c r="X103" s="65">
        <f t="shared" si="91"/>
        <v>200</v>
      </c>
      <c r="Y103" s="65">
        <f t="shared" si="91"/>
        <v>300</v>
      </c>
      <c r="Z103" s="70"/>
      <c r="AA103" s="70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48" t="str">
        <f t="shared" si="92"/>
        <v>法國法郎</v>
      </c>
      <c r="D104" s="48" t="str">
        <f t="shared" si="92"/>
        <v/>
      </c>
      <c r="E104" s="64">
        <f t="shared" si="92"/>
        <v>0.002</v>
      </c>
      <c r="F104" s="65">
        <f t="shared" ref="F104:Y104" si="93">HLOOKUP(F51,$F$1:$AI$2,2) * $D$1 * $E104</f>
        <v>0.2</v>
      </c>
      <c r="G104" s="65">
        <f t="shared" si="93"/>
        <v>0.4</v>
      </c>
      <c r="H104" s="65">
        <f t="shared" si="93"/>
        <v>1</v>
      </c>
      <c r="I104" s="65">
        <f t="shared" si="93"/>
        <v>2</v>
      </c>
      <c r="J104" s="65">
        <f t="shared" si="93"/>
        <v>2.4</v>
      </c>
      <c r="K104" s="65">
        <f t="shared" si="93"/>
        <v>3</v>
      </c>
      <c r="L104" s="65">
        <f t="shared" si="93"/>
        <v>4</v>
      </c>
      <c r="M104" s="65">
        <f t="shared" si="93"/>
        <v>5</v>
      </c>
      <c r="N104" s="65">
        <f t="shared" si="93"/>
        <v>6</v>
      </c>
      <c r="O104" s="65">
        <f t="shared" si="93"/>
        <v>8</v>
      </c>
      <c r="P104" s="65">
        <f t="shared" si="93"/>
        <v>10</v>
      </c>
      <c r="Q104" s="65">
        <f t="shared" si="93"/>
        <v>12</v>
      </c>
      <c r="R104" s="65">
        <f t="shared" si="93"/>
        <v>16</v>
      </c>
      <c r="S104" s="65">
        <f t="shared" si="93"/>
        <v>20</v>
      </c>
      <c r="T104" s="65">
        <f t="shared" si="93"/>
        <v>30</v>
      </c>
      <c r="U104" s="65">
        <f t="shared" si="93"/>
        <v>40</v>
      </c>
      <c r="V104" s="65">
        <f t="shared" si="93"/>
        <v>60</v>
      </c>
      <c r="W104" s="65">
        <f t="shared" si="93"/>
        <v>100</v>
      </c>
      <c r="X104" s="65">
        <f t="shared" si="93"/>
        <v>200</v>
      </c>
      <c r="Y104" s="65">
        <f t="shared" si="93"/>
        <v>300</v>
      </c>
      <c r="Z104" s="70"/>
      <c r="AA104" s="70"/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48" t="str">
        <f t="shared" si="94"/>
        <v>迦納塞地</v>
      </c>
      <c r="D105" s="48" t="str">
        <f t="shared" si="94"/>
        <v/>
      </c>
      <c r="E105" s="64">
        <f t="shared" si="94"/>
        <v>0.002</v>
      </c>
      <c r="F105" s="65">
        <f t="shared" ref="F105:Y105" si="95">HLOOKUP(F52,$F$1:$AI$2,2) * $D$1 * $E105</f>
        <v>0.4</v>
      </c>
      <c r="G105" s="65">
        <f t="shared" si="95"/>
        <v>1</v>
      </c>
      <c r="H105" s="65">
        <f t="shared" si="95"/>
        <v>2</v>
      </c>
      <c r="I105" s="65">
        <f t="shared" si="95"/>
        <v>2.4</v>
      </c>
      <c r="J105" s="65">
        <f t="shared" si="95"/>
        <v>3</v>
      </c>
      <c r="K105" s="65">
        <f t="shared" si="95"/>
        <v>4</v>
      </c>
      <c r="L105" s="65">
        <f t="shared" si="95"/>
        <v>5</v>
      </c>
      <c r="M105" s="65">
        <f t="shared" si="95"/>
        <v>6</v>
      </c>
      <c r="N105" s="65">
        <f t="shared" si="95"/>
        <v>8</v>
      </c>
      <c r="O105" s="65">
        <f t="shared" si="95"/>
        <v>10</v>
      </c>
      <c r="P105" s="65">
        <f t="shared" si="95"/>
        <v>12</v>
      </c>
      <c r="Q105" s="65">
        <f t="shared" si="95"/>
        <v>16</v>
      </c>
      <c r="R105" s="65">
        <f t="shared" si="95"/>
        <v>20</v>
      </c>
      <c r="S105" s="65">
        <f t="shared" si="95"/>
        <v>30</v>
      </c>
      <c r="T105" s="65">
        <f t="shared" si="95"/>
        <v>40</v>
      </c>
      <c r="U105" s="65">
        <f t="shared" si="95"/>
        <v>60</v>
      </c>
      <c r="V105" s="65">
        <f t="shared" si="95"/>
        <v>100</v>
      </c>
      <c r="W105" s="65">
        <f t="shared" si="95"/>
        <v>200</v>
      </c>
      <c r="X105" s="65">
        <f t="shared" si="95"/>
        <v>300</v>
      </c>
      <c r="Y105" s="65">
        <f t="shared" si="95"/>
        <v>600</v>
      </c>
      <c r="Z105" s="70"/>
      <c r="AA105" s="70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48" t="str">
        <f t="shared" si="96"/>
        <v>RCC幣</v>
      </c>
      <c r="D106" s="48" t="str">
        <f t="shared" si="96"/>
        <v/>
      </c>
      <c r="E106" s="64">
        <f t="shared" si="96"/>
        <v>0.002</v>
      </c>
      <c r="F106" s="65">
        <f t="shared" ref="F106:Y106" si="97">HLOOKUP(F53,$F$1:$AI$2,2) * $D$1 * $E106</f>
        <v>0.2</v>
      </c>
      <c r="G106" s="65">
        <f t="shared" si="97"/>
        <v>0.4</v>
      </c>
      <c r="H106" s="65">
        <f t="shared" si="97"/>
        <v>1</v>
      </c>
      <c r="I106" s="65">
        <f t="shared" si="97"/>
        <v>2</v>
      </c>
      <c r="J106" s="65">
        <f t="shared" si="97"/>
        <v>2.4</v>
      </c>
      <c r="K106" s="65">
        <f t="shared" si="97"/>
        <v>3</v>
      </c>
      <c r="L106" s="65">
        <f t="shared" si="97"/>
        <v>4</v>
      </c>
      <c r="M106" s="65">
        <f t="shared" si="97"/>
        <v>5</v>
      </c>
      <c r="N106" s="65">
        <f t="shared" si="97"/>
        <v>6</v>
      </c>
      <c r="O106" s="65">
        <f t="shared" si="97"/>
        <v>7</v>
      </c>
      <c r="P106" s="65">
        <f t="shared" si="97"/>
        <v>8</v>
      </c>
      <c r="Q106" s="65">
        <f t="shared" si="97"/>
        <v>9</v>
      </c>
      <c r="R106" s="65">
        <f t="shared" si="97"/>
        <v>10</v>
      </c>
      <c r="S106" s="65">
        <f t="shared" si="97"/>
        <v>12</v>
      </c>
      <c r="T106" s="65">
        <f t="shared" si="97"/>
        <v>14</v>
      </c>
      <c r="U106" s="65">
        <f t="shared" si="97"/>
        <v>16</v>
      </c>
      <c r="V106" s="65">
        <f t="shared" si="97"/>
        <v>18</v>
      </c>
      <c r="W106" s="65">
        <f t="shared" si="97"/>
        <v>20</v>
      </c>
      <c r="X106" s="65">
        <f t="shared" si="97"/>
        <v>30</v>
      </c>
      <c r="Y106" s="65">
        <f t="shared" si="97"/>
        <v>40</v>
      </c>
      <c r="Z106" s="70"/>
      <c r="AA106" s="70"/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48" t="str">
        <f t="shared" si="98"/>
        <v>爸幣</v>
      </c>
      <c r="D107" s="48" t="str">
        <f t="shared" si="98"/>
        <v/>
      </c>
      <c r="E107" s="64">
        <f t="shared" si="98"/>
        <v>0.01</v>
      </c>
      <c r="F107" s="65">
        <f t="shared" ref="F107:Y107" si="99">HLOOKUP(F54,$F$1:$AI$2,2) * $D$1 * $E107</f>
        <v>5</v>
      </c>
      <c r="G107" s="65">
        <f t="shared" si="99"/>
        <v>10</v>
      </c>
      <c r="H107" s="65">
        <f t="shared" si="99"/>
        <v>15</v>
      </c>
      <c r="I107" s="65">
        <f t="shared" si="99"/>
        <v>20</v>
      </c>
      <c r="J107" s="65">
        <f t="shared" si="99"/>
        <v>30</v>
      </c>
      <c r="K107" s="65">
        <f t="shared" si="99"/>
        <v>40</v>
      </c>
      <c r="L107" s="65">
        <f t="shared" si="99"/>
        <v>50</v>
      </c>
      <c r="M107" s="65">
        <f t="shared" si="99"/>
        <v>60</v>
      </c>
      <c r="N107" s="65">
        <f t="shared" si="99"/>
        <v>80</v>
      </c>
      <c r="O107" s="65">
        <f t="shared" si="99"/>
        <v>100</v>
      </c>
      <c r="P107" s="65">
        <f t="shared" si="99"/>
        <v>150</v>
      </c>
      <c r="Q107" s="65">
        <f t="shared" si="99"/>
        <v>200</v>
      </c>
      <c r="R107" s="65">
        <f t="shared" si="99"/>
        <v>300</v>
      </c>
      <c r="S107" s="65">
        <f t="shared" si="99"/>
        <v>500</v>
      </c>
      <c r="T107" s="65">
        <f t="shared" si="99"/>
        <v>1000</v>
      </c>
      <c r="U107" s="65">
        <f t="shared" si="99"/>
        <v>1500</v>
      </c>
      <c r="V107" s="65">
        <f t="shared" si="99"/>
        <v>3000</v>
      </c>
      <c r="W107" s="65">
        <f t="shared" si="99"/>
        <v>5000</v>
      </c>
      <c r="X107" s="65">
        <f t="shared" si="99"/>
        <v>7500</v>
      </c>
      <c r="Y107" s="65">
        <f t="shared" si="99"/>
        <v>10000</v>
      </c>
      <c r="Z107" s="70"/>
      <c r="AA107" s="70"/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48" t="str">
        <f t="shared" si="100"/>
        <v>星城馬來西亞</v>
      </c>
      <c r="D108" s="48" t="str">
        <f t="shared" si="100"/>
        <v/>
      </c>
      <c r="E108" s="64">
        <f t="shared" si="100"/>
        <v>1</v>
      </c>
      <c r="F108" s="65">
        <f t="shared" ref="F108:Y108" si="101">HLOOKUP(F55,$F$1:$AI$2,2) * $D$1 * $E108</f>
        <v>100</v>
      </c>
      <c r="G108" s="65">
        <f t="shared" si="101"/>
        <v>200</v>
      </c>
      <c r="H108" s="65">
        <f t="shared" si="101"/>
        <v>500</v>
      </c>
      <c r="I108" s="65">
        <f t="shared" si="101"/>
        <v>1000</v>
      </c>
      <c r="J108" s="65">
        <f t="shared" si="101"/>
        <v>1200</v>
      </c>
      <c r="K108" s="65">
        <f t="shared" si="101"/>
        <v>1500</v>
      </c>
      <c r="L108" s="65">
        <f t="shared" si="101"/>
        <v>2000</v>
      </c>
      <c r="M108" s="65">
        <f t="shared" si="101"/>
        <v>2500</v>
      </c>
      <c r="N108" s="65">
        <f t="shared" si="101"/>
        <v>3000</v>
      </c>
      <c r="O108" s="65">
        <f t="shared" si="101"/>
        <v>3500</v>
      </c>
      <c r="P108" s="65">
        <f t="shared" si="101"/>
        <v>4000</v>
      </c>
      <c r="Q108" s="65">
        <f t="shared" si="101"/>
        <v>5000</v>
      </c>
      <c r="R108" s="65">
        <f t="shared" si="101"/>
        <v>6000</v>
      </c>
      <c r="S108" s="65">
        <f t="shared" si="101"/>
        <v>8000</v>
      </c>
      <c r="T108" s="65">
        <f t="shared" si="101"/>
        <v>9000</v>
      </c>
      <c r="U108" s="65">
        <f t="shared" si="101"/>
        <v>10000</v>
      </c>
      <c r="V108" s="65">
        <f t="shared" si="101"/>
        <v>15000</v>
      </c>
      <c r="W108" s="65">
        <f t="shared" si="101"/>
        <v>20000</v>
      </c>
      <c r="X108" s="65">
        <f t="shared" si="101"/>
        <v>30000</v>
      </c>
      <c r="Y108" s="65">
        <f t="shared" si="101"/>
        <v>50000</v>
      </c>
      <c r="Z108" s="70"/>
      <c r="AA108" s="70"/>
    </row>
    <row r="109" ht="16.5" customHeight="1">
      <c r="C109" s="22"/>
      <c r="E109" s="71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</row>
    <row r="110" ht="16.5" customHeight="1">
      <c r="C110" s="22"/>
      <c r="E110" s="71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ht="16.5" customHeight="1">
      <c r="C111" s="22"/>
      <c r="E111" s="71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ht="16.5" customHeight="1">
      <c r="C112" s="22"/>
      <c r="E112" s="71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ht="16.5" customHeight="1">
      <c r="C113" s="22"/>
      <c r="E113" s="71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ht="16.5" customHeight="1">
      <c r="C114" s="22"/>
      <c r="E114" s="71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ht="16.5" customHeight="1">
      <c r="C115" s="22"/>
      <c r="E115" s="71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</row>
    <row r="116" ht="16.5" customHeight="1">
      <c r="C116" s="22"/>
      <c r="E116" s="71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ht="16.5" customHeight="1">
      <c r="C117" s="22"/>
      <c r="E117" s="71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ht="16.5" customHeight="1">
      <c r="C118" s="22"/>
      <c r="E118" s="71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ht="16.5" customHeight="1">
      <c r="C119" s="22"/>
      <c r="E119" s="71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ht="16.5" customHeight="1">
      <c r="C120" s="22"/>
      <c r="E120" s="71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ht="16.5" customHeight="1">
      <c r="C121" s="22"/>
      <c r="E121" s="71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ht="16.5" customHeight="1">
      <c r="C122" s="22"/>
      <c r="E122" s="71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ht="16.5" customHeight="1">
      <c r="C123" s="22"/>
      <c r="E123" s="71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ht="16.5" customHeight="1">
      <c r="C124" s="22"/>
      <c r="E124" s="71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ht="16.5" customHeight="1">
      <c r="C125" s="22"/>
      <c r="E125" s="71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ht="16.5" customHeight="1">
      <c r="C126" s="22"/>
      <c r="E126" s="71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ht="16.5" customHeight="1">
      <c r="C127" s="22"/>
      <c r="E127" s="71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ht="16.5" customHeight="1">
      <c r="C128" s="22"/>
      <c r="E128" s="71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ht="16.5" customHeight="1">
      <c r="C129" s="22"/>
      <c r="E129" s="71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</row>
    <row r="130" ht="16.5" customHeight="1">
      <c r="C130" s="22"/>
      <c r="E130" s="71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ht="16.5" customHeight="1">
      <c r="C131" s="22"/>
      <c r="E131" s="71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ht="16.5" customHeight="1">
      <c r="C132" s="22"/>
      <c r="E132" s="71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ht="16.5" customHeight="1">
      <c r="C133" s="22"/>
      <c r="E133" s="71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ht="16.5" customHeight="1">
      <c r="C134" s="22"/>
      <c r="E134" s="71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ht="16.5" customHeight="1">
      <c r="C135" s="22"/>
      <c r="E135" s="71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ht="16.5" customHeight="1">
      <c r="C136" s="22"/>
      <c r="E136" s="71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ht="16.5" customHeight="1">
      <c r="C137" s="22"/>
      <c r="E137" s="71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ht="16.5" customHeight="1">
      <c r="C138" s="22"/>
      <c r="E138" s="71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ht="16.5" customHeight="1">
      <c r="C139" s="22"/>
      <c r="E139" s="71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ht="16.5" customHeight="1">
      <c r="C140" s="22"/>
      <c r="E140" s="71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ht="16.5" customHeight="1">
      <c r="C141" s="22"/>
      <c r="E141" s="71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ht="16.5" customHeight="1">
      <c r="C142" s="22"/>
      <c r="E142" s="71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ht="16.5" customHeight="1">
      <c r="C143" s="22"/>
      <c r="E143" s="71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</sheetData>
  <mergeCells count="7">
    <mergeCell ref="A1:A2"/>
    <mergeCell ref="B1:B2"/>
    <mergeCell ref="C1:C2"/>
    <mergeCell ref="D1:D2"/>
    <mergeCell ref="E1:E2"/>
    <mergeCell ref="AA5:AA47"/>
    <mergeCell ref="AA58:AA100"/>
  </mergeCells>
  <conditionalFormatting sqref="Z59:Z100">
    <cfRule type="cellIs" dxfId="0" priority="1" operator="lessThan">
      <formula>0.2</formula>
    </cfRule>
  </conditionalFormatting>
  <conditionalFormatting sqref="AE6:AE47 AE53:AE54">
    <cfRule type="cellIs" dxfId="0" priority="2" operator="lessThan">
      <formula>20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150.0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f>'100'!F2</f>
        <v>1</v>
      </c>
      <c r="G2" s="37">
        <f>'100'!G2</f>
        <v>2</v>
      </c>
      <c r="H2" s="37">
        <f>'100'!H2</f>
        <v>5</v>
      </c>
      <c r="I2" s="37">
        <f>'100'!I2</f>
        <v>10</v>
      </c>
      <c r="J2" s="37">
        <f>'100'!J2</f>
        <v>12</v>
      </c>
      <c r="K2" s="37">
        <f>'100'!K2</f>
        <v>15</v>
      </c>
      <c r="L2" s="37">
        <f>'100'!L2</f>
        <v>20</v>
      </c>
      <c r="M2" s="37">
        <f>'100'!M2</f>
        <v>25</v>
      </c>
      <c r="N2" s="37">
        <f>'100'!N2</f>
        <v>30</v>
      </c>
      <c r="O2" s="37">
        <f>'100'!O2</f>
        <v>35</v>
      </c>
      <c r="P2" s="37">
        <f>'100'!P2</f>
        <v>40</v>
      </c>
      <c r="Q2" s="37">
        <f>'100'!Q2</f>
        <v>45</v>
      </c>
      <c r="R2" s="37">
        <f>'100'!R2</f>
        <v>50</v>
      </c>
      <c r="S2" s="37">
        <f>'100'!S2</f>
        <v>60</v>
      </c>
      <c r="T2" s="37">
        <f>'100'!T2</f>
        <v>70</v>
      </c>
      <c r="U2" s="37">
        <f>'100'!U2</f>
        <v>80</v>
      </c>
      <c r="V2" s="37">
        <f>'100'!V2</f>
        <v>90</v>
      </c>
      <c r="W2" s="37">
        <f>'100'!W2</f>
        <v>100</v>
      </c>
      <c r="X2" s="37">
        <f>'100'!X2</f>
        <v>150</v>
      </c>
      <c r="Y2" s="37">
        <f>'100'!Y2</f>
        <v>200</v>
      </c>
      <c r="Z2" s="37">
        <f>'100'!Z2</f>
        <v>300</v>
      </c>
      <c r="AA2" s="37">
        <f>'100'!AA2</f>
        <v>500</v>
      </c>
      <c r="AB2" s="37">
        <f>'100'!AB2</f>
        <v>1000</v>
      </c>
      <c r="AC2" s="37">
        <f>'100'!AC2</f>
        <v>1500</v>
      </c>
      <c r="AD2" s="37">
        <f>'100'!AD2</f>
        <v>3000</v>
      </c>
      <c r="AE2" s="37">
        <f>'100'!AE2</f>
        <v>5000</v>
      </c>
      <c r="AF2" s="37">
        <f>'100'!AF2</f>
        <v>7500</v>
      </c>
      <c r="AG2" s="37">
        <f>'100'!AG2</f>
        <v>10000</v>
      </c>
      <c r="AH2" s="38">
        <f>'100'!AH2</f>
        <v>15000</v>
      </c>
      <c r="AI2" s="38">
        <f>'100'!AI2</f>
        <v>25000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ht="16.5" customHeight="1">
      <c r="A5" s="74" t="s">
        <v>45</v>
      </c>
      <c r="B5" s="50" t="s">
        <v>46</v>
      </c>
      <c r="C5" s="50" t="s">
        <v>47</v>
      </c>
      <c r="D5" s="50" t="s">
        <v>48</v>
      </c>
      <c r="E5" s="5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Z5" s="45"/>
      <c r="AA5" s="46" t="s">
        <v>70</v>
      </c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64">
        <f>'100'!E6</f>
        <v>0.002</v>
      </c>
      <c r="F6" s="75">
        <v>3.0</v>
      </c>
      <c r="G6" s="75">
        <v>4.0</v>
      </c>
      <c r="H6" s="75">
        <v>6.0</v>
      </c>
      <c r="I6" s="75">
        <v>7.0</v>
      </c>
      <c r="J6" s="75">
        <v>8.0</v>
      </c>
      <c r="K6" s="75">
        <v>9.0</v>
      </c>
      <c r="L6" s="75">
        <v>11.0</v>
      </c>
      <c r="M6" s="75">
        <v>13.0</v>
      </c>
      <c r="N6" s="75">
        <v>14.0</v>
      </c>
      <c r="O6" s="75">
        <v>16.0</v>
      </c>
      <c r="P6" s="75">
        <v>18.0</v>
      </c>
      <c r="Q6" s="75">
        <v>19.0</v>
      </c>
      <c r="R6" s="75">
        <v>20.0</v>
      </c>
      <c r="S6" s="75">
        <v>21.0</v>
      </c>
      <c r="T6" s="75">
        <v>22.0</v>
      </c>
      <c r="U6" s="75">
        <v>23.0</v>
      </c>
      <c r="V6" s="75">
        <v>24.0</v>
      </c>
      <c r="W6" s="75">
        <v>25.0</v>
      </c>
      <c r="X6" s="75">
        <v>26.0</v>
      </c>
      <c r="Y6" s="75">
        <v>27.0</v>
      </c>
      <c r="Z6" s="76"/>
      <c r="AA6" s="5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64">
        <f>'100'!E7</f>
        <v>0.002</v>
      </c>
      <c r="F7" s="75">
        <v>1.0</v>
      </c>
      <c r="G7" s="75">
        <v>2.0</v>
      </c>
      <c r="H7" s="75">
        <v>3.0</v>
      </c>
      <c r="I7" s="75">
        <v>4.0</v>
      </c>
      <c r="J7" s="75">
        <v>5.0</v>
      </c>
      <c r="K7" s="75">
        <v>6.0</v>
      </c>
      <c r="L7" s="75">
        <v>7.0</v>
      </c>
      <c r="M7" s="75">
        <v>8.0</v>
      </c>
      <c r="N7" s="75">
        <v>9.0</v>
      </c>
      <c r="O7" s="75">
        <v>11.0</v>
      </c>
      <c r="P7" s="75">
        <v>13.0</v>
      </c>
      <c r="Q7" s="75">
        <v>14.0</v>
      </c>
      <c r="R7" s="75">
        <v>16.0</v>
      </c>
      <c r="S7" s="75">
        <v>18.0</v>
      </c>
      <c r="T7" s="75">
        <v>19.0</v>
      </c>
      <c r="U7" s="75">
        <v>20.0</v>
      </c>
      <c r="V7" s="75">
        <v>21.0</v>
      </c>
      <c r="W7" s="75">
        <v>22.0</v>
      </c>
      <c r="X7" s="75">
        <v>23.0</v>
      </c>
      <c r="Y7" s="75">
        <v>24.0</v>
      </c>
      <c r="Z7" s="76"/>
      <c r="AA7" s="5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64">
        <f>'100'!E8</f>
        <v>0.002</v>
      </c>
      <c r="F8" s="75">
        <v>4.0</v>
      </c>
      <c r="G8" s="75">
        <v>6.0</v>
      </c>
      <c r="H8" s="75">
        <v>7.0</v>
      </c>
      <c r="I8" s="75">
        <v>9.0</v>
      </c>
      <c r="J8" s="75">
        <v>11.0</v>
      </c>
      <c r="K8" s="75">
        <v>13.0</v>
      </c>
      <c r="L8" s="75">
        <v>14.0</v>
      </c>
      <c r="M8" s="75">
        <v>16.0</v>
      </c>
      <c r="N8" s="75">
        <v>18.0</v>
      </c>
      <c r="O8" s="75">
        <v>19.0</v>
      </c>
      <c r="P8" s="75">
        <v>20.0</v>
      </c>
      <c r="Q8" s="75">
        <v>21.0</v>
      </c>
      <c r="R8" s="75">
        <v>22.0</v>
      </c>
      <c r="S8" s="75">
        <v>23.0</v>
      </c>
      <c r="T8" s="75">
        <v>24.0</v>
      </c>
      <c r="U8" s="75">
        <v>25.0</v>
      </c>
      <c r="V8" s="75">
        <v>26.0</v>
      </c>
      <c r="W8" s="75">
        <v>27.0</v>
      </c>
      <c r="X8" s="75">
        <v>28.0</v>
      </c>
      <c r="Y8" s="75">
        <v>29.0</v>
      </c>
      <c r="Z8" s="76"/>
      <c r="AA8" s="5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64">
        <f>'100'!E9</f>
        <v>0.002</v>
      </c>
      <c r="F9" s="75">
        <v>2.0</v>
      </c>
      <c r="G9" s="75">
        <v>3.0</v>
      </c>
      <c r="H9" s="75">
        <v>4.0</v>
      </c>
      <c r="I9" s="75">
        <v>5.0</v>
      </c>
      <c r="J9" s="75">
        <v>6.0</v>
      </c>
      <c r="K9" s="75">
        <v>7.0</v>
      </c>
      <c r="L9" s="75">
        <v>8.0</v>
      </c>
      <c r="M9" s="75">
        <v>9.0</v>
      </c>
      <c r="N9" s="75">
        <v>11.0</v>
      </c>
      <c r="O9" s="75">
        <v>13.0</v>
      </c>
      <c r="P9" s="75">
        <v>14.0</v>
      </c>
      <c r="Q9" s="75">
        <v>16.0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6"/>
      <c r="AA9" s="5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64">
        <f>'100'!E10</f>
        <v>0.002</v>
      </c>
      <c r="F10" s="75">
        <v>3.0</v>
      </c>
      <c r="G10" s="75">
        <v>4.0</v>
      </c>
      <c r="H10" s="75">
        <v>5.0</v>
      </c>
      <c r="I10" s="75">
        <v>6.0</v>
      </c>
      <c r="J10" s="75">
        <v>7.0</v>
      </c>
      <c r="K10" s="75">
        <v>8.0</v>
      </c>
      <c r="L10" s="75">
        <v>9.0</v>
      </c>
      <c r="M10" s="75">
        <v>11.0</v>
      </c>
      <c r="N10" s="75">
        <v>13.0</v>
      </c>
      <c r="O10" s="75">
        <v>14.0</v>
      </c>
      <c r="P10" s="75">
        <v>16.0</v>
      </c>
      <c r="Q10" s="75">
        <v>18.0</v>
      </c>
      <c r="R10" s="75">
        <v>19.0</v>
      </c>
      <c r="S10" s="75">
        <v>20.0</v>
      </c>
      <c r="T10" s="75">
        <v>21.0</v>
      </c>
      <c r="U10" s="75">
        <v>22.0</v>
      </c>
      <c r="V10" s="75">
        <v>23.0</v>
      </c>
      <c r="W10" s="75">
        <v>24.0</v>
      </c>
      <c r="X10" s="75">
        <v>25.0</v>
      </c>
      <c r="Y10" s="75">
        <v>26.0</v>
      </c>
      <c r="Z10" s="76"/>
      <c r="AA10" s="5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64">
        <f>'100'!E11</f>
        <v>0.002</v>
      </c>
      <c r="F11" s="75">
        <v>1.0</v>
      </c>
      <c r="G11" s="75">
        <v>2.0</v>
      </c>
      <c r="H11" s="75">
        <v>3.0</v>
      </c>
      <c r="I11" s="75">
        <v>4.0</v>
      </c>
      <c r="J11" s="75">
        <v>5.0</v>
      </c>
      <c r="K11" s="75">
        <v>6.0</v>
      </c>
      <c r="L11" s="75">
        <v>7.0</v>
      </c>
      <c r="M11" s="75">
        <v>8.0</v>
      </c>
      <c r="N11" s="75">
        <v>9.0</v>
      </c>
      <c r="O11" s="75">
        <v>10.0</v>
      </c>
      <c r="P11" s="75">
        <v>11.0</v>
      </c>
      <c r="Q11" s="75">
        <v>13.0</v>
      </c>
      <c r="R11" s="75">
        <v>14.0</v>
      </c>
      <c r="S11" s="75">
        <v>16.0</v>
      </c>
      <c r="T11" s="75">
        <v>18.0</v>
      </c>
      <c r="U11" s="75">
        <v>19.0</v>
      </c>
      <c r="V11" s="75">
        <v>20.0</v>
      </c>
      <c r="W11" s="75">
        <v>21.0</v>
      </c>
      <c r="X11" s="75">
        <v>22.0</v>
      </c>
      <c r="Y11" s="75">
        <v>23.0</v>
      </c>
      <c r="Z11" s="76"/>
      <c r="AA11" s="5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64">
        <f>'100'!E12</f>
        <v>0.002</v>
      </c>
      <c r="F12" s="75">
        <v>1.0</v>
      </c>
      <c r="G12" s="75">
        <v>2.0</v>
      </c>
      <c r="H12" s="75">
        <v>3.0</v>
      </c>
      <c r="I12" s="75">
        <v>4.0</v>
      </c>
      <c r="J12" s="75">
        <v>5.0</v>
      </c>
      <c r="K12" s="75">
        <v>6.0</v>
      </c>
      <c r="L12" s="75">
        <v>7.0</v>
      </c>
      <c r="M12" s="75">
        <v>8.0</v>
      </c>
      <c r="N12" s="75">
        <v>9.0</v>
      </c>
      <c r="O12" s="75">
        <v>10.0</v>
      </c>
      <c r="P12" s="75">
        <v>11.0</v>
      </c>
      <c r="Q12" s="75">
        <v>12.0</v>
      </c>
      <c r="R12" s="75">
        <v>13.0</v>
      </c>
      <c r="S12" s="75">
        <v>14.0</v>
      </c>
      <c r="T12" s="75">
        <v>15.0</v>
      </c>
      <c r="U12" s="75">
        <v>16.0</v>
      </c>
      <c r="V12" s="75">
        <v>17.0</v>
      </c>
      <c r="W12" s="75">
        <v>18.0</v>
      </c>
      <c r="X12" s="75">
        <v>19.0</v>
      </c>
      <c r="Y12" s="75">
        <v>20.0</v>
      </c>
      <c r="Z12" s="76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64">
        <f>'100'!E13</f>
        <v>0.002</v>
      </c>
      <c r="F13" s="75">
        <v>1.0</v>
      </c>
      <c r="G13" s="75">
        <v>2.0</v>
      </c>
      <c r="H13" s="75">
        <v>3.0</v>
      </c>
      <c r="I13" s="75">
        <v>4.0</v>
      </c>
      <c r="J13" s="75">
        <v>5.0</v>
      </c>
      <c r="K13" s="75">
        <v>6.0</v>
      </c>
      <c r="L13" s="75">
        <v>7.0</v>
      </c>
      <c r="M13" s="75">
        <v>8.0</v>
      </c>
      <c r="N13" s="75">
        <v>9.0</v>
      </c>
      <c r="O13" s="75">
        <v>10.0</v>
      </c>
      <c r="P13" s="75">
        <v>11.0</v>
      </c>
      <c r="Q13" s="75">
        <v>12.0</v>
      </c>
      <c r="R13" s="75">
        <v>13.0</v>
      </c>
      <c r="S13" s="75">
        <v>14.0</v>
      </c>
      <c r="T13" s="75">
        <v>15.0</v>
      </c>
      <c r="U13" s="75">
        <v>16.0</v>
      </c>
      <c r="V13" s="75">
        <v>17.0</v>
      </c>
      <c r="W13" s="75">
        <v>18.0</v>
      </c>
      <c r="X13" s="75">
        <v>19.0</v>
      </c>
      <c r="Y13" s="75">
        <v>20.0</v>
      </c>
      <c r="Z13" s="76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64">
        <f>'100'!E14</f>
        <v>0.002</v>
      </c>
      <c r="F14" s="75">
        <v>4.0</v>
      </c>
      <c r="G14" s="75">
        <v>6.0</v>
      </c>
      <c r="H14" s="75">
        <v>7.0</v>
      </c>
      <c r="I14" s="75">
        <v>9.0</v>
      </c>
      <c r="J14" s="75">
        <v>11.0</v>
      </c>
      <c r="K14" s="75">
        <v>13.0</v>
      </c>
      <c r="L14" s="75">
        <v>14.0</v>
      </c>
      <c r="M14" s="75">
        <v>16.0</v>
      </c>
      <c r="N14" s="75">
        <v>18.0</v>
      </c>
      <c r="O14" s="75">
        <v>19.0</v>
      </c>
      <c r="P14" s="75">
        <v>20.0</v>
      </c>
      <c r="Q14" s="75">
        <v>21.0</v>
      </c>
      <c r="R14" s="75">
        <v>22.0</v>
      </c>
      <c r="S14" s="75">
        <v>23.0</v>
      </c>
      <c r="T14" s="75">
        <v>24.0</v>
      </c>
      <c r="U14" s="75">
        <v>25.0</v>
      </c>
      <c r="V14" s="75">
        <v>26.0</v>
      </c>
      <c r="W14" s="75">
        <v>27.0</v>
      </c>
      <c r="X14" s="75">
        <v>28.0</v>
      </c>
      <c r="Y14" s="75">
        <v>29.0</v>
      </c>
      <c r="Z14" s="76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64">
        <f>'100'!E15</f>
        <v>0.01</v>
      </c>
      <c r="F15" s="75">
        <v>3.0</v>
      </c>
      <c r="G15" s="75">
        <v>4.0</v>
      </c>
      <c r="H15" s="75">
        <v>6.0</v>
      </c>
      <c r="I15" s="75">
        <v>7.0</v>
      </c>
      <c r="J15" s="75">
        <v>9.0</v>
      </c>
      <c r="K15" s="75">
        <v>11.0</v>
      </c>
      <c r="L15" s="75">
        <v>13.0</v>
      </c>
      <c r="M15" s="75">
        <v>14.0</v>
      </c>
      <c r="N15" s="75">
        <v>16.0</v>
      </c>
      <c r="O15" s="75">
        <v>18.0</v>
      </c>
      <c r="P15" s="75">
        <v>19.0</v>
      </c>
      <c r="Q15" s="75">
        <v>20.0</v>
      </c>
      <c r="R15" s="75">
        <v>21.0</v>
      </c>
      <c r="S15" s="75">
        <v>22.0</v>
      </c>
      <c r="T15" s="75">
        <v>23.0</v>
      </c>
      <c r="U15" s="75">
        <v>24.0</v>
      </c>
      <c r="V15" s="75">
        <v>25.0</v>
      </c>
      <c r="W15" s="75">
        <v>26.0</v>
      </c>
      <c r="X15" s="75">
        <v>27.0</v>
      </c>
      <c r="Y15" s="75">
        <v>28.0</v>
      </c>
      <c r="Z15" s="76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64">
        <f>'100'!E16</f>
        <v>0.002</v>
      </c>
      <c r="F16" s="75">
        <v>1.0</v>
      </c>
      <c r="G16" s="75">
        <v>2.0</v>
      </c>
      <c r="H16" s="75">
        <v>3.0</v>
      </c>
      <c r="I16" s="75">
        <v>4.0</v>
      </c>
      <c r="J16" s="75">
        <v>5.0</v>
      </c>
      <c r="K16" s="75">
        <v>6.0</v>
      </c>
      <c r="L16" s="75">
        <v>7.0</v>
      </c>
      <c r="M16" s="75">
        <v>8.0</v>
      </c>
      <c r="N16" s="75">
        <v>9.0</v>
      </c>
      <c r="O16" s="75">
        <v>10.0</v>
      </c>
      <c r="P16" s="75">
        <v>11.0</v>
      </c>
      <c r="Q16" s="75">
        <v>12.0</v>
      </c>
      <c r="R16" s="75">
        <v>13.0</v>
      </c>
      <c r="S16" s="75">
        <v>14.0</v>
      </c>
      <c r="T16" s="75">
        <v>15.0</v>
      </c>
      <c r="U16" s="75">
        <v>16.0</v>
      </c>
      <c r="V16" s="75">
        <v>18.0</v>
      </c>
      <c r="W16" s="75">
        <v>19.0</v>
      </c>
      <c r="X16" s="75">
        <v>20.0</v>
      </c>
      <c r="Y16" s="75">
        <v>21.0</v>
      </c>
      <c r="Z16" s="76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64">
        <f>'100'!E17</f>
        <v>0.004</v>
      </c>
      <c r="F17" s="75">
        <v>1.0</v>
      </c>
      <c r="G17" s="75">
        <v>2.0</v>
      </c>
      <c r="H17" s="75">
        <v>3.0</v>
      </c>
      <c r="I17" s="75">
        <v>4.0</v>
      </c>
      <c r="J17" s="75">
        <v>5.0</v>
      </c>
      <c r="K17" s="75">
        <v>6.0</v>
      </c>
      <c r="L17" s="75">
        <v>7.0</v>
      </c>
      <c r="M17" s="75">
        <v>8.0</v>
      </c>
      <c r="N17" s="75">
        <v>9.0</v>
      </c>
      <c r="O17" s="75">
        <v>11.0</v>
      </c>
      <c r="P17" s="75">
        <v>13.0</v>
      </c>
      <c r="Q17" s="75">
        <v>14.0</v>
      </c>
      <c r="R17" s="75">
        <v>16.0</v>
      </c>
      <c r="S17" s="75">
        <v>18.0</v>
      </c>
      <c r="T17" s="75">
        <v>19.0</v>
      </c>
      <c r="U17" s="75">
        <v>20.0</v>
      </c>
      <c r="V17" s="75">
        <v>21.0</v>
      </c>
      <c r="W17" s="75">
        <v>22.0</v>
      </c>
      <c r="X17" s="75">
        <v>23.0</v>
      </c>
      <c r="Y17" s="75">
        <v>24.0</v>
      </c>
      <c r="Z17" s="76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64">
        <f>'100'!E18</f>
        <v>0.002</v>
      </c>
      <c r="F18" s="75">
        <v>3.0</v>
      </c>
      <c r="G18" s="75">
        <v>4.0</v>
      </c>
      <c r="H18" s="75">
        <v>6.0</v>
      </c>
      <c r="I18" s="75">
        <v>7.0</v>
      </c>
      <c r="J18" s="75">
        <v>8.0</v>
      </c>
      <c r="K18" s="75">
        <v>9.0</v>
      </c>
      <c r="L18" s="75">
        <v>11.0</v>
      </c>
      <c r="M18" s="75">
        <v>13.0</v>
      </c>
      <c r="N18" s="75">
        <v>14.0</v>
      </c>
      <c r="O18" s="75">
        <v>16.0</v>
      </c>
      <c r="P18" s="75">
        <v>18.0</v>
      </c>
      <c r="Q18" s="75">
        <v>19.0</v>
      </c>
      <c r="R18" s="75">
        <v>20.0</v>
      </c>
      <c r="S18" s="75">
        <v>21.0</v>
      </c>
      <c r="T18" s="75">
        <v>22.0</v>
      </c>
      <c r="U18" s="75">
        <v>23.0</v>
      </c>
      <c r="V18" s="75">
        <v>24.0</v>
      </c>
      <c r="W18" s="75">
        <v>25.0</v>
      </c>
      <c r="X18" s="75">
        <v>26.0</v>
      </c>
      <c r="Y18" s="75">
        <v>27.0</v>
      </c>
      <c r="Z18" s="76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64">
        <f>'100'!E19</f>
        <v>0.002</v>
      </c>
      <c r="F19" s="75">
        <v>1.0</v>
      </c>
      <c r="G19" s="75">
        <v>2.0</v>
      </c>
      <c r="H19" s="75">
        <v>3.0</v>
      </c>
      <c r="I19" s="75">
        <v>4.0</v>
      </c>
      <c r="J19" s="75">
        <v>6.0</v>
      </c>
      <c r="K19" s="75">
        <v>7.0</v>
      </c>
      <c r="L19" s="75">
        <v>9.0</v>
      </c>
      <c r="M19" s="75">
        <v>11.0</v>
      </c>
      <c r="N19" s="75">
        <v>13.0</v>
      </c>
      <c r="O19" s="75">
        <v>14.0</v>
      </c>
      <c r="P19" s="75">
        <v>16.0</v>
      </c>
      <c r="Q19" s="75">
        <v>18.0</v>
      </c>
      <c r="R19" s="75">
        <v>19.0</v>
      </c>
      <c r="S19" s="75">
        <v>20.0</v>
      </c>
      <c r="T19" s="75">
        <v>21.0</v>
      </c>
      <c r="U19" s="75">
        <v>22.0</v>
      </c>
      <c r="V19" s="75">
        <v>23.0</v>
      </c>
      <c r="W19" s="75">
        <v>24.0</v>
      </c>
      <c r="X19" s="75">
        <v>25.0</v>
      </c>
      <c r="Y19" s="75">
        <v>26.0</v>
      </c>
      <c r="Z19" s="76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64">
        <f>'100'!E20</f>
        <v>0.002</v>
      </c>
      <c r="F20" s="75">
        <v>2.0</v>
      </c>
      <c r="G20" s="75">
        <v>3.0</v>
      </c>
      <c r="H20" s="75">
        <v>4.0</v>
      </c>
      <c r="I20" s="75">
        <v>5.0</v>
      </c>
      <c r="J20" s="75">
        <v>6.0</v>
      </c>
      <c r="K20" s="75">
        <v>7.0</v>
      </c>
      <c r="L20" s="75">
        <v>8.0</v>
      </c>
      <c r="M20" s="75">
        <v>9.0</v>
      </c>
      <c r="N20" s="75">
        <v>11.0</v>
      </c>
      <c r="O20" s="75">
        <v>13.0</v>
      </c>
      <c r="P20" s="75">
        <v>14.0</v>
      </c>
      <c r="Q20" s="75">
        <v>16.0</v>
      </c>
      <c r="R20" s="75">
        <v>18.0</v>
      </c>
      <c r="S20" s="75">
        <v>19.0</v>
      </c>
      <c r="T20" s="75">
        <v>20.0</v>
      </c>
      <c r="U20" s="75">
        <v>21.0</v>
      </c>
      <c r="V20" s="75">
        <v>22.0</v>
      </c>
      <c r="W20" s="75">
        <v>23.0</v>
      </c>
      <c r="X20" s="75">
        <v>24.0</v>
      </c>
      <c r="Y20" s="75">
        <v>25.0</v>
      </c>
      <c r="Z20" s="77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64">
        <f>'100'!E21</f>
        <v>0.002</v>
      </c>
      <c r="F21" s="75">
        <v>1.0</v>
      </c>
      <c r="G21" s="75">
        <v>2.0</v>
      </c>
      <c r="H21" s="75">
        <v>3.0</v>
      </c>
      <c r="I21" s="75">
        <v>4.0</v>
      </c>
      <c r="J21" s="75">
        <v>5.0</v>
      </c>
      <c r="K21" s="75">
        <v>6.0</v>
      </c>
      <c r="L21" s="75">
        <v>7.0</v>
      </c>
      <c r="M21" s="75">
        <v>8.0</v>
      </c>
      <c r="N21" s="75">
        <v>9.0</v>
      </c>
      <c r="O21" s="75">
        <v>10.0</v>
      </c>
      <c r="P21" s="75">
        <v>11.0</v>
      </c>
      <c r="Q21" s="75">
        <v>13.0</v>
      </c>
      <c r="R21" s="75">
        <v>14.0</v>
      </c>
      <c r="S21" s="75">
        <v>16.0</v>
      </c>
      <c r="T21" s="75">
        <v>18.0</v>
      </c>
      <c r="U21" s="75">
        <v>19.0</v>
      </c>
      <c r="V21" s="75">
        <v>20.0</v>
      </c>
      <c r="W21" s="75">
        <v>21.0</v>
      </c>
      <c r="X21" s="75">
        <v>22.0</v>
      </c>
      <c r="Y21" s="75">
        <v>23.0</v>
      </c>
      <c r="Z21" s="77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64">
        <f>'100'!E22</f>
        <v>0.002</v>
      </c>
      <c r="F22" s="75">
        <v>1.0</v>
      </c>
      <c r="G22" s="75">
        <v>2.0</v>
      </c>
      <c r="H22" s="75">
        <v>3.0</v>
      </c>
      <c r="I22" s="75">
        <v>4.0</v>
      </c>
      <c r="J22" s="75">
        <v>5.0</v>
      </c>
      <c r="K22" s="75">
        <v>6.0</v>
      </c>
      <c r="L22" s="75">
        <v>7.0</v>
      </c>
      <c r="M22" s="75">
        <v>8.0</v>
      </c>
      <c r="N22" s="75">
        <v>9.0</v>
      </c>
      <c r="O22" s="75">
        <v>10.0</v>
      </c>
      <c r="P22" s="75">
        <v>11.0</v>
      </c>
      <c r="Q22" s="75">
        <v>12.0</v>
      </c>
      <c r="R22" s="75">
        <v>13.0</v>
      </c>
      <c r="S22" s="75">
        <v>14.0</v>
      </c>
      <c r="T22" s="75">
        <v>15.0</v>
      </c>
      <c r="U22" s="75">
        <v>16.0</v>
      </c>
      <c r="V22" s="75">
        <v>18.0</v>
      </c>
      <c r="W22" s="75">
        <v>19.0</v>
      </c>
      <c r="X22" s="75">
        <v>20.0</v>
      </c>
      <c r="Y22" s="75">
        <v>21.0</v>
      </c>
      <c r="Z22" s="77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64">
        <f>'100'!E23</f>
        <v>0.004</v>
      </c>
      <c r="F23" s="75">
        <v>4.0</v>
      </c>
      <c r="G23" s="75">
        <v>6.0</v>
      </c>
      <c r="H23" s="75">
        <v>7.0</v>
      </c>
      <c r="I23" s="75">
        <v>9.0</v>
      </c>
      <c r="J23" s="75">
        <v>11.0</v>
      </c>
      <c r="K23" s="75">
        <v>13.0</v>
      </c>
      <c r="L23" s="75">
        <v>14.0</v>
      </c>
      <c r="M23" s="75">
        <v>16.0</v>
      </c>
      <c r="N23" s="75">
        <v>18.0</v>
      </c>
      <c r="O23" s="75">
        <v>19.0</v>
      </c>
      <c r="P23" s="75">
        <v>20.0</v>
      </c>
      <c r="Q23" s="75">
        <v>21.0</v>
      </c>
      <c r="R23" s="75">
        <v>22.0</v>
      </c>
      <c r="S23" s="75">
        <v>23.0</v>
      </c>
      <c r="T23" s="75">
        <v>24.0</v>
      </c>
      <c r="U23" s="75">
        <v>25.0</v>
      </c>
      <c r="V23" s="75">
        <v>26.0</v>
      </c>
      <c r="W23" s="75">
        <v>27.0</v>
      </c>
      <c r="X23" s="75">
        <v>28.0</v>
      </c>
      <c r="Y23" s="75">
        <v>29.0</v>
      </c>
      <c r="Z23" s="77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64">
        <f>'100'!E24</f>
        <v>0.02</v>
      </c>
      <c r="F24" s="75">
        <v>7.0</v>
      </c>
      <c r="G24" s="75">
        <v>9.0</v>
      </c>
      <c r="H24" s="75">
        <v>11.0</v>
      </c>
      <c r="I24" s="75">
        <v>14.0</v>
      </c>
      <c r="J24" s="75">
        <v>15.0</v>
      </c>
      <c r="K24" s="75">
        <v>16.0</v>
      </c>
      <c r="L24" s="75">
        <v>17.0</v>
      </c>
      <c r="M24" s="75">
        <v>18.0</v>
      </c>
      <c r="N24" s="75">
        <v>19.0</v>
      </c>
      <c r="O24" s="75">
        <v>20.0</v>
      </c>
      <c r="P24" s="75">
        <v>21.0</v>
      </c>
      <c r="Q24" s="75">
        <v>22.0</v>
      </c>
      <c r="R24" s="75">
        <v>23.0</v>
      </c>
      <c r="S24" s="75">
        <v>24.0</v>
      </c>
      <c r="T24" s="75">
        <v>25.0</v>
      </c>
      <c r="U24" s="75">
        <v>26.0</v>
      </c>
      <c r="V24" s="75">
        <v>27.0</v>
      </c>
      <c r="W24" s="75">
        <v>28.0</v>
      </c>
      <c r="X24" s="75">
        <v>29.0</v>
      </c>
      <c r="Y24" s="75">
        <v>30.0</v>
      </c>
      <c r="Z24" s="77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64">
        <f>'100'!E25</f>
        <v>0.03</v>
      </c>
      <c r="F25" s="75">
        <v>3.0</v>
      </c>
      <c r="G25" s="75">
        <v>4.0</v>
      </c>
      <c r="H25" s="75">
        <v>6.0</v>
      </c>
      <c r="I25" s="75">
        <v>7.0</v>
      </c>
      <c r="J25" s="75">
        <v>9.0</v>
      </c>
      <c r="K25" s="75">
        <v>11.0</v>
      </c>
      <c r="L25" s="75">
        <v>13.0</v>
      </c>
      <c r="M25" s="75">
        <v>14.0</v>
      </c>
      <c r="N25" s="75">
        <v>16.0</v>
      </c>
      <c r="O25" s="75">
        <v>18.0</v>
      </c>
      <c r="P25" s="75">
        <v>19.0</v>
      </c>
      <c r="Q25" s="75">
        <v>20.0</v>
      </c>
      <c r="R25" s="75">
        <v>21.0</v>
      </c>
      <c r="S25" s="75">
        <v>22.0</v>
      </c>
      <c r="T25" s="75">
        <v>23.0</v>
      </c>
      <c r="U25" s="75">
        <v>24.0</v>
      </c>
      <c r="V25" s="75">
        <v>25.0</v>
      </c>
      <c r="W25" s="75">
        <v>26.0</v>
      </c>
      <c r="X25" s="75">
        <v>27.0</v>
      </c>
      <c r="Y25" s="75">
        <v>28.0</v>
      </c>
      <c r="Z25" s="77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64">
        <f>'100'!E26</f>
        <v>0.05</v>
      </c>
      <c r="F26" s="75">
        <v>4.0</v>
      </c>
      <c r="G26" s="75">
        <v>6.0</v>
      </c>
      <c r="H26" s="75">
        <v>7.0</v>
      </c>
      <c r="I26" s="75">
        <v>9.0</v>
      </c>
      <c r="J26" s="75">
        <v>11.0</v>
      </c>
      <c r="K26" s="75">
        <v>13.0</v>
      </c>
      <c r="L26" s="75">
        <v>14.0</v>
      </c>
      <c r="M26" s="75">
        <v>16.0</v>
      </c>
      <c r="N26" s="75">
        <v>18.0</v>
      </c>
      <c r="O26" s="75">
        <v>19.0</v>
      </c>
      <c r="P26" s="75">
        <v>20.0</v>
      </c>
      <c r="Q26" s="75">
        <v>21.0</v>
      </c>
      <c r="R26" s="75">
        <v>22.0</v>
      </c>
      <c r="S26" s="75">
        <v>23.0</v>
      </c>
      <c r="T26" s="75">
        <v>24.0</v>
      </c>
      <c r="U26" s="75">
        <v>25.0</v>
      </c>
      <c r="V26" s="75">
        <v>26.0</v>
      </c>
      <c r="W26" s="75">
        <v>27.0</v>
      </c>
      <c r="X26" s="75">
        <v>28.0</v>
      </c>
      <c r="Y26" s="75">
        <v>29.0</v>
      </c>
      <c r="Z26" s="78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64">
        <f>'100'!E27</f>
        <v>0.5</v>
      </c>
      <c r="F27" s="75">
        <v>2.0</v>
      </c>
      <c r="G27" s="75">
        <v>4.0</v>
      </c>
      <c r="H27" s="75">
        <v>6.0</v>
      </c>
      <c r="I27" s="75">
        <v>7.0</v>
      </c>
      <c r="J27" s="75">
        <v>9.0</v>
      </c>
      <c r="K27" s="75">
        <v>11.0</v>
      </c>
      <c r="L27" s="75">
        <v>13.0</v>
      </c>
      <c r="M27" s="75">
        <v>14.0</v>
      </c>
      <c r="N27" s="75">
        <v>16.0</v>
      </c>
      <c r="O27" s="75">
        <v>18.0</v>
      </c>
      <c r="P27" s="75">
        <v>19.0</v>
      </c>
      <c r="Q27" s="75">
        <v>20.0</v>
      </c>
      <c r="R27" s="75">
        <v>21.0</v>
      </c>
      <c r="S27" s="75">
        <v>22.0</v>
      </c>
      <c r="T27" s="75">
        <v>23.0</v>
      </c>
      <c r="U27" s="75">
        <v>24.0</v>
      </c>
      <c r="V27" s="75">
        <v>25.0</v>
      </c>
      <c r="W27" s="75">
        <v>26.0</v>
      </c>
      <c r="X27" s="75">
        <v>27.0</v>
      </c>
      <c r="Y27" s="75">
        <v>28.0</v>
      </c>
      <c r="Z27" s="78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64">
        <f>'100'!E28</f>
        <v>0.002</v>
      </c>
      <c r="F28" s="75">
        <v>4.0</v>
      </c>
      <c r="G28" s="75">
        <v>6.0</v>
      </c>
      <c r="H28" s="75">
        <v>7.0</v>
      </c>
      <c r="I28" s="75">
        <v>9.0</v>
      </c>
      <c r="J28" s="75">
        <v>11.0</v>
      </c>
      <c r="K28" s="75">
        <v>13.0</v>
      </c>
      <c r="L28" s="75">
        <v>14.0</v>
      </c>
      <c r="M28" s="75">
        <v>16.0</v>
      </c>
      <c r="N28" s="75">
        <v>18.0</v>
      </c>
      <c r="O28" s="75">
        <v>19.0</v>
      </c>
      <c r="P28" s="75">
        <v>20.0</v>
      </c>
      <c r="Q28" s="75">
        <v>21.0</v>
      </c>
      <c r="R28" s="75">
        <v>22.0</v>
      </c>
      <c r="S28" s="75">
        <v>23.0</v>
      </c>
      <c r="T28" s="75">
        <v>24.0</v>
      </c>
      <c r="U28" s="75">
        <v>25.0</v>
      </c>
      <c r="V28" s="75">
        <v>26.0</v>
      </c>
      <c r="W28" s="75">
        <v>27.0</v>
      </c>
      <c r="X28" s="75">
        <v>28.0</v>
      </c>
      <c r="Y28" s="75">
        <v>29.0</v>
      </c>
      <c r="Z28" s="78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64">
        <f>'100'!E29</f>
        <v>0.01</v>
      </c>
      <c r="F29" s="75">
        <v>3.0</v>
      </c>
      <c r="G29" s="75">
        <v>4.0</v>
      </c>
      <c r="H29" s="75">
        <v>6.0</v>
      </c>
      <c r="I29" s="75">
        <v>7.0</v>
      </c>
      <c r="J29" s="75">
        <v>9.0</v>
      </c>
      <c r="K29" s="75">
        <v>11.0</v>
      </c>
      <c r="L29" s="75">
        <v>13.0</v>
      </c>
      <c r="M29" s="75">
        <v>14.0</v>
      </c>
      <c r="N29" s="75">
        <v>16.0</v>
      </c>
      <c r="O29" s="75">
        <v>18.0</v>
      </c>
      <c r="P29" s="75">
        <v>19.0</v>
      </c>
      <c r="Q29" s="75">
        <v>20.0</v>
      </c>
      <c r="R29" s="75">
        <v>21.0</v>
      </c>
      <c r="S29" s="75">
        <v>22.0</v>
      </c>
      <c r="T29" s="75">
        <v>23.0</v>
      </c>
      <c r="U29" s="75">
        <v>24.0</v>
      </c>
      <c r="V29" s="75">
        <v>25.0</v>
      </c>
      <c r="W29" s="75">
        <v>26.0</v>
      </c>
      <c r="X29" s="75">
        <v>27.0</v>
      </c>
      <c r="Y29" s="75">
        <v>28.0</v>
      </c>
      <c r="Z29" s="78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64">
        <f>'100'!E30</f>
        <v>0.002</v>
      </c>
      <c r="F30" s="75">
        <v>3.0</v>
      </c>
      <c r="G30" s="75">
        <v>4.0</v>
      </c>
      <c r="H30" s="75">
        <v>6.0</v>
      </c>
      <c r="I30" s="75">
        <v>7.0</v>
      </c>
      <c r="J30" s="75">
        <v>9.0</v>
      </c>
      <c r="K30" s="75">
        <v>11.0</v>
      </c>
      <c r="L30" s="75">
        <v>13.0</v>
      </c>
      <c r="M30" s="75">
        <v>14.0</v>
      </c>
      <c r="N30" s="75">
        <v>16.0</v>
      </c>
      <c r="O30" s="75">
        <v>18.0</v>
      </c>
      <c r="P30" s="75">
        <v>19.0</v>
      </c>
      <c r="Q30" s="75">
        <v>20.0</v>
      </c>
      <c r="R30" s="75">
        <v>21.0</v>
      </c>
      <c r="S30" s="75">
        <v>22.0</v>
      </c>
      <c r="T30" s="75">
        <v>23.0</v>
      </c>
      <c r="U30" s="75">
        <v>24.0</v>
      </c>
      <c r="V30" s="75">
        <v>25.0</v>
      </c>
      <c r="W30" s="75">
        <v>26.0</v>
      </c>
      <c r="X30" s="75">
        <v>27.0</v>
      </c>
      <c r="Y30" s="75">
        <v>28.0</v>
      </c>
      <c r="Z30" s="78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64">
        <f>'100'!E31</f>
        <v>0.1</v>
      </c>
      <c r="F31" s="75">
        <v>4.0</v>
      </c>
      <c r="G31" s="75">
        <v>6.0</v>
      </c>
      <c r="H31" s="75">
        <v>7.0</v>
      </c>
      <c r="I31" s="75">
        <v>9.0</v>
      </c>
      <c r="J31" s="75">
        <v>11.0</v>
      </c>
      <c r="K31" s="75">
        <v>13.0</v>
      </c>
      <c r="L31" s="75">
        <v>14.0</v>
      </c>
      <c r="M31" s="75">
        <v>16.0</v>
      </c>
      <c r="N31" s="75">
        <v>18.0</v>
      </c>
      <c r="O31" s="75">
        <v>19.0</v>
      </c>
      <c r="P31" s="75">
        <v>20.0</v>
      </c>
      <c r="Q31" s="75">
        <v>21.0</v>
      </c>
      <c r="R31" s="75">
        <v>22.0</v>
      </c>
      <c r="S31" s="75">
        <v>23.0</v>
      </c>
      <c r="T31" s="75">
        <v>24.0</v>
      </c>
      <c r="U31" s="75">
        <v>25.0</v>
      </c>
      <c r="V31" s="75">
        <v>26.0</v>
      </c>
      <c r="W31" s="75">
        <v>27.0</v>
      </c>
      <c r="X31" s="75">
        <v>28.0</v>
      </c>
      <c r="Y31" s="75">
        <v>29.0</v>
      </c>
      <c r="Z31" s="78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64">
        <f>'100'!E32</f>
        <v>0.002</v>
      </c>
      <c r="F32" s="75">
        <v>1.0</v>
      </c>
      <c r="G32" s="75">
        <v>2.0</v>
      </c>
      <c r="H32" s="75">
        <v>3.0</v>
      </c>
      <c r="I32" s="75">
        <v>4.0</v>
      </c>
      <c r="J32" s="75">
        <v>5.0</v>
      </c>
      <c r="K32" s="75">
        <v>6.0</v>
      </c>
      <c r="L32" s="75">
        <v>7.0</v>
      </c>
      <c r="M32" s="75">
        <v>8.0</v>
      </c>
      <c r="N32" s="75">
        <v>9.0</v>
      </c>
      <c r="O32" s="75">
        <v>10.0</v>
      </c>
      <c r="P32" s="75">
        <v>11.0</v>
      </c>
      <c r="Q32" s="75">
        <v>12.0</v>
      </c>
      <c r="R32" s="75">
        <v>13.0</v>
      </c>
      <c r="S32" s="75">
        <v>14.0</v>
      </c>
      <c r="T32" s="75">
        <v>15.0</v>
      </c>
      <c r="U32" s="75">
        <v>16.0</v>
      </c>
      <c r="V32" s="75">
        <v>17.0</v>
      </c>
      <c r="W32" s="75">
        <v>18.0</v>
      </c>
      <c r="X32" s="75">
        <v>19.0</v>
      </c>
      <c r="Y32" s="75">
        <v>20.0</v>
      </c>
      <c r="Z32" s="78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64">
        <f>'100'!E33</f>
        <v>0.02</v>
      </c>
      <c r="F33" s="75">
        <v>4.0</v>
      </c>
      <c r="G33" s="75">
        <v>6.0</v>
      </c>
      <c r="H33" s="75">
        <v>7.0</v>
      </c>
      <c r="I33" s="75">
        <v>9.0</v>
      </c>
      <c r="J33" s="75">
        <v>11.0</v>
      </c>
      <c r="K33" s="75">
        <v>13.0</v>
      </c>
      <c r="L33" s="75">
        <v>14.0</v>
      </c>
      <c r="M33" s="75">
        <v>16.0</v>
      </c>
      <c r="N33" s="75">
        <v>18.0</v>
      </c>
      <c r="O33" s="75">
        <v>19.0</v>
      </c>
      <c r="P33" s="75">
        <v>20.0</v>
      </c>
      <c r="Q33" s="75">
        <v>21.0</v>
      </c>
      <c r="R33" s="75">
        <v>22.0</v>
      </c>
      <c r="S33" s="75">
        <v>23.0</v>
      </c>
      <c r="T33" s="75">
        <v>24.0</v>
      </c>
      <c r="U33" s="75">
        <v>25.0</v>
      </c>
      <c r="V33" s="75">
        <v>26.0</v>
      </c>
      <c r="W33" s="75">
        <v>27.0</v>
      </c>
      <c r="X33" s="75">
        <v>28.0</v>
      </c>
      <c r="Y33" s="75">
        <v>29.0</v>
      </c>
      <c r="Z33" s="78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64">
        <f>'100'!E34</f>
        <v>0.02</v>
      </c>
      <c r="F34" s="75">
        <v>3.0</v>
      </c>
      <c r="G34" s="75">
        <v>4.0</v>
      </c>
      <c r="H34" s="75">
        <v>6.0</v>
      </c>
      <c r="I34" s="75">
        <v>7.0</v>
      </c>
      <c r="J34" s="75">
        <v>9.0</v>
      </c>
      <c r="K34" s="75">
        <v>11.0</v>
      </c>
      <c r="L34" s="75">
        <v>14.0</v>
      </c>
      <c r="M34" s="75">
        <v>16.0</v>
      </c>
      <c r="N34" s="75">
        <v>18.0</v>
      </c>
      <c r="O34" s="75">
        <v>19.0</v>
      </c>
      <c r="P34" s="75">
        <v>20.0</v>
      </c>
      <c r="Q34" s="75">
        <v>21.0</v>
      </c>
      <c r="R34" s="75">
        <v>22.0</v>
      </c>
      <c r="S34" s="75">
        <v>23.0</v>
      </c>
      <c r="T34" s="75">
        <v>24.0</v>
      </c>
      <c r="U34" s="75">
        <v>25.0</v>
      </c>
      <c r="V34" s="75">
        <v>26.0</v>
      </c>
      <c r="W34" s="75">
        <v>27.0</v>
      </c>
      <c r="X34" s="75">
        <v>28.0</v>
      </c>
      <c r="Y34" s="75">
        <v>29.0</v>
      </c>
      <c r="Z34" s="78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64">
        <f>'100'!E35</f>
        <v>0.002</v>
      </c>
      <c r="F35" s="75">
        <v>7.0</v>
      </c>
      <c r="G35" s="75">
        <v>9.0</v>
      </c>
      <c r="H35" s="75">
        <v>11.0</v>
      </c>
      <c r="I35" s="75">
        <v>14.0</v>
      </c>
      <c r="J35" s="75">
        <v>15.0</v>
      </c>
      <c r="K35" s="75">
        <v>16.0</v>
      </c>
      <c r="L35" s="75">
        <v>17.0</v>
      </c>
      <c r="M35" s="75">
        <v>18.0</v>
      </c>
      <c r="N35" s="75">
        <v>19.0</v>
      </c>
      <c r="O35" s="75">
        <v>20.0</v>
      </c>
      <c r="P35" s="75">
        <v>21.0</v>
      </c>
      <c r="Q35" s="75">
        <v>22.0</v>
      </c>
      <c r="R35" s="75">
        <v>23.0</v>
      </c>
      <c r="S35" s="75">
        <v>24.0</v>
      </c>
      <c r="T35" s="75">
        <v>25.0</v>
      </c>
      <c r="U35" s="75">
        <v>26.0</v>
      </c>
      <c r="V35" s="75">
        <v>27.0</v>
      </c>
      <c r="W35" s="75">
        <v>28.0</v>
      </c>
      <c r="X35" s="75">
        <v>29.0</v>
      </c>
      <c r="Y35" s="75">
        <v>30.0</v>
      </c>
      <c r="Z35" s="78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64">
        <f>'100'!E36</f>
        <v>0.002</v>
      </c>
      <c r="F36" s="75">
        <v>2.0</v>
      </c>
      <c r="G36" s="75">
        <v>3.0</v>
      </c>
      <c r="H36" s="75">
        <v>4.0</v>
      </c>
      <c r="I36" s="75">
        <v>5.0</v>
      </c>
      <c r="J36" s="75">
        <v>6.0</v>
      </c>
      <c r="K36" s="75">
        <v>7.0</v>
      </c>
      <c r="L36" s="75">
        <v>8.0</v>
      </c>
      <c r="M36" s="75">
        <v>9.0</v>
      </c>
      <c r="N36" s="75">
        <v>11.0</v>
      </c>
      <c r="O36" s="75">
        <v>13.0</v>
      </c>
      <c r="P36" s="75">
        <v>14.0</v>
      </c>
      <c r="Q36" s="75">
        <v>16.0</v>
      </c>
      <c r="R36" s="75">
        <v>18.0</v>
      </c>
      <c r="S36" s="75">
        <v>19.0</v>
      </c>
      <c r="T36" s="75">
        <v>20.0</v>
      </c>
      <c r="U36" s="75">
        <v>21.0</v>
      </c>
      <c r="V36" s="75">
        <v>22.0</v>
      </c>
      <c r="W36" s="75">
        <v>23.0</v>
      </c>
      <c r="X36" s="75">
        <v>24.0</v>
      </c>
      <c r="Y36" s="75">
        <v>25.0</v>
      </c>
      <c r="Z36" s="78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64">
        <f>'100'!E37</f>
        <v>0.002</v>
      </c>
      <c r="F37" s="75">
        <v>3.0</v>
      </c>
      <c r="G37" s="75">
        <v>4.0</v>
      </c>
      <c r="H37" s="75">
        <v>5.0</v>
      </c>
      <c r="I37" s="75">
        <v>6.0</v>
      </c>
      <c r="J37" s="75">
        <v>7.0</v>
      </c>
      <c r="K37" s="75">
        <v>8.0</v>
      </c>
      <c r="L37" s="75">
        <v>9.0</v>
      </c>
      <c r="M37" s="75">
        <v>11.0</v>
      </c>
      <c r="N37" s="75">
        <v>13.0</v>
      </c>
      <c r="O37" s="75">
        <v>14.0</v>
      </c>
      <c r="P37" s="75">
        <v>16.0</v>
      </c>
      <c r="Q37" s="75">
        <v>18.0</v>
      </c>
      <c r="R37" s="75">
        <v>19.0</v>
      </c>
      <c r="S37" s="75">
        <v>20.0</v>
      </c>
      <c r="T37" s="75">
        <v>21.0</v>
      </c>
      <c r="U37" s="75">
        <v>22.0</v>
      </c>
      <c r="V37" s="75">
        <v>23.0</v>
      </c>
      <c r="W37" s="75">
        <v>24.0</v>
      </c>
      <c r="X37" s="75">
        <v>25.0</v>
      </c>
      <c r="Y37" s="75">
        <v>26.0</v>
      </c>
      <c r="Z37" s="78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64">
        <f>'100'!E38</f>
        <v>0.002</v>
      </c>
      <c r="F38" s="75">
        <v>1.0</v>
      </c>
      <c r="G38" s="75">
        <v>2.0</v>
      </c>
      <c r="H38" s="75">
        <v>3.0</v>
      </c>
      <c r="I38" s="75">
        <v>4.0</v>
      </c>
      <c r="J38" s="75">
        <v>5.0</v>
      </c>
      <c r="K38" s="75">
        <v>6.0</v>
      </c>
      <c r="L38" s="75">
        <v>7.0</v>
      </c>
      <c r="M38" s="75">
        <v>8.0</v>
      </c>
      <c r="N38" s="75">
        <v>9.0</v>
      </c>
      <c r="O38" s="75">
        <v>10.0</v>
      </c>
      <c r="P38" s="75">
        <v>11.0</v>
      </c>
      <c r="Q38" s="75">
        <v>12.0</v>
      </c>
      <c r="R38" s="75">
        <v>13.0</v>
      </c>
      <c r="S38" s="75">
        <v>14.0</v>
      </c>
      <c r="T38" s="75">
        <v>15.0</v>
      </c>
      <c r="U38" s="75">
        <v>16.0</v>
      </c>
      <c r="V38" s="75">
        <v>17.0</v>
      </c>
      <c r="W38" s="75">
        <v>18.0</v>
      </c>
      <c r="X38" s="75">
        <v>19.0</v>
      </c>
      <c r="Y38" s="75">
        <v>20.0</v>
      </c>
      <c r="Z38" s="78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64">
        <f>'100'!E39</f>
        <v>0.002</v>
      </c>
      <c r="F39" s="75">
        <v>7.0</v>
      </c>
      <c r="G39" s="75">
        <v>9.0</v>
      </c>
      <c r="H39" s="75">
        <v>11.0</v>
      </c>
      <c r="I39" s="75">
        <v>14.0</v>
      </c>
      <c r="J39" s="75">
        <v>15.0</v>
      </c>
      <c r="K39" s="75">
        <v>16.0</v>
      </c>
      <c r="L39" s="75">
        <v>17.0</v>
      </c>
      <c r="M39" s="75">
        <v>18.0</v>
      </c>
      <c r="N39" s="75">
        <v>19.0</v>
      </c>
      <c r="O39" s="75">
        <v>20.0</v>
      </c>
      <c r="P39" s="75">
        <v>21.0</v>
      </c>
      <c r="Q39" s="75">
        <v>22.0</v>
      </c>
      <c r="R39" s="75">
        <v>23.0</v>
      </c>
      <c r="S39" s="75">
        <v>24.0</v>
      </c>
      <c r="T39" s="75">
        <v>25.0</v>
      </c>
      <c r="U39" s="75">
        <v>26.0</v>
      </c>
      <c r="V39" s="75">
        <v>27.0</v>
      </c>
      <c r="W39" s="75">
        <v>28.0</v>
      </c>
      <c r="X39" s="75">
        <v>29.0</v>
      </c>
      <c r="Y39" s="75">
        <v>30.0</v>
      </c>
      <c r="Z39" s="78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64">
        <f>'100'!E40</f>
        <v>0.002</v>
      </c>
      <c r="F40" s="75">
        <v>1.0</v>
      </c>
      <c r="G40" s="75">
        <v>2.0</v>
      </c>
      <c r="H40" s="75">
        <v>3.0</v>
      </c>
      <c r="I40" s="75">
        <v>4.0</v>
      </c>
      <c r="J40" s="75">
        <v>5.0</v>
      </c>
      <c r="K40" s="75">
        <v>6.0</v>
      </c>
      <c r="L40" s="75">
        <v>7.0</v>
      </c>
      <c r="M40" s="75">
        <v>8.0</v>
      </c>
      <c r="N40" s="75">
        <v>9.0</v>
      </c>
      <c r="O40" s="75">
        <v>10.0</v>
      </c>
      <c r="P40" s="75">
        <v>11.0</v>
      </c>
      <c r="Q40" s="75">
        <v>12.0</v>
      </c>
      <c r="R40" s="75">
        <v>13.0</v>
      </c>
      <c r="S40" s="75">
        <v>14.0</v>
      </c>
      <c r="T40" s="75">
        <v>15.0</v>
      </c>
      <c r="U40" s="75">
        <v>16.0</v>
      </c>
      <c r="V40" s="75">
        <v>17.0</v>
      </c>
      <c r="W40" s="75">
        <v>18.0</v>
      </c>
      <c r="X40" s="75">
        <v>19.0</v>
      </c>
      <c r="Y40" s="75">
        <v>20.0</v>
      </c>
      <c r="Z40" s="78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64">
        <f>'100'!E41</f>
        <v>0.002</v>
      </c>
      <c r="F41" s="75">
        <v>1.0</v>
      </c>
      <c r="G41" s="75">
        <v>2.0</v>
      </c>
      <c r="H41" s="75">
        <v>3.0</v>
      </c>
      <c r="I41" s="75">
        <v>4.0</v>
      </c>
      <c r="J41" s="75">
        <v>5.0</v>
      </c>
      <c r="K41" s="75">
        <v>6.0</v>
      </c>
      <c r="L41" s="75">
        <v>7.0</v>
      </c>
      <c r="M41" s="75">
        <v>8.0</v>
      </c>
      <c r="N41" s="75">
        <v>9.0</v>
      </c>
      <c r="O41" s="75">
        <v>10.0</v>
      </c>
      <c r="P41" s="75">
        <v>11.0</v>
      </c>
      <c r="Q41" s="75">
        <v>12.0</v>
      </c>
      <c r="R41" s="75">
        <v>13.0</v>
      </c>
      <c r="S41" s="75">
        <v>14.0</v>
      </c>
      <c r="T41" s="75">
        <v>15.0</v>
      </c>
      <c r="U41" s="75">
        <v>16.0</v>
      </c>
      <c r="V41" s="75">
        <v>17.0</v>
      </c>
      <c r="W41" s="75">
        <v>18.0</v>
      </c>
      <c r="X41" s="75">
        <v>19.0</v>
      </c>
      <c r="Y41" s="75">
        <v>20.0</v>
      </c>
      <c r="Z41" s="78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64">
        <f>'100'!E42</f>
        <v>0.002</v>
      </c>
      <c r="F42" s="75">
        <v>1.0</v>
      </c>
      <c r="G42" s="75">
        <v>2.0</v>
      </c>
      <c r="H42" s="75">
        <v>3.0</v>
      </c>
      <c r="I42" s="75">
        <v>4.0</v>
      </c>
      <c r="J42" s="75">
        <v>5.0</v>
      </c>
      <c r="K42" s="75">
        <v>6.0</v>
      </c>
      <c r="L42" s="75">
        <v>7.0</v>
      </c>
      <c r="M42" s="75">
        <v>8.0</v>
      </c>
      <c r="N42" s="75">
        <v>9.0</v>
      </c>
      <c r="O42" s="75">
        <v>10.0</v>
      </c>
      <c r="P42" s="75">
        <v>11.0</v>
      </c>
      <c r="Q42" s="75">
        <v>13.0</v>
      </c>
      <c r="R42" s="75">
        <v>14.0</v>
      </c>
      <c r="S42" s="75">
        <v>16.0</v>
      </c>
      <c r="T42" s="75">
        <v>17.0</v>
      </c>
      <c r="U42" s="75">
        <v>18.0</v>
      </c>
      <c r="V42" s="75">
        <v>19.0</v>
      </c>
      <c r="W42" s="75">
        <v>20.0</v>
      </c>
      <c r="X42" s="75">
        <v>21.0</v>
      </c>
      <c r="Y42" s="75">
        <v>22.0</v>
      </c>
      <c r="Z42" s="78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64">
        <f>'100'!E43</f>
        <v>0.002</v>
      </c>
      <c r="F43" s="75">
        <v>1.0</v>
      </c>
      <c r="G43" s="75">
        <v>2.0</v>
      </c>
      <c r="H43" s="75">
        <v>3.0</v>
      </c>
      <c r="I43" s="75">
        <v>4.0</v>
      </c>
      <c r="J43" s="75">
        <v>5.0</v>
      </c>
      <c r="K43" s="75">
        <v>6.0</v>
      </c>
      <c r="L43" s="75">
        <v>7.0</v>
      </c>
      <c r="M43" s="75">
        <v>8.0</v>
      </c>
      <c r="N43" s="75">
        <v>9.0</v>
      </c>
      <c r="O43" s="75">
        <v>10.0</v>
      </c>
      <c r="P43" s="75">
        <v>11.0</v>
      </c>
      <c r="Q43" s="75">
        <v>13.0</v>
      </c>
      <c r="R43" s="75">
        <v>14.0</v>
      </c>
      <c r="S43" s="75">
        <v>16.0</v>
      </c>
      <c r="T43" s="75">
        <v>17.0</v>
      </c>
      <c r="U43" s="75">
        <v>18.0</v>
      </c>
      <c r="V43" s="75">
        <v>19.0</v>
      </c>
      <c r="W43" s="75">
        <v>20.0</v>
      </c>
      <c r="X43" s="75">
        <v>21.0</v>
      </c>
      <c r="Y43" s="75">
        <v>22.0</v>
      </c>
      <c r="Z43" s="78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64">
        <f>'100'!E44</f>
        <v>0.002</v>
      </c>
      <c r="F44" s="75">
        <v>1.0</v>
      </c>
      <c r="G44" s="75">
        <v>2.0</v>
      </c>
      <c r="H44" s="75">
        <v>3.0</v>
      </c>
      <c r="I44" s="75">
        <v>4.0</v>
      </c>
      <c r="J44" s="75">
        <v>5.0</v>
      </c>
      <c r="K44" s="75">
        <v>6.0</v>
      </c>
      <c r="L44" s="75">
        <v>7.0</v>
      </c>
      <c r="M44" s="75">
        <v>8.0</v>
      </c>
      <c r="N44" s="75">
        <v>9.0</v>
      </c>
      <c r="O44" s="75">
        <v>10.0</v>
      </c>
      <c r="P44" s="75">
        <v>11.0</v>
      </c>
      <c r="Q44" s="75">
        <v>12.0</v>
      </c>
      <c r="R44" s="75">
        <v>13.0</v>
      </c>
      <c r="S44" s="75">
        <v>14.0</v>
      </c>
      <c r="T44" s="75">
        <v>15.0</v>
      </c>
      <c r="U44" s="75">
        <v>16.0</v>
      </c>
      <c r="V44" s="75">
        <v>18.0</v>
      </c>
      <c r="W44" s="75">
        <v>19.0</v>
      </c>
      <c r="X44" s="75">
        <v>20.0</v>
      </c>
      <c r="Y44" s="75">
        <v>21.0</v>
      </c>
      <c r="Z44" s="78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64">
        <f>'100'!E45</f>
        <v>0.1</v>
      </c>
      <c r="F45" s="75">
        <v>4.0</v>
      </c>
      <c r="G45" s="75">
        <v>6.0</v>
      </c>
      <c r="H45" s="75">
        <v>7.0</v>
      </c>
      <c r="I45" s="75">
        <v>9.0</v>
      </c>
      <c r="J45" s="75">
        <v>11.0</v>
      </c>
      <c r="K45" s="75">
        <v>13.0</v>
      </c>
      <c r="L45" s="75">
        <v>14.0</v>
      </c>
      <c r="M45" s="75">
        <v>16.0</v>
      </c>
      <c r="N45" s="75">
        <v>18.0</v>
      </c>
      <c r="O45" s="75">
        <v>19.0</v>
      </c>
      <c r="P45" s="75">
        <v>20.0</v>
      </c>
      <c r="Q45" s="75">
        <v>21.0</v>
      </c>
      <c r="R45" s="75">
        <v>22.0</v>
      </c>
      <c r="S45" s="75">
        <v>23.0</v>
      </c>
      <c r="T45" s="75">
        <v>24.0</v>
      </c>
      <c r="U45" s="75">
        <v>25.0</v>
      </c>
      <c r="V45" s="75">
        <v>26.0</v>
      </c>
      <c r="W45" s="75">
        <v>27.0</v>
      </c>
      <c r="X45" s="75">
        <v>28.0</v>
      </c>
      <c r="Y45" s="75">
        <v>29.0</v>
      </c>
      <c r="Z45" s="78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64">
        <f>'100'!E46</f>
        <v>0.5</v>
      </c>
      <c r="F46" s="75">
        <v>4.0</v>
      </c>
      <c r="G46" s="75">
        <v>6.0</v>
      </c>
      <c r="H46" s="75">
        <v>7.0</v>
      </c>
      <c r="I46" s="75">
        <v>9.0</v>
      </c>
      <c r="J46" s="75">
        <v>11.0</v>
      </c>
      <c r="K46" s="75">
        <v>13.0</v>
      </c>
      <c r="L46" s="75">
        <v>14.0</v>
      </c>
      <c r="M46" s="75">
        <v>16.0</v>
      </c>
      <c r="N46" s="75">
        <v>18.0</v>
      </c>
      <c r="O46" s="75">
        <v>19.0</v>
      </c>
      <c r="P46" s="75">
        <v>20.0</v>
      </c>
      <c r="Q46" s="75">
        <v>21.0</v>
      </c>
      <c r="R46" s="75">
        <v>22.0</v>
      </c>
      <c r="S46" s="75">
        <v>23.0</v>
      </c>
      <c r="T46" s="75">
        <v>24.0</v>
      </c>
      <c r="U46" s="75">
        <v>25.0</v>
      </c>
      <c r="V46" s="75">
        <v>26.0</v>
      </c>
      <c r="W46" s="75">
        <v>27.0</v>
      </c>
      <c r="X46" s="75">
        <v>28.0</v>
      </c>
      <c r="Y46" s="75">
        <v>29.0</v>
      </c>
      <c r="Z46" s="78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64">
        <f>'100'!E47</f>
        <v>0.01</v>
      </c>
      <c r="F47" s="75">
        <v>4.0</v>
      </c>
      <c r="G47" s="75">
        <v>6.0</v>
      </c>
      <c r="H47" s="75">
        <v>7.0</v>
      </c>
      <c r="I47" s="75">
        <v>9.0</v>
      </c>
      <c r="J47" s="75">
        <v>11.0</v>
      </c>
      <c r="K47" s="75">
        <v>13.0</v>
      </c>
      <c r="L47" s="75">
        <v>14.0</v>
      </c>
      <c r="M47" s="75">
        <v>16.0</v>
      </c>
      <c r="N47" s="75">
        <v>18.0</v>
      </c>
      <c r="O47" s="75">
        <v>19.0</v>
      </c>
      <c r="P47" s="75">
        <v>20.0</v>
      </c>
      <c r="Q47" s="75">
        <v>21.0</v>
      </c>
      <c r="R47" s="75">
        <v>22.0</v>
      </c>
      <c r="S47" s="75">
        <v>23.0</v>
      </c>
      <c r="T47" s="75">
        <v>24.0</v>
      </c>
      <c r="U47" s="75">
        <v>25.0</v>
      </c>
      <c r="V47" s="75">
        <v>26.0</v>
      </c>
      <c r="W47" s="75">
        <v>27.0</v>
      </c>
      <c r="X47" s="75">
        <v>28.0</v>
      </c>
      <c r="Y47" s="75">
        <v>29.0</v>
      </c>
      <c r="Z47" s="78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64">
        <f>'100'!E48</f>
        <v>1</v>
      </c>
      <c r="F48" s="75">
        <v>1.0</v>
      </c>
      <c r="G48" s="75">
        <v>2.0</v>
      </c>
      <c r="H48" s="75">
        <v>3.0</v>
      </c>
      <c r="I48" s="75">
        <v>4.0</v>
      </c>
      <c r="J48" s="75">
        <v>5.0</v>
      </c>
      <c r="K48" s="75">
        <v>6.0</v>
      </c>
      <c r="L48" s="75">
        <v>7.0</v>
      </c>
      <c r="M48" s="75">
        <v>8.0</v>
      </c>
      <c r="N48" s="75">
        <v>9.0</v>
      </c>
      <c r="O48" s="75">
        <v>10.0</v>
      </c>
      <c r="P48" s="75">
        <v>11.0</v>
      </c>
      <c r="Q48" s="75">
        <v>13.0</v>
      </c>
      <c r="R48" s="75">
        <v>14.0</v>
      </c>
      <c r="S48" s="75">
        <v>16.0</v>
      </c>
      <c r="T48" s="75">
        <v>17.0</v>
      </c>
      <c r="U48" s="75">
        <v>18.0</v>
      </c>
      <c r="V48" s="75">
        <v>19.0</v>
      </c>
      <c r="W48" s="75">
        <v>20.0</v>
      </c>
      <c r="X48" s="75">
        <v>21.0</v>
      </c>
      <c r="Y48" s="75">
        <v>22.0</v>
      </c>
      <c r="Z48" s="53"/>
    </row>
    <row r="49" ht="16.5" customHeight="1">
      <c r="A49" s="48" t="str">
        <f>'試算-SLOT'!A49</f>
        <v>DZD</v>
      </c>
      <c r="B49" s="48" t="str">
        <f>'試算-SLOT'!B49</f>
        <v>دج</v>
      </c>
      <c r="C49" s="48" t="str">
        <f>'試算-SLOT'!C49</f>
        <v>阿爾及利亞第納爾</v>
      </c>
      <c r="D49" s="48" t="str">
        <f>IF('試算-SLOT'!D49=1,"",'試算-SLOT'!D49)</f>
        <v/>
      </c>
      <c r="E49" s="49">
        <f>'試算-SLOT'!G49</f>
        <v>0.002</v>
      </c>
      <c r="F49" s="75">
        <v>7.0</v>
      </c>
      <c r="G49" s="75">
        <v>9.0</v>
      </c>
      <c r="H49" s="75">
        <v>11.0</v>
      </c>
      <c r="I49" s="75">
        <v>14.0</v>
      </c>
      <c r="J49" s="75">
        <v>15.0</v>
      </c>
      <c r="K49" s="75">
        <v>16.0</v>
      </c>
      <c r="L49" s="75">
        <v>17.0</v>
      </c>
      <c r="M49" s="75">
        <v>18.0</v>
      </c>
      <c r="N49" s="75">
        <v>19.0</v>
      </c>
      <c r="O49" s="75">
        <v>20.0</v>
      </c>
      <c r="P49" s="75">
        <v>21.0</v>
      </c>
      <c r="Q49" s="75">
        <v>22.0</v>
      </c>
      <c r="R49" s="75">
        <v>23.0</v>
      </c>
      <c r="S49" s="75">
        <v>24.0</v>
      </c>
      <c r="T49" s="75">
        <v>25.0</v>
      </c>
      <c r="U49" s="75">
        <v>26.0</v>
      </c>
      <c r="V49" s="75">
        <v>27.0</v>
      </c>
      <c r="W49" s="75">
        <v>28.0</v>
      </c>
      <c r="X49" s="75">
        <v>29.0</v>
      </c>
      <c r="Y49" s="75">
        <v>30.0</v>
      </c>
      <c r="Z49" s="53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49">
        <f>'試算-SLOT'!G50</f>
        <v>0.002</v>
      </c>
      <c r="F50" s="75">
        <v>1.0</v>
      </c>
      <c r="G50" s="75">
        <v>2.0</v>
      </c>
      <c r="H50" s="75">
        <v>3.0</v>
      </c>
      <c r="I50" s="75">
        <v>4.0</v>
      </c>
      <c r="J50" s="75">
        <v>5.0</v>
      </c>
      <c r="K50" s="75">
        <v>6.0</v>
      </c>
      <c r="L50" s="75">
        <v>7.0</v>
      </c>
      <c r="M50" s="75">
        <v>8.0</v>
      </c>
      <c r="N50" s="75">
        <v>9.0</v>
      </c>
      <c r="O50" s="75">
        <v>11.0</v>
      </c>
      <c r="P50" s="75">
        <v>13.0</v>
      </c>
      <c r="Q50" s="75">
        <v>14.0</v>
      </c>
      <c r="R50" s="75">
        <v>16.0</v>
      </c>
      <c r="S50" s="75">
        <v>18.0</v>
      </c>
      <c r="T50" s="75">
        <v>19.0</v>
      </c>
      <c r="U50" s="75">
        <v>20.0</v>
      </c>
      <c r="V50" s="75">
        <v>21.0</v>
      </c>
      <c r="W50" s="75">
        <v>22.0</v>
      </c>
      <c r="X50" s="75">
        <v>23.0</v>
      </c>
      <c r="Y50" s="75">
        <v>24.0</v>
      </c>
      <c r="Z50" s="53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49">
        <f>'試算-SLOT'!G51</f>
        <v>0.002</v>
      </c>
      <c r="F51" s="75">
        <v>1.0</v>
      </c>
      <c r="G51" s="75">
        <v>2.0</v>
      </c>
      <c r="H51" s="75">
        <v>3.0</v>
      </c>
      <c r="I51" s="75">
        <v>4.0</v>
      </c>
      <c r="J51" s="75">
        <v>5.0</v>
      </c>
      <c r="K51" s="75">
        <v>6.0</v>
      </c>
      <c r="L51" s="75">
        <v>7.0</v>
      </c>
      <c r="M51" s="75">
        <v>8.0</v>
      </c>
      <c r="N51" s="75">
        <v>9.0</v>
      </c>
      <c r="O51" s="75">
        <v>11.0</v>
      </c>
      <c r="P51" s="75">
        <v>13.0</v>
      </c>
      <c r="Q51" s="75">
        <v>14.0</v>
      </c>
      <c r="R51" s="75">
        <v>16.0</v>
      </c>
      <c r="S51" s="75">
        <v>18.0</v>
      </c>
      <c r="T51" s="75">
        <v>19.0</v>
      </c>
      <c r="U51" s="75">
        <v>20.0</v>
      </c>
      <c r="V51" s="75">
        <v>21.0</v>
      </c>
      <c r="W51" s="75">
        <v>22.0</v>
      </c>
      <c r="X51" s="75">
        <v>23.0</v>
      </c>
      <c r="Y51" s="75">
        <v>24.0</v>
      </c>
      <c r="Z51" s="53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49">
        <f>'試算-SLOT'!G52</f>
        <v>0.002</v>
      </c>
      <c r="F52" s="75">
        <v>2.0</v>
      </c>
      <c r="G52" s="75">
        <v>3.0</v>
      </c>
      <c r="H52" s="75">
        <v>4.0</v>
      </c>
      <c r="I52" s="75">
        <v>5.0</v>
      </c>
      <c r="J52" s="75">
        <v>6.0</v>
      </c>
      <c r="K52" s="75">
        <v>7.0</v>
      </c>
      <c r="L52" s="75">
        <v>8.0</v>
      </c>
      <c r="M52" s="75">
        <v>9.0</v>
      </c>
      <c r="N52" s="75">
        <v>11.0</v>
      </c>
      <c r="O52" s="75">
        <v>13.0</v>
      </c>
      <c r="P52" s="75">
        <v>14.0</v>
      </c>
      <c r="Q52" s="75">
        <v>16.0</v>
      </c>
      <c r="R52" s="75">
        <v>18.0</v>
      </c>
      <c r="S52" s="75">
        <v>19.0</v>
      </c>
      <c r="T52" s="75">
        <v>20.0</v>
      </c>
      <c r="U52" s="75">
        <v>21.0</v>
      </c>
      <c r="V52" s="75">
        <v>22.0</v>
      </c>
      <c r="W52" s="75">
        <v>23.0</v>
      </c>
      <c r="X52" s="75">
        <v>24.0</v>
      </c>
      <c r="Y52" s="75">
        <v>25.0</v>
      </c>
      <c r="Z52" s="53"/>
    </row>
    <row r="53" ht="16.5" customHeight="1">
      <c r="A53" s="48" t="str">
        <f>'試算-SLOT'!A53</f>
        <v>RCC</v>
      </c>
      <c r="B53" s="48" t="str">
        <f>'試算-SLOT'!B53</f>
        <v/>
      </c>
      <c r="C53" s="48" t="str">
        <f>'試算-SLOT'!C53</f>
        <v>RCC幣</v>
      </c>
      <c r="D53" s="48" t="str">
        <f>IF('試算-SLOT'!D53=1,"",'試算-SLOT'!D53)</f>
        <v/>
      </c>
      <c r="E53" s="64">
        <f>'100'!E53</f>
        <v>0.002</v>
      </c>
      <c r="F53" s="75">
        <v>1.0</v>
      </c>
      <c r="G53" s="75">
        <v>2.0</v>
      </c>
      <c r="H53" s="75">
        <v>3.0</v>
      </c>
      <c r="I53" s="75">
        <v>4.0</v>
      </c>
      <c r="J53" s="75">
        <v>5.0</v>
      </c>
      <c r="K53" s="75">
        <v>6.0</v>
      </c>
      <c r="L53" s="75">
        <v>7.0</v>
      </c>
      <c r="M53" s="75">
        <v>8.0</v>
      </c>
      <c r="N53" s="75">
        <v>9.0</v>
      </c>
      <c r="O53" s="75">
        <v>10.0</v>
      </c>
      <c r="P53" s="75">
        <v>11.0</v>
      </c>
      <c r="Q53" s="75">
        <v>12.0</v>
      </c>
      <c r="R53" s="75">
        <v>13.0</v>
      </c>
      <c r="S53" s="75">
        <v>14.0</v>
      </c>
      <c r="T53" s="75">
        <v>15.0</v>
      </c>
      <c r="U53" s="75">
        <v>16.0</v>
      </c>
      <c r="V53" s="75">
        <v>17.0</v>
      </c>
      <c r="W53" s="75">
        <v>18.0</v>
      </c>
      <c r="X53" s="75">
        <v>19.0</v>
      </c>
      <c r="Y53" s="75">
        <v>20.0</v>
      </c>
      <c r="Z53" s="53"/>
    </row>
    <row r="54" ht="16.5" customHeight="1">
      <c r="A54" s="48" t="str">
        <f>'試算-SLOT'!A54</f>
        <v>KBB</v>
      </c>
      <c r="B54" s="48" t="str">
        <f>'試算-SLOT'!B54</f>
        <v/>
      </c>
      <c r="C54" s="48" t="str">
        <f>'試算-SLOT'!C54</f>
        <v>爸幣</v>
      </c>
      <c r="D54" s="48" t="str">
        <f>IF('試算-SLOT'!D54=1,"",'試算-SLOT'!D54)</f>
        <v/>
      </c>
      <c r="E54" s="64">
        <f>'100'!E54</f>
        <v>0.01</v>
      </c>
      <c r="F54" s="75">
        <v>3.0</v>
      </c>
      <c r="G54" s="75">
        <v>4.0</v>
      </c>
      <c r="H54" s="75">
        <v>6.0</v>
      </c>
      <c r="I54" s="75">
        <v>7.0</v>
      </c>
      <c r="J54" s="75">
        <v>8.0</v>
      </c>
      <c r="K54" s="75">
        <v>9.0</v>
      </c>
      <c r="L54" s="75">
        <v>11.0</v>
      </c>
      <c r="M54" s="75">
        <v>13.0</v>
      </c>
      <c r="N54" s="75">
        <v>14.0</v>
      </c>
      <c r="O54" s="75">
        <v>16.0</v>
      </c>
      <c r="P54" s="75">
        <v>18.0</v>
      </c>
      <c r="Q54" s="75">
        <v>19.0</v>
      </c>
      <c r="R54" s="75">
        <v>20.0</v>
      </c>
      <c r="S54" s="75">
        <v>21.0</v>
      </c>
      <c r="T54" s="75">
        <v>22.0</v>
      </c>
      <c r="U54" s="75">
        <v>23.0</v>
      </c>
      <c r="V54" s="75">
        <v>24.0</v>
      </c>
      <c r="W54" s="75">
        <v>25.0</v>
      </c>
      <c r="X54" s="75">
        <v>26.0</v>
      </c>
      <c r="Y54" s="75">
        <v>27.0</v>
      </c>
      <c r="Z54" s="53"/>
    </row>
    <row r="55" ht="16.5" customHeight="1">
      <c r="A55" s="48" t="str">
        <f>'試算-SLOT'!A55</f>
        <v>XSMY</v>
      </c>
      <c r="B55" s="48" t="str">
        <f>'試算-SLOT'!B55</f>
        <v/>
      </c>
      <c r="C55" s="48" t="str">
        <f>'試算-SLOT'!C55</f>
        <v>星城馬來西亞</v>
      </c>
      <c r="D55" s="48" t="str">
        <f>IF('試算-SLOT'!D55=1,"",'試算-SLOT'!D55)</f>
        <v/>
      </c>
      <c r="E55" s="64">
        <f>'100'!E55</f>
        <v>1</v>
      </c>
      <c r="F55" s="75">
        <v>1.0</v>
      </c>
      <c r="G55" s="75">
        <v>2.0</v>
      </c>
      <c r="H55" s="75">
        <v>3.0</v>
      </c>
      <c r="I55" s="75">
        <v>4.0</v>
      </c>
      <c r="J55" s="75">
        <v>5.0</v>
      </c>
      <c r="K55" s="75">
        <v>6.0</v>
      </c>
      <c r="L55" s="75">
        <v>7.0</v>
      </c>
      <c r="M55" s="75">
        <v>8.0</v>
      </c>
      <c r="N55" s="75">
        <v>9.0</v>
      </c>
      <c r="O55" s="75">
        <v>10.0</v>
      </c>
      <c r="P55" s="75">
        <v>11.0</v>
      </c>
      <c r="Q55" s="75">
        <v>13.0</v>
      </c>
      <c r="R55" s="75">
        <v>14.0</v>
      </c>
      <c r="S55" s="75">
        <v>16.0</v>
      </c>
      <c r="T55" s="75">
        <v>17.0</v>
      </c>
      <c r="U55" s="75">
        <v>18.0</v>
      </c>
      <c r="V55" s="75">
        <v>19.0</v>
      </c>
      <c r="W55" s="75">
        <v>20.0</v>
      </c>
      <c r="X55" s="75">
        <v>21.0</v>
      </c>
      <c r="Y55" s="75">
        <v>22.0</v>
      </c>
      <c r="Z55" s="53"/>
    </row>
    <row r="56" ht="16.5" customHeight="1">
      <c r="A56" s="57"/>
      <c r="B56" s="57"/>
      <c r="C56" s="57"/>
      <c r="D56" s="57"/>
      <c r="E56" s="58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3"/>
    </row>
    <row r="57" ht="16.5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60"/>
      <c r="AA57" s="42"/>
    </row>
    <row r="58" ht="16.5" customHeight="1">
      <c r="A58" s="43" t="str">
        <f t="shared" ref="A58:Y58" si="1">A5</f>
        <v>貨幣簡稱</v>
      </c>
      <c r="B58" s="44" t="str">
        <f t="shared" si="1"/>
        <v>貨幣符號</v>
      </c>
      <c r="C58" s="44" t="str">
        <f t="shared" si="1"/>
        <v>中文名稱</v>
      </c>
      <c r="D58" s="44" t="str">
        <f t="shared" si="1"/>
        <v>貨幣轉換</v>
      </c>
      <c r="E58" s="44" t="str">
        <f t="shared" si="1"/>
        <v>Denom</v>
      </c>
      <c r="F58" s="44" t="str">
        <f t="shared" si="1"/>
        <v>第 1 組</v>
      </c>
      <c r="G58" s="44" t="str">
        <f t="shared" si="1"/>
        <v>第 2 組</v>
      </c>
      <c r="H58" s="44" t="str">
        <f t="shared" si="1"/>
        <v>第 3 組</v>
      </c>
      <c r="I58" s="44" t="str">
        <f t="shared" si="1"/>
        <v>第 4 組</v>
      </c>
      <c r="J58" s="44" t="str">
        <f t="shared" si="1"/>
        <v>第 5 組</v>
      </c>
      <c r="K58" s="44" t="str">
        <f t="shared" si="1"/>
        <v>第 6 組</v>
      </c>
      <c r="L58" s="44" t="str">
        <f t="shared" si="1"/>
        <v>第 7 組</v>
      </c>
      <c r="M58" s="44" t="str">
        <f t="shared" si="1"/>
        <v>第 8 組</v>
      </c>
      <c r="N58" s="44" t="str">
        <f t="shared" si="1"/>
        <v>第 9 組</v>
      </c>
      <c r="O58" s="44" t="str">
        <f t="shared" si="1"/>
        <v>第 10 組</v>
      </c>
      <c r="P58" s="44" t="str">
        <f t="shared" si="1"/>
        <v>第 11 組</v>
      </c>
      <c r="Q58" s="44" t="str">
        <f t="shared" si="1"/>
        <v>第 12 組</v>
      </c>
      <c r="R58" s="44" t="str">
        <f t="shared" si="1"/>
        <v>第 13 組</v>
      </c>
      <c r="S58" s="44" t="str">
        <f t="shared" si="1"/>
        <v>第 14 組</v>
      </c>
      <c r="T58" s="44" t="str">
        <f t="shared" si="1"/>
        <v>第 15 組</v>
      </c>
      <c r="U58" s="44" t="str">
        <f t="shared" si="1"/>
        <v>第 16 組</v>
      </c>
      <c r="V58" s="44" t="str">
        <f t="shared" si="1"/>
        <v>第 17 組</v>
      </c>
      <c r="W58" s="44" t="str">
        <f t="shared" si="1"/>
        <v>第 18 組</v>
      </c>
      <c r="X58" s="44" t="str">
        <f t="shared" si="1"/>
        <v>第 19 組</v>
      </c>
      <c r="Y58" s="44" t="str">
        <f t="shared" si="1"/>
        <v>第 20 組</v>
      </c>
      <c r="AA58" s="79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48" t="str">
        <f t="shared" si="2"/>
        <v>泰銖</v>
      </c>
      <c r="D59" s="48" t="str">
        <f t="shared" si="2"/>
        <v/>
      </c>
      <c r="E59" s="64">
        <f t="shared" si="2"/>
        <v>0.002</v>
      </c>
      <c r="F59" s="65">
        <f t="shared" ref="F59:Y59" si="3">HLOOKUP(F6,$F$1:$AI$2,2) * $D$1 * $E59</f>
        <v>1.5</v>
      </c>
      <c r="G59" s="65">
        <f t="shared" si="3"/>
        <v>3</v>
      </c>
      <c r="H59" s="65">
        <f t="shared" si="3"/>
        <v>4.5</v>
      </c>
      <c r="I59" s="65">
        <f t="shared" si="3"/>
        <v>6</v>
      </c>
      <c r="J59" s="65">
        <f t="shared" si="3"/>
        <v>7.5</v>
      </c>
      <c r="K59" s="65">
        <f t="shared" si="3"/>
        <v>9</v>
      </c>
      <c r="L59" s="65">
        <f t="shared" si="3"/>
        <v>12</v>
      </c>
      <c r="M59" s="65">
        <f t="shared" si="3"/>
        <v>15</v>
      </c>
      <c r="N59" s="65">
        <f t="shared" si="3"/>
        <v>18</v>
      </c>
      <c r="O59" s="65">
        <f t="shared" si="3"/>
        <v>24</v>
      </c>
      <c r="P59" s="65">
        <f t="shared" si="3"/>
        <v>30</v>
      </c>
      <c r="Q59" s="65">
        <f t="shared" si="3"/>
        <v>45</v>
      </c>
      <c r="R59" s="65">
        <f t="shared" si="3"/>
        <v>60</v>
      </c>
      <c r="S59" s="65">
        <f t="shared" si="3"/>
        <v>90</v>
      </c>
      <c r="T59" s="65">
        <f t="shared" si="3"/>
        <v>150</v>
      </c>
      <c r="U59" s="65">
        <f t="shared" si="3"/>
        <v>300</v>
      </c>
      <c r="V59" s="65">
        <f t="shared" si="3"/>
        <v>450</v>
      </c>
      <c r="W59" s="65">
        <f t="shared" si="3"/>
        <v>900</v>
      </c>
      <c r="X59" s="65">
        <f t="shared" si="3"/>
        <v>1500</v>
      </c>
      <c r="Y59" s="65">
        <f t="shared" si="3"/>
        <v>2250</v>
      </c>
      <c r="AA59" s="80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48" t="str">
        <f t="shared" si="4"/>
        <v>港幣</v>
      </c>
      <c r="D60" s="48" t="str">
        <f t="shared" si="4"/>
        <v/>
      </c>
      <c r="E60" s="64">
        <f t="shared" si="4"/>
        <v>0.002</v>
      </c>
      <c r="F60" s="65">
        <f t="shared" ref="F60:Y60" si="5">HLOOKUP(F7,$F$1:$AI$2,2) * $D$1 * $E60</f>
        <v>0.3</v>
      </c>
      <c r="G60" s="65">
        <f t="shared" si="5"/>
        <v>0.6</v>
      </c>
      <c r="H60" s="65">
        <f t="shared" si="5"/>
        <v>1.5</v>
      </c>
      <c r="I60" s="65">
        <f t="shared" si="5"/>
        <v>3</v>
      </c>
      <c r="J60" s="65">
        <f t="shared" si="5"/>
        <v>3.6</v>
      </c>
      <c r="K60" s="65">
        <f t="shared" si="5"/>
        <v>4.5</v>
      </c>
      <c r="L60" s="65">
        <f t="shared" si="5"/>
        <v>6</v>
      </c>
      <c r="M60" s="65">
        <f t="shared" si="5"/>
        <v>7.5</v>
      </c>
      <c r="N60" s="65">
        <f t="shared" si="5"/>
        <v>9</v>
      </c>
      <c r="O60" s="65">
        <f t="shared" si="5"/>
        <v>12</v>
      </c>
      <c r="P60" s="65">
        <f t="shared" si="5"/>
        <v>15</v>
      </c>
      <c r="Q60" s="65">
        <f t="shared" si="5"/>
        <v>18</v>
      </c>
      <c r="R60" s="65">
        <f t="shared" si="5"/>
        <v>24</v>
      </c>
      <c r="S60" s="65">
        <f t="shared" si="5"/>
        <v>30</v>
      </c>
      <c r="T60" s="65">
        <f t="shared" si="5"/>
        <v>45</v>
      </c>
      <c r="U60" s="65">
        <f t="shared" si="5"/>
        <v>60</v>
      </c>
      <c r="V60" s="65">
        <f t="shared" si="5"/>
        <v>90</v>
      </c>
      <c r="W60" s="65">
        <f t="shared" si="5"/>
        <v>150</v>
      </c>
      <c r="X60" s="65">
        <f t="shared" si="5"/>
        <v>300</v>
      </c>
      <c r="Y60" s="65">
        <f t="shared" si="5"/>
        <v>450</v>
      </c>
      <c r="AA60" s="80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48" t="str">
        <f t="shared" si="6"/>
        <v>印度盧比</v>
      </c>
      <c r="D61" s="48" t="str">
        <f t="shared" si="6"/>
        <v/>
      </c>
      <c r="E61" s="64">
        <f t="shared" si="6"/>
        <v>0.002</v>
      </c>
      <c r="F61" s="65">
        <f t="shared" ref="F61:Y61" si="7">HLOOKUP(F8,$F$1:$AI$2,2) * $D$1 * $E61</f>
        <v>3</v>
      </c>
      <c r="G61" s="65">
        <f t="shared" si="7"/>
        <v>4.5</v>
      </c>
      <c r="H61" s="65">
        <f t="shared" si="7"/>
        <v>6</v>
      </c>
      <c r="I61" s="65">
        <f t="shared" si="7"/>
        <v>9</v>
      </c>
      <c r="J61" s="65">
        <f t="shared" si="7"/>
        <v>12</v>
      </c>
      <c r="K61" s="65">
        <f t="shared" si="7"/>
        <v>15</v>
      </c>
      <c r="L61" s="65">
        <f t="shared" si="7"/>
        <v>18</v>
      </c>
      <c r="M61" s="65">
        <f t="shared" si="7"/>
        <v>24</v>
      </c>
      <c r="N61" s="65">
        <f t="shared" si="7"/>
        <v>30</v>
      </c>
      <c r="O61" s="65">
        <f t="shared" si="7"/>
        <v>45</v>
      </c>
      <c r="P61" s="65">
        <f t="shared" si="7"/>
        <v>60</v>
      </c>
      <c r="Q61" s="65">
        <f t="shared" si="7"/>
        <v>90</v>
      </c>
      <c r="R61" s="65">
        <f t="shared" si="7"/>
        <v>150</v>
      </c>
      <c r="S61" s="65">
        <f t="shared" si="7"/>
        <v>300</v>
      </c>
      <c r="T61" s="65">
        <f t="shared" si="7"/>
        <v>450</v>
      </c>
      <c r="U61" s="65">
        <f t="shared" si="7"/>
        <v>900</v>
      </c>
      <c r="V61" s="65">
        <f t="shared" si="7"/>
        <v>1500</v>
      </c>
      <c r="W61" s="65">
        <f t="shared" si="7"/>
        <v>2250</v>
      </c>
      <c r="X61" s="65">
        <f t="shared" si="7"/>
        <v>3000</v>
      </c>
      <c r="Y61" s="65">
        <f t="shared" si="7"/>
        <v>4500</v>
      </c>
      <c r="AA61" s="80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48" t="str">
        <f t="shared" si="8"/>
        <v>印尼盧比(K)</v>
      </c>
      <c r="D62" s="48">
        <f t="shared" si="8"/>
        <v>1000</v>
      </c>
      <c r="E62" s="64">
        <f t="shared" si="8"/>
        <v>0.002</v>
      </c>
      <c r="F62" s="65">
        <f t="shared" ref="F62:Y62" si="9">HLOOKUP(F9,$F$1:$AI$2,2) * $D$1 * $E62</f>
        <v>0.6</v>
      </c>
      <c r="G62" s="65">
        <f t="shared" si="9"/>
        <v>1.5</v>
      </c>
      <c r="H62" s="65">
        <f t="shared" si="9"/>
        <v>3</v>
      </c>
      <c r="I62" s="65">
        <f t="shared" si="9"/>
        <v>3.6</v>
      </c>
      <c r="J62" s="65">
        <f t="shared" si="9"/>
        <v>4.5</v>
      </c>
      <c r="K62" s="65">
        <f t="shared" si="9"/>
        <v>6</v>
      </c>
      <c r="L62" s="65">
        <f t="shared" si="9"/>
        <v>7.5</v>
      </c>
      <c r="M62" s="65">
        <f t="shared" si="9"/>
        <v>9</v>
      </c>
      <c r="N62" s="65">
        <f t="shared" si="9"/>
        <v>12</v>
      </c>
      <c r="O62" s="65">
        <f t="shared" si="9"/>
        <v>15</v>
      </c>
      <c r="P62" s="65">
        <f t="shared" si="9"/>
        <v>18</v>
      </c>
      <c r="Q62" s="65">
        <f t="shared" si="9"/>
        <v>24</v>
      </c>
      <c r="R62" s="65">
        <f t="shared" si="9"/>
        <v>30</v>
      </c>
      <c r="S62" s="65">
        <f t="shared" si="9"/>
        <v>45</v>
      </c>
      <c r="T62" s="65">
        <f t="shared" si="9"/>
        <v>60</v>
      </c>
      <c r="U62" s="65">
        <f t="shared" si="9"/>
        <v>90</v>
      </c>
      <c r="V62" s="65">
        <f t="shared" si="9"/>
        <v>150</v>
      </c>
      <c r="W62" s="65">
        <f t="shared" si="9"/>
        <v>300</v>
      </c>
      <c r="X62" s="65">
        <f t="shared" si="9"/>
        <v>450</v>
      </c>
      <c r="Y62" s="65">
        <f t="shared" si="9"/>
        <v>900</v>
      </c>
      <c r="AA62" s="80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48" t="str">
        <f t="shared" si="10"/>
        <v>越南盾(K)</v>
      </c>
      <c r="D63" s="48">
        <f t="shared" si="10"/>
        <v>1000</v>
      </c>
      <c r="E63" s="64">
        <f t="shared" si="10"/>
        <v>0.002</v>
      </c>
      <c r="F63" s="65">
        <f t="shared" ref="F63:Y63" si="11">HLOOKUP(F10,$F$1:$AI$2,2) * $D$1 * $E63</f>
        <v>1.5</v>
      </c>
      <c r="G63" s="65">
        <f t="shared" si="11"/>
        <v>3</v>
      </c>
      <c r="H63" s="65">
        <f t="shared" si="11"/>
        <v>3.6</v>
      </c>
      <c r="I63" s="65">
        <f t="shared" si="11"/>
        <v>4.5</v>
      </c>
      <c r="J63" s="65">
        <f t="shared" si="11"/>
        <v>6</v>
      </c>
      <c r="K63" s="65">
        <f t="shared" si="11"/>
        <v>7.5</v>
      </c>
      <c r="L63" s="65">
        <f t="shared" si="11"/>
        <v>9</v>
      </c>
      <c r="M63" s="65">
        <f t="shared" si="11"/>
        <v>12</v>
      </c>
      <c r="N63" s="65">
        <f t="shared" si="11"/>
        <v>15</v>
      </c>
      <c r="O63" s="65">
        <f t="shared" si="11"/>
        <v>18</v>
      </c>
      <c r="P63" s="65">
        <f t="shared" si="11"/>
        <v>24</v>
      </c>
      <c r="Q63" s="65">
        <f t="shared" si="11"/>
        <v>30</v>
      </c>
      <c r="R63" s="65">
        <f t="shared" si="11"/>
        <v>45</v>
      </c>
      <c r="S63" s="65">
        <f t="shared" si="11"/>
        <v>60</v>
      </c>
      <c r="T63" s="65">
        <f t="shared" si="11"/>
        <v>90</v>
      </c>
      <c r="U63" s="65">
        <f t="shared" si="11"/>
        <v>150</v>
      </c>
      <c r="V63" s="65">
        <f t="shared" si="11"/>
        <v>300</v>
      </c>
      <c r="W63" s="65">
        <f t="shared" si="11"/>
        <v>450</v>
      </c>
      <c r="X63" s="65">
        <f t="shared" si="11"/>
        <v>900</v>
      </c>
      <c r="Y63" s="65">
        <f t="shared" si="11"/>
        <v>1500</v>
      </c>
      <c r="AA63" s="80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48" t="str">
        <f t="shared" si="12"/>
        <v>馬來西亞令吉</v>
      </c>
      <c r="D64" s="48" t="str">
        <f t="shared" si="12"/>
        <v/>
      </c>
      <c r="E64" s="64">
        <f t="shared" si="12"/>
        <v>0.002</v>
      </c>
      <c r="F64" s="65">
        <f t="shared" ref="F64:Y64" si="13">HLOOKUP(F11,$F$1:$AI$2,2) * $D$1 * $E64</f>
        <v>0.3</v>
      </c>
      <c r="G64" s="65">
        <f t="shared" si="13"/>
        <v>0.6</v>
      </c>
      <c r="H64" s="65">
        <f t="shared" si="13"/>
        <v>1.5</v>
      </c>
      <c r="I64" s="65">
        <f t="shared" si="13"/>
        <v>3</v>
      </c>
      <c r="J64" s="65">
        <f t="shared" si="13"/>
        <v>3.6</v>
      </c>
      <c r="K64" s="65">
        <f t="shared" si="13"/>
        <v>4.5</v>
      </c>
      <c r="L64" s="65">
        <f t="shared" si="13"/>
        <v>6</v>
      </c>
      <c r="M64" s="65">
        <f t="shared" si="13"/>
        <v>7.5</v>
      </c>
      <c r="N64" s="65">
        <f t="shared" si="13"/>
        <v>9</v>
      </c>
      <c r="O64" s="65">
        <f t="shared" si="13"/>
        <v>10.5</v>
      </c>
      <c r="P64" s="65">
        <f t="shared" si="13"/>
        <v>12</v>
      </c>
      <c r="Q64" s="65">
        <f t="shared" si="13"/>
        <v>15</v>
      </c>
      <c r="R64" s="65">
        <f t="shared" si="13"/>
        <v>18</v>
      </c>
      <c r="S64" s="65">
        <f t="shared" si="13"/>
        <v>24</v>
      </c>
      <c r="T64" s="65">
        <f t="shared" si="13"/>
        <v>30</v>
      </c>
      <c r="U64" s="65">
        <f t="shared" si="13"/>
        <v>45</v>
      </c>
      <c r="V64" s="65">
        <f t="shared" si="13"/>
        <v>60</v>
      </c>
      <c r="W64" s="65">
        <f t="shared" si="13"/>
        <v>90</v>
      </c>
      <c r="X64" s="65">
        <f t="shared" si="13"/>
        <v>150</v>
      </c>
      <c r="Y64" s="65">
        <f t="shared" si="13"/>
        <v>300</v>
      </c>
      <c r="AA64" s="80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48" t="str">
        <f t="shared" si="14"/>
        <v>新加坡幣</v>
      </c>
      <c r="D65" s="48" t="str">
        <f t="shared" si="14"/>
        <v/>
      </c>
      <c r="E65" s="64">
        <f t="shared" si="14"/>
        <v>0.002</v>
      </c>
      <c r="F65" s="65">
        <f t="shared" ref="F65:Y65" si="15">HLOOKUP(F12,$F$1:$AI$2,2) * $D$1 * $E65</f>
        <v>0.3</v>
      </c>
      <c r="G65" s="65">
        <f t="shared" si="15"/>
        <v>0.6</v>
      </c>
      <c r="H65" s="65">
        <f t="shared" si="15"/>
        <v>1.5</v>
      </c>
      <c r="I65" s="65">
        <f t="shared" si="15"/>
        <v>3</v>
      </c>
      <c r="J65" s="65">
        <f t="shared" si="15"/>
        <v>3.6</v>
      </c>
      <c r="K65" s="65">
        <f t="shared" si="15"/>
        <v>4.5</v>
      </c>
      <c r="L65" s="65">
        <f t="shared" si="15"/>
        <v>6</v>
      </c>
      <c r="M65" s="65">
        <f t="shared" si="15"/>
        <v>7.5</v>
      </c>
      <c r="N65" s="65">
        <f t="shared" si="15"/>
        <v>9</v>
      </c>
      <c r="O65" s="65">
        <f t="shared" si="15"/>
        <v>10.5</v>
      </c>
      <c r="P65" s="65">
        <f t="shared" si="15"/>
        <v>12</v>
      </c>
      <c r="Q65" s="65">
        <f t="shared" si="15"/>
        <v>13.5</v>
      </c>
      <c r="R65" s="65">
        <f t="shared" si="15"/>
        <v>15</v>
      </c>
      <c r="S65" s="65">
        <f t="shared" si="15"/>
        <v>18</v>
      </c>
      <c r="T65" s="65">
        <f t="shared" si="15"/>
        <v>21</v>
      </c>
      <c r="U65" s="65">
        <f t="shared" si="15"/>
        <v>24</v>
      </c>
      <c r="V65" s="65">
        <f t="shared" si="15"/>
        <v>27</v>
      </c>
      <c r="W65" s="65">
        <f t="shared" si="15"/>
        <v>30</v>
      </c>
      <c r="X65" s="65">
        <f t="shared" si="15"/>
        <v>45</v>
      </c>
      <c r="Y65" s="65">
        <f t="shared" si="15"/>
        <v>60</v>
      </c>
      <c r="AA65" s="80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48" t="str">
        <f t="shared" si="16"/>
        <v>美元</v>
      </c>
      <c r="D66" s="48" t="str">
        <f t="shared" si="16"/>
        <v/>
      </c>
      <c r="E66" s="64">
        <f t="shared" si="16"/>
        <v>0.002</v>
      </c>
      <c r="F66" s="65">
        <f t="shared" ref="F66:Y66" si="17">HLOOKUP(F13,$F$1:$AI$2,2) * $D$1 * $E66</f>
        <v>0.3</v>
      </c>
      <c r="G66" s="65">
        <f t="shared" si="17"/>
        <v>0.6</v>
      </c>
      <c r="H66" s="65">
        <f t="shared" si="17"/>
        <v>1.5</v>
      </c>
      <c r="I66" s="65">
        <f t="shared" si="17"/>
        <v>3</v>
      </c>
      <c r="J66" s="65">
        <f t="shared" si="17"/>
        <v>3.6</v>
      </c>
      <c r="K66" s="65">
        <f t="shared" si="17"/>
        <v>4.5</v>
      </c>
      <c r="L66" s="65">
        <f t="shared" si="17"/>
        <v>6</v>
      </c>
      <c r="M66" s="65">
        <f t="shared" si="17"/>
        <v>7.5</v>
      </c>
      <c r="N66" s="65">
        <f t="shared" si="17"/>
        <v>9</v>
      </c>
      <c r="O66" s="65">
        <f t="shared" si="17"/>
        <v>10.5</v>
      </c>
      <c r="P66" s="65">
        <f t="shared" si="17"/>
        <v>12</v>
      </c>
      <c r="Q66" s="65">
        <f t="shared" si="17"/>
        <v>13.5</v>
      </c>
      <c r="R66" s="65">
        <f t="shared" si="17"/>
        <v>15</v>
      </c>
      <c r="S66" s="65">
        <f t="shared" si="17"/>
        <v>18</v>
      </c>
      <c r="T66" s="65">
        <f t="shared" si="17"/>
        <v>21</v>
      </c>
      <c r="U66" s="65">
        <f t="shared" si="17"/>
        <v>24</v>
      </c>
      <c r="V66" s="65">
        <f t="shared" si="17"/>
        <v>27</v>
      </c>
      <c r="W66" s="65">
        <f t="shared" si="17"/>
        <v>30</v>
      </c>
      <c r="X66" s="65">
        <f t="shared" si="17"/>
        <v>45</v>
      </c>
      <c r="Y66" s="65">
        <f t="shared" si="17"/>
        <v>60</v>
      </c>
      <c r="AA66" s="80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48" t="str">
        <f t="shared" si="18"/>
        <v>孟加拉塔卡</v>
      </c>
      <c r="D67" s="48" t="str">
        <f t="shared" si="18"/>
        <v/>
      </c>
      <c r="E67" s="64">
        <f t="shared" si="18"/>
        <v>0.002</v>
      </c>
      <c r="F67" s="65">
        <f t="shared" ref="F67:Y67" si="19">HLOOKUP(F14,$F$1:$AI$2,2) * $D$1 * $E67</f>
        <v>3</v>
      </c>
      <c r="G67" s="65">
        <f t="shared" si="19"/>
        <v>4.5</v>
      </c>
      <c r="H67" s="65">
        <f t="shared" si="19"/>
        <v>6</v>
      </c>
      <c r="I67" s="65">
        <f t="shared" si="19"/>
        <v>9</v>
      </c>
      <c r="J67" s="65">
        <f t="shared" si="19"/>
        <v>12</v>
      </c>
      <c r="K67" s="65">
        <f t="shared" si="19"/>
        <v>15</v>
      </c>
      <c r="L67" s="65">
        <f t="shared" si="19"/>
        <v>18</v>
      </c>
      <c r="M67" s="65">
        <f t="shared" si="19"/>
        <v>24</v>
      </c>
      <c r="N67" s="65">
        <f t="shared" si="19"/>
        <v>30</v>
      </c>
      <c r="O67" s="65">
        <f t="shared" si="19"/>
        <v>45</v>
      </c>
      <c r="P67" s="65">
        <f t="shared" si="19"/>
        <v>60</v>
      </c>
      <c r="Q67" s="65">
        <f t="shared" si="19"/>
        <v>90</v>
      </c>
      <c r="R67" s="65">
        <f t="shared" si="19"/>
        <v>150</v>
      </c>
      <c r="S67" s="65">
        <f t="shared" si="19"/>
        <v>300</v>
      </c>
      <c r="T67" s="65">
        <f t="shared" si="19"/>
        <v>450</v>
      </c>
      <c r="U67" s="65">
        <f t="shared" si="19"/>
        <v>900</v>
      </c>
      <c r="V67" s="65">
        <f t="shared" si="19"/>
        <v>1500</v>
      </c>
      <c r="W67" s="65">
        <f t="shared" si="19"/>
        <v>2250</v>
      </c>
      <c r="X67" s="65">
        <f t="shared" si="19"/>
        <v>3000</v>
      </c>
      <c r="Y67" s="65">
        <f t="shared" si="19"/>
        <v>4500</v>
      </c>
      <c r="AA67" s="80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48" t="str">
        <f t="shared" si="20"/>
        <v>巴基斯坦盧比</v>
      </c>
      <c r="D68" s="48" t="str">
        <f t="shared" si="20"/>
        <v/>
      </c>
      <c r="E68" s="64">
        <f t="shared" si="20"/>
        <v>0.01</v>
      </c>
      <c r="F68" s="65">
        <f t="shared" ref="F68:Y68" si="21">HLOOKUP(F15,$F$1:$AI$2,2) * $D$1 * $E68</f>
        <v>7.5</v>
      </c>
      <c r="G68" s="65">
        <f t="shared" si="21"/>
        <v>15</v>
      </c>
      <c r="H68" s="65">
        <f t="shared" si="21"/>
        <v>22.5</v>
      </c>
      <c r="I68" s="65">
        <f t="shared" si="21"/>
        <v>30</v>
      </c>
      <c r="J68" s="65">
        <f t="shared" si="21"/>
        <v>45</v>
      </c>
      <c r="K68" s="65">
        <f t="shared" si="21"/>
        <v>60</v>
      </c>
      <c r="L68" s="65">
        <f t="shared" si="21"/>
        <v>75</v>
      </c>
      <c r="M68" s="65">
        <f t="shared" si="21"/>
        <v>90</v>
      </c>
      <c r="N68" s="65">
        <f t="shared" si="21"/>
        <v>120</v>
      </c>
      <c r="O68" s="65">
        <f t="shared" si="21"/>
        <v>150</v>
      </c>
      <c r="P68" s="65">
        <f t="shared" si="21"/>
        <v>225</v>
      </c>
      <c r="Q68" s="65">
        <f t="shared" si="21"/>
        <v>300</v>
      </c>
      <c r="R68" s="65">
        <f t="shared" si="21"/>
        <v>450</v>
      </c>
      <c r="S68" s="65">
        <f t="shared" si="21"/>
        <v>750</v>
      </c>
      <c r="T68" s="65">
        <f t="shared" si="21"/>
        <v>1500</v>
      </c>
      <c r="U68" s="65">
        <f t="shared" si="21"/>
        <v>2250</v>
      </c>
      <c r="V68" s="65">
        <f t="shared" si="21"/>
        <v>4500</v>
      </c>
      <c r="W68" s="65">
        <f t="shared" si="21"/>
        <v>7500</v>
      </c>
      <c r="X68" s="65">
        <f t="shared" si="21"/>
        <v>11250</v>
      </c>
      <c r="Y68" s="65">
        <f t="shared" si="21"/>
        <v>15000</v>
      </c>
      <c r="AA68" s="80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48" t="str">
        <f t="shared" si="22"/>
        <v>緬甸元(K)</v>
      </c>
      <c r="D69" s="48">
        <f t="shared" si="22"/>
        <v>1000</v>
      </c>
      <c r="E69" s="64">
        <f t="shared" si="22"/>
        <v>0.002</v>
      </c>
      <c r="F69" s="65">
        <f t="shared" ref="F69:Y69" si="23">HLOOKUP(F16,$F$1:$AI$2,2) * $D$1 * $E69</f>
        <v>0.3</v>
      </c>
      <c r="G69" s="65">
        <f t="shared" si="23"/>
        <v>0.6</v>
      </c>
      <c r="H69" s="65">
        <f t="shared" si="23"/>
        <v>1.5</v>
      </c>
      <c r="I69" s="65">
        <f t="shared" si="23"/>
        <v>3</v>
      </c>
      <c r="J69" s="65">
        <f t="shared" si="23"/>
        <v>3.6</v>
      </c>
      <c r="K69" s="65">
        <f t="shared" si="23"/>
        <v>4.5</v>
      </c>
      <c r="L69" s="65">
        <f t="shared" si="23"/>
        <v>6</v>
      </c>
      <c r="M69" s="65">
        <f t="shared" si="23"/>
        <v>7.5</v>
      </c>
      <c r="N69" s="65">
        <f t="shared" si="23"/>
        <v>9</v>
      </c>
      <c r="O69" s="65">
        <f t="shared" si="23"/>
        <v>10.5</v>
      </c>
      <c r="P69" s="65">
        <f t="shared" si="23"/>
        <v>12</v>
      </c>
      <c r="Q69" s="65">
        <f t="shared" si="23"/>
        <v>13.5</v>
      </c>
      <c r="R69" s="65">
        <f t="shared" si="23"/>
        <v>15</v>
      </c>
      <c r="S69" s="65">
        <f t="shared" si="23"/>
        <v>18</v>
      </c>
      <c r="T69" s="65">
        <f t="shared" si="23"/>
        <v>21</v>
      </c>
      <c r="U69" s="65">
        <f t="shared" si="23"/>
        <v>24</v>
      </c>
      <c r="V69" s="65">
        <f t="shared" si="23"/>
        <v>30</v>
      </c>
      <c r="W69" s="65">
        <f t="shared" si="23"/>
        <v>45</v>
      </c>
      <c r="X69" s="65">
        <f t="shared" si="23"/>
        <v>60</v>
      </c>
      <c r="Y69" s="65">
        <f t="shared" si="23"/>
        <v>90</v>
      </c>
      <c r="AA69" s="80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48" t="str">
        <f t="shared" si="24"/>
        <v>緬甸元(H)</v>
      </c>
      <c r="D70" s="48">
        <f t="shared" si="24"/>
        <v>100</v>
      </c>
      <c r="E70" s="64">
        <f t="shared" si="24"/>
        <v>0.004</v>
      </c>
      <c r="F70" s="65">
        <f t="shared" ref="F70:Y70" si="25">HLOOKUP(F17,$F$1:$AI$2,2) * $D$1 * $E70</f>
        <v>0.6</v>
      </c>
      <c r="G70" s="65">
        <f t="shared" si="25"/>
        <v>1.2</v>
      </c>
      <c r="H70" s="65">
        <f t="shared" si="25"/>
        <v>3</v>
      </c>
      <c r="I70" s="65">
        <f t="shared" si="25"/>
        <v>6</v>
      </c>
      <c r="J70" s="65">
        <f t="shared" si="25"/>
        <v>7.2</v>
      </c>
      <c r="K70" s="65">
        <f t="shared" si="25"/>
        <v>9</v>
      </c>
      <c r="L70" s="65">
        <f t="shared" si="25"/>
        <v>12</v>
      </c>
      <c r="M70" s="65">
        <f t="shared" si="25"/>
        <v>15</v>
      </c>
      <c r="N70" s="65">
        <f t="shared" si="25"/>
        <v>18</v>
      </c>
      <c r="O70" s="65">
        <f t="shared" si="25"/>
        <v>24</v>
      </c>
      <c r="P70" s="65">
        <f t="shared" si="25"/>
        <v>30</v>
      </c>
      <c r="Q70" s="65">
        <f t="shared" si="25"/>
        <v>36</v>
      </c>
      <c r="R70" s="65">
        <f t="shared" si="25"/>
        <v>48</v>
      </c>
      <c r="S70" s="65">
        <f t="shared" si="25"/>
        <v>60</v>
      </c>
      <c r="T70" s="65">
        <f t="shared" si="25"/>
        <v>90</v>
      </c>
      <c r="U70" s="65">
        <f t="shared" si="25"/>
        <v>120</v>
      </c>
      <c r="V70" s="65">
        <f t="shared" si="25"/>
        <v>180</v>
      </c>
      <c r="W70" s="65">
        <f t="shared" si="25"/>
        <v>300</v>
      </c>
      <c r="X70" s="65">
        <f t="shared" si="25"/>
        <v>600</v>
      </c>
      <c r="Y70" s="65">
        <f t="shared" si="25"/>
        <v>900</v>
      </c>
      <c r="AA70" s="80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48" t="str">
        <f t="shared" si="26"/>
        <v>菲律賓披索</v>
      </c>
      <c r="D71" s="48" t="str">
        <f t="shared" si="26"/>
        <v/>
      </c>
      <c r="E71" s="64">
        <f t="shared" si="26"/>
        <v>0.002</v>
      </c>
      <c r="F71" s="65">
        <f t="shared" ref="F71:Y71" si="27">HLOOKUP(F18,$F$1:$AI$2,2) * $D$1 * $E71</f>
        <v>1.5</v>
      </c>
      <c r="G71" s="65">
        <f t="shared" si="27"/>
        <v>3</v>
      </c>
      <c r="H71" s="65">
        <f t="shared" si="27"/>
        <v>4.5</v>
      </c>
      <c r="I71" s="65">
        <f t="shared" si="27"/>
        <v>6</v>
      </c>
      <c r="J71" s="65">
        <f t="shared" si="27"/>
        <v>7.5</v>
      </c>
      <c r="K71" s="65">
        <f t="shared" si="27"/>
        <v>9</v>
      </c>
      <c r="L71" s="65">
        <f t="shared" si="27"/>
        <v>12</v>
      </c>
      <c r="M71" s="65">
        <f t="shared" si="27"/>
        <v>15</v>
      </c>
      <c r="N71" s="65">
        <f t="shared" si="27"/>
        <v>18</v>
      </c>
      <c r="O71" s="65">
        <f t="shared" si="27"/>
        <v>24</v>
      </c>
      <c r="P71" s="65">
        <f t="shared" si="27"/>
        <v>30</v>
      </c>
      <c r="Q71" s="65">
        <f t="shared" si="27"/>
        <v>45</v>
      </c>
      <c r="R71" s="65">
        <f t="shared" si="27"/>
        <v>60</v>
      </c>
      <c r="S71" s="65">
        <f t="shared" si="27"/>
        <v>90</v>
      </c>
      <c r="T71" s="65">
        <f t="shared" si="27"/>
        <v>150</v>
      </c>
      <c r="U71" s="65">
        <f t="shared" si="27"/>
        <v>300</v>
      </c>
      <c r="V71" s="65">
        <f t="shared" si="27"/>
        <v>450</v>
      </c>
      <c r="W71" s="65">
        <f t="shared" si="27"/>
        <v>900</v>
      </c>
      <c r="X71" s="65">
        <f t="shared" si="27"/>
        <v>1500</v>
      </c>
      <c r="Y71" s="65">
        <f t="shared" si="27"/>
        <v>2250</v>
      </c>
      <c r="AA71" s="80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48" t="str">
        <f t="shared" si="28"/>
        <v>人民幣</v>
      </c>
      <c r="D72" s="48" t="str">
        <f t="shared" si="28"/>
        <v/>
      </c>
      <c r="E72" s="64">
        <f t="shared" si="28"/>
        <v>0.002</v>
      </c>
      <c r="F72" s="65">
        <f t="shared" ref="F72:Y72" si="29">HLOOKUP(F19,$F$1:$AI$2,2) * $D$1 * $E72</f>
        <v>0.3</v>
      </c>
      <c r="G72" s="65">
        <f t="shared" si="29"/>
        <v>0.6</v>
      </c>
      <c r="H72" s="65">
        <f t="shared" si="29"/>
        <v>1.5</v>
      </c>
      <c r="I72" s="65">
        <f t="shared" si="29"/>
        <v>3</v>
      </c>
      <c r="J72" s="65">
        <f t="shared" si="29"/>
        <v>4.5</v>
      </c>
      <c r="K72" s="65">
        <f t="shared" si="29"/>
        <v>6</v>
      </c>
      <c r="L72" s="65">
        <f t="shared" si="29"/>
        <v>9</v>
      </c>
      <c r="M72" s="65">
        <f t="shared" si="29"/>
        <v>12</v>
      </c>
      <c r="N72" s="65">
        <f t="shared" si="29"/>
        <v>15</v>
      </c>
      <c r="O72" s="65">
        <f t="shared" si="29"/>
        <v>18</v>
      </c>
      <c r="P72" s="65">
        <f t="shared" si="29"/>
        <v>24</v>
      </c>
      <c r="Q72" s="65">
        <f t="shared" si="29"/>
        <v>30</v>
      </c>
      <c r="R72" s="65">
        <f t="shared" si="29"/>
        <v>45</v>
      </c>
      <c r="S72" s="65">
        <f t="shared" si="29"/>
        <v>60</v>
      </c>
      <c r="T72" s="65">
        <f t="shared" si="29"/>
        <v>90</v>
      </c>
      <c r="U72" s="65">
        <f t="shared" si="29"/>
        <v>150</v>
      </c>
      <c r="V72" s="65">
        <f t="shared" si="29"/>
        <v>300</v>
      </c>
      <c r="W72" s="65">
        <f t="shared" si="29"/>
        <v>450</v>
      </c>
      <c r="X72" s="65">
        <f t="shared" si="29"/>
        <v>900</v>
      </c>
      <c r="Y72" s="65">
        <f t="shared" si="29"/>
        <v>1500</v>
      </c>
      <c r="AA72" s="80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48" t="str">
        <f t="shared" si="30"/>
        <v>墨⻄哥披索</v>
      </c>
      <c r="D73" s="48" t="str">
        <f t="shared" si="30"/>
        <v/>
      </c>
      <c r="E73" s="64">
        <f t="shared" si="30"/>
        <v>0.002</v>
      </c>
      <c r="F73" s="65">
        <f t="shared" ref="F73:Y73" si="31">HLOOKUP(F20,$F$1:$AI$2,2) * $D$1 * $E73</f>
        <v>0.6</v>
      </c>
      <c r="G73" s="65">
        <f t="shared" si="31"/>
        <v>1.5</v>
      </c>
      <c r="H73" s="65">
        <f t="shared" si="31"/>
        <v>3</v>
      </c>
      <c r="I73" s="65">
        <f t="shared" si="31"/>
        <v>3.6</v>
      </c>
      <c r="J73" s="65">
        <f t="shared" si="31"/>
        <v>4.5</v>
      </c>
      <c r="K73" s="65">
        <f t="shared" si="31"/>
        <v>6</v>
      </c>
      <c r="L73" s="65">
        <f t="shared" si="31"/>
        <v>7.5</v>
      </c>
      <c r="M73" s="65">
        <f t="shared" si="31"/>
        <v>9</v>
      </c>
      <c r="N73" s="65">
        <f t="shared" si="31"/>
        <v>12</v>
      </c>
      <c r="O73" s="65">
        <f t="shared" si="31"/>
        <v>15</v>
      </c>
      <c r="P73" s="65">
        <f t="shared" si="31"/>
        <v>18</v>
      </c>
      <c r="Q73" s="65">
        <f t="shared" si="31"/>
        <v>24</v>
      </c>
      <c r="R73" s="65">
        <f t="shared" si="31"/>
        <v>30</v>
      </c>
      <c r="S73" s="65">
        <f t="shared" si="31"/>
        <v>45</v>
      </c>
      <c r="T73" s="65">
        <f t="shared" si="31"/>
        <v>60</v>
      </c>
      <c r="U73" s="65">
        <f t="shared" si="31"/>
        <v>90</v>
      </c>
      <c r="V73" s="65">
        <f t="shared" si="31"/>
        <v>150</v>
      </c>
      <c r="W73" s="65">
        <f t="shared" si="31"/>
        <v>300</v>
      </c>
      <c r="X73" s="65">
        <f t="shared" si="31"/>
        <v>450</v>
      </c>
      <c r="Y73" s="65">
        <f t="shared" si="31"/>
        <v>900</v>
      </c>
      <c r="AA73" s="80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48" t="str">
        <f t="shared" si="32"/>
        <v>巴西雷亞爾</v>
      </c>
      <c r="D74" s="48" t="str">
        <f t="shared" si="32"/>
        <v/>
      </c>
      <c r="E74" s="64">
        <f t="shared" si="32"/>
        <v>0.002</v>
      </c>
      <c r="F74" s="65">
        <f t="shared" ref="F74:Y74" si="33">HLOOKUP(F21,$F$1:$AI$2,2) * $D$1 * $E74</f>
        <v>0.3</v>
      </c>
      <c r="G74" s="65">
        <f t="shared" si="33"/>
        <v>0.6</v>
      </c>
      <c r="H74" s="65">
        <f t="shared" si="33"/>
        <v>1.5</v>
      </c>
      <c r="I74" s="65">
        <f t="shared" si="33"/>
        <v>3</v>
      </c>
      <c r="J74" s="65">
        <f t="shared" si="33"/>
        <v>3.6</v>
      </c>
      <c r="K74" s="65">
        <f t="shared" si="33"/>
        <v>4.5</v>
      </c>
      <c r="L74" s="65">
        <f t="shared" si="33"/>
        <v>6</v>
      </c>
      <c r="M74" s="65">
        <f t="shared" si="33"/>
        <v>7.5</v>
      </c>
      <c r="N74" s="65">
        <f t="shared" si="33"/>
        <v>9</v>
      </c>
      <c r="O74" s="65">
        <f t="shared" si="33"/>
        <v>10.5</v>
      </c>
      <c r="P74" s="65">
        <f t="shared" si="33"/>
        <v>12</v>
      </c>
      <c r="Q74" s="65">
        <f t="shared" si="33"/>
        <v>15</v>
      </c>
      <c r="R74" s="65">
        <f t="shared" si="33"/>
        <v>18</v>
      </c>
      <c r="S74" s="65">
        <f t="shared" si="33"/>
        <v>24</v>
      </c>
      <c r="T74" s="65">
        <f t="shared" si="33"/>
        <v>30</v>
      </c>
      <c r="U74" s="65">
        <f t="shared" si="33"/>
        <v>45</v>
      </c>
      <c r="V74" s="65">
        <f t="shared" si="33"/>
        <v>60</v>
      </c>
      <c r="W74" s="65">
        <f t="shared" si="33"/>
        <v>90</v>
      </c>
      <c r="X74" s="65">
        <f t="shared" si="33"/>
        <v>150</v>
      </c>
      <c r="Y74" s="65">
        <f t="shared" si="33"/>
        <v>300</v>
      </c>
      <c r="AA74" s="80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48" t="str">
        <f t="shared" si="34"/>
        <v>澳洲元</v>
      </c>
      <c r="D75" s="48" t="str">
        <f t="shared" si="34"/>
        <v/>
      </c>
      <c r="E75" s="64">
        <f t="shared" si="34"/>
        <v>0.002</v>
      </c>
      <c r="F75" s="65">
        <f t="shared" ref="F75:Y75" si="35">HLOOKUP(F22,$F$1:$AI$2,2) * $D$1 * $E75</f>
        <v>0.3</v>
      </c>
      <c r="G75" s="65">
        <f t="shared" si="35"/>
        <v>0.6</v>
      </c>
      <c r="H75" s="65">
        <f t="shared" si="35"/>
        <v>1.5</v>
      </c>
      <c r="I75" s="65">
        <f t="shared" si="35"/>
        <v>3</v>
      </c>
      <c r="J75" s="65">
        <f t="shared" si="35"/>
        <v>3.6</v>
      </c>
      <c r="K75" s="65">
        <f t="shared" si="35"/>
        <v>4.5</v>
      </c>
      <c r="L75" s="65">
        <f t="shared" si="35"/>
        <v>6</v>
      </c>
      <c r="M75" s="65">
        <f t="shared" si="35"/>
        <v>7.5</v>
      </c>
      <c r="N75" s="65">
        <f t="shared" si="35"/>
        <v>9</v>
      </c>
      <c r="O75" s="65">
        <f t="shared" si="35"/>
        <v>10.5</v>
      </c>
      <c r="P75" s="65">
        <f t="shared" si="35"/>
        <v>12</v>
      </c>
      <c r="Q75" s="65">
        <f t="shared" si="35"/>
        <v>13.5</v>
      </c>
      <c r="R75" s="65">
        <f t="shared" si="35"/>
        <v>15</v>
      </c>
      <c r="S75" s="65">
        <f t="shared" si="35"/>
        <v>18</v>
      </c>
      <c r="T75" s="65">
        <f t="shared" si="35"/>
        <v>21</v>
      </c>
      <c r="U75" s="65">
        <f t="shared" si="35"/>
        <v>24</v>
      </c>
      <c r="V75" s="65">
        <f t="shared" si="35"/>
        <v>30</v>
      </c>
      <c r="W75" s="65">
        <f t="shared" si="35"/>
        <v>45</v>
      </c>
      <c r="X75" s="65">
        <f t="shared" si="35"/>
        <v>60</v>
      </c>
      <c r="Y75" s="65">
        <f t="shared" si="35"/>
        <v>90</v>
      </c>
      <c r="AA75" s="80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48" t="str">
        <f t="shared" si="36"/>
        <v>日圓</v>
      </c>
      <c r="D76" s="48" t="str">
        <f t="shared" si="36"/>
        <v/>
      </c>
      <c r="E76" s="64">
        <f t="shared" si="36"/>
        <v>0.004</v>
      </c>
      <c r="F76" s="65">
        <f t="shared" ref="F76:Y76" si="37">HLOOKUP(F23,$F$1:$AI$2,2) * $D$1 * $E76</f>
        <v>6</v>
      </c>
      <c r="G76" s="65">
        <f t="shared" si="37"/>
        <v>9</v>
      </c>
      <c r="H76" s="65">
        <f t="shared" si="37"/>
        <v>12</v>
      </c>
      <c r="I76" s="65">
        <f t="shared" si="37"/>
        <v>18</v>
      </c>
      <c r="J76" s="65">
        <f t="shared" si="37"/>
        <v>24</v>
      </c>
      <c r="K76" s="65">
        <f t="shared" si="37"/>
        <v>30</v>
      </c>
      <c r="L76" s="65">
        <f t="shared" si="37"/>
        <v>36</v>
      </c>
      <c r="M76" s="65">
        <f t="shared" si="37"/>
        <v>48</v>
      </c>
      <c r="N76" s="65">
        <f t="shared" si="37"/>
        <v>60</v>
      </c>
      <c r="O76" s="65">
        <f t="shared" si="37"/>
        <v>90</v>
      </c>
      <c r="P76" s="65">
        <f t="shared" si="37"/>
        <v>120</v>
      </c>
      <c r="Q76" s="65">
        <f t="shared" si="37"/>
        <v>180</v>
      </c>
      <c r="R76" s="65">
        <f t="shared" si="37"/>
        <v>300</v>
      </c>
      <c r="S76" s="65">
        <f t="shared" si="37"/>
        <v>600</v>
      </c>
      <c r="T76" s="65">
        <f t="shared" si="37"/>
        <v>900</v>
      </c>
      <c r="U76" s="65">
        <f t="shared" si="37"/>
        <v>1800</v>
      </c>
      <c r="V76" s="65">
        <f t="shared" si="37"/>
        <v>3000</v>
      </c>
      <c r="W76" s="65">
        <f t="shared" si="37"/>
        <v>4500</v>
      </c>
      <c r="X76" s="65">
        <f t="shared" si="37"/>
        <v>6000</v>
      </c>
      <c r="Y76" s="65">
        <f t="shared" si="37"/>
        <v>9000</v>
      </c>
      <c r="AA76" s="80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48" t="str">
        <f t="shared" si="38"/>
        <v>韓圓</v>
      </c>
      <c r="D77" s="48" t="str">
        <f t="shared" si="38"/>
        <v/>
      </c>
      <c r="E77" s="64">
        <f t="shared" si="38"/>
        <v>0.02</v>
      </c>
      <c r="F77" s="65">
        <f t="shared" ref="F77:Y77" si="39">HLOOKUP(F24,$F$1:$AI$2,2) * $D$1 * $E77</f>
        <v>60</v>
      </c>
      <c r="G77" s="65">
        <f t="shared" si="39"/>
        <v>90</v>
      </c>
      <c r="H77" s="65">
        <f t="shared" si="39"/>
        <v>120</v>
      </c>
      <c r="I77" s="65">
        <f t="shared" si="39"/>
        <v>180</v>
      </c>
      <c r="J77" s="65">
        <f t="shared" si="39"/>
        <v>210</v>
      </c>
      <c r="K77" s="65">
        <f t="shared" si="39"/>
        <v>240</v>
      </c>
      <c r="L77" s="65">
        <f t="shared" si="39"/>
        <v>270</v>
      </c>
      <c r="M77" s="65">
        <f t="shared" si="39"/>
        <v>300</v>
      </c>
      <c r="N77" s="65">
        <f t="shared" si="39"/>
        <v>450</v>
      </c>
      <c r="O77" s="65">
        <f t="shared" si="39"/>
        <v>600</v>
      </c>
      <c r="P77" s="65">
        <f t="shared" si="39"/>
        <v>900</v>
      </c>
      <c r="Q77" s="65">
        <f t="shared" si="39"/>
        <v>1500</v>
      </c>
      <c r="R77" s="65">
        <f t="shared" si="39"/>
        <v>3000</v>
      </c>
      <c r="S77" s="65">
        <f t="shared" si="39"/>
        <v>4500</v>
      </c>
      <c r="T77" s="65">
        <f t="shared" si="39"/>
        <v>9000</v>
      </c>
      <c r="U77" s="65">
        <f t="shared" si="39"/>
        <v>15000</v>
      </c>
      <c r="V77" s="65">
        <f t="shared" si="39"/>
        <v>22500</v>
      </c>
      <c r="W77" s="65">
        <f t="shared" si="39"/>
        <v>30000</v>
      </c>
      <c r="X77" s="65">
        <f t="shared" si="39"/>
        <v>45000</v>
      </c>
      <c r="Y77" s="65">
        <f t="shared" si="39"/>
        <v>75000</v>
      </c>
      <c r="AA77" s="80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48" t="str">
        <f t="shared" si="40"/>
        <v>智利披索</v>
      </c>
      <c r="D78" s="48" t="str">
        <f t="shared" si="40"/>
        <v/>
      </c>
      <c r="E78" s="64">
        <f t="shared" si="40"/>
        <v>0.03</v>
      </c>
      <c r="F78" s="65">
        <f t="shared" ref="F78:Y78" si="41">HLOOKUP(F25,$F$1:$AI$2,2) * $D$1 * $E78</f>
        <v>22.5</v>
      </c>
      <c r="G78" s="65">
        <f t="shared" si="41"/>
        <v>45</v>
      </c>
      <c r="H78" s="65">
        <f t="shared" si="41"/>
        <v>67.5</v>
      </c>
      <c r="I78" s="65">
        <f t="shared" si="41"/>
        <v>90</v>
      </c>
      <c r="J78" s="65">
        <f t="shared" si="41"/>
        <v>135</v>
      </c>
      <c r="K78" s="65">
        <f t="shared" si="41"/>
        <v>180</v>
      </c>
      <c r="L78" s="65">
        <f t="shared" si="41"/>
        <v>225</v>
      </c>
      <c r="M78" s="65">
        <f t="shared" si="41"/>
        <v>270</v>
      </c>
      <c r="N78" s="65">
        <f t="shared" si="41"/>
        <v>360</v>
      </c>
      <c r="O78" s="65">
        <f t="shared" si="41"/>
        <v>450</v>
      </c>
      <c r="P78" s="65">
        <f t="shared" si="41"/>
        <v>675</v>
      </c>
      <c r="Q78" s="65">
        <f t="shared" si="41"/>
        <v>900</v>
      </c>
      <c r="R78" s="65">
        <f t="shared" si="41"/>
        <v>1350</v>
      </c>
      <c r="S78" s="65">
        <f t="shared" si="41"/>
        <v>2250</v>
      </c>
      <c r="T78" s="65">
        <f t="shared" si="41"/>
        <v>4500</v>
      </c>
      <c r="U78" s="65">
        <f t="shared" si="41"/>
        <v>6750</v>
      </c>
      <c r="V78" s="65">
        <f t="shared" si="41"/>
        <v>13500</v>
      </c>
      <c r="W78" s="65">
        <f t="shared" si="41"/>
        <v>22500</v>
      </c>
      <c r="X78" s="65">
        <f t="shared" si="41"/>
        <v>33750</v>
      </c>
      <c r="Y78" s="65">
        <f t="shared" si="41"/>
        <v>45000</v>
      </c>
      <c r="AA78" s="80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48" t="str">
        <f t="shared" si="42"/>
        <v>緬甸元</v>
      </c>
      <c r="D79" s="48" t="str">
        <f t="shared" si="42"/>
        <v/>
      </c>
      <c r="E79" s="64">
        <f t="shared" si="42"/>
        <v>0.05</v>
      </c>
      <c r="F79" s="65">
        <f t="shared" ref="F79:Y79" si="43">HLOOKUP(F26,$F$1:$AI$2,2) * $D$1 * $E79</f>
        <v>75</v>
      </c>
      <c r="G79" s="65">
        <f t="shared" si="43"/>
        <v>112.5</v>
      </c>
      <c r="H79" s="65">
        <f t="shared" si="43"/>
        <v>150</v>
      </c>
      <c r="I79" s="65">
        <f t="shared" si="43"/>
        <v>225</v>
      </c>
      <c r="J79" s="65">
        <f t="shared" si="43"/>
        <v>300</v>
      </c>
      <c r="K79" s="65">
        <f t="shared" si="43"/>
        <v>375</v>
      </c>
      <c r="L79" s="65">
        <f t="shared" si="43"/>
        <v>450</v>
      </c>
      <c r="M79" s="65">
        <f t="shared" si="43"/>
        <v>600</v>
      </c>
      <c r="N79" s="65">
        <f t="shared" si="43"/>
        <v>750</v>
      </c>
      <c r="O79" s="65">
        <f t="shared" si="43"/>
        <v>1125</v>
      </c>
      <c r="P79" s="65">
        <f t="shared" si="43"/>
        <v>1500</v>
      </c>
      <c r="Q79" s="65">
        <f t="shared" si="43"/>
        <v>2250</v>
      </c>
      <c r="R79" s="65">
        <f t="shared" si="43"/>
        <v>3750</v>
      </c>
      <c r="S79" s="65">
        <f t="shared" si="43"/>
        <v>7500</v>
      </c>
      <c r="T79" s="65">
        <f t="shared" si="43"/>
        <v>11250</v>
      </c>
      <c r="U79" s="65">
        <f t="shared" si="43"/>
        <v>22500</v>
      </c>
      <c r="V79" s="65">
        <f t="shared" si="43"/>
        <v>37500</v>
      </c>
      <c r="W79" s="65">
        <f t="shared" si="43"/>
        <v>56250</v>
      </c>
      <c r="X79" s="65">
        <f t="shared" si="43"/>
        <v>75000</v>
      </c>
      <c r="Y79" s="65">
        <f t="shared" si="43"/>
        <v>112500</v>
      </c>
      <c r="AA79" s="80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48" t="str">
        <f t="shared" si="44"/>
        <v>印尼盧比</v>
      </c>
      <c r="D80" s="48" t="str">
        <f t="shared" si="44"/>
        <v/>
      </c>
      <c r="E80" s="64">
        <f t="shared" si="44"/>
        <v>0.5</v>
      </c>
      <c r="F80" s="65">
        <f t="shared" ref="F80:Y80" si="45">HLOOKUP(F27,$F$1:$AI$2,2) * $D$1 * $E80</f>
        <v>150</v>
      </c>
      <c r="G80" s="65">
        <f t="shared" si="45"/>
        <v>750</v>
      </c>
      <c r="H80" s="65">
        <f t="shared" si="45"/>
        <v>1125</v>
      </c>
      <c r="I80" s="65">
        <f t="shared" si="45"/>
        <v>1500</v>
      </c>
      <c r="J80" s="65">
        <f t="shared" si="45"/>
        <v>2250</v>
      </c>
      <c r="K80" s="65">
        <f t="shared" si="45"/>
        <v>3000</v>
      </c>
      <c r="L80" s="65">
        <f t="shared" si="45"/>
        <v>3750</v>
      </c>
      <c r="M80" s="65">
        <f t="shared" si="45"/>
        <v>4500</v>
      </c>
      <c r="N80" s="65">
        <f t="shared" si="45"/>
        <v>6000</v>
      </c>
      <c r="O80" s="65">
        <f t="shared" si="45"/>
        <v>7500</v>
      </c>
      <c r="P80" s="65">
        <f t="shared" si="45"/>
        <v>11250</v>
      </c>
      <c r="Q80" s="65">
        <f t="shared" si="45"/>
        <v>15000</v>
      </c>
      <c r="R80" s="65">
        <f t="shared" si="45"/>
        <v>22500</v>
      </c>
      <c r="S80" s="65">
        <f t="shared" si="45"/>
        <v>37500</v>
      </c>
      <c r="T80" s="65">
        <f t="shared" si="45"/>
        <v>75000</v>
      </c>
      <c r="U80" s="65">
        <f t="shared" si="45"/>
        <v>112500</v>
      </c>
      <c r="V80" s="65">
        <f t="shared" si="45"/>
        <v>225000</v>
      </c>
      <c r="W80" s="65">
        <f t="shared" si="45"/>
        <v>375000</v>
      </c>
      <c r="X80" s="65">
        <f t="shared" si="45"/>
        <v>562500</v>
      </c>
      <c r="Y80" s="65">
        <f t="shared" si="45"/>
        <v>750000</v>
      </c>
      <c r="AA80" s="80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48" t="str">
        <f t="shared" si="46"/>
        <v>盧布</v>
      </c>
      <c r="D81" s="48" t="str">
        <f t="shared" si="46"/>
        <v/>
      </c>
      <c r="E81" s="64">
        <f t="shared" si="46"/>
        <v>0.002</v>
      </c>
      <c r="F81" s="65">
        <f t="shared" ref="F81:Y81" si="47">HLOOKUP(F28,$F$1:$AI$2,2) * $D$1 * $E81</f>
        <v>3</v>
      </c>
      <c r="G81" s="65">
        <f t="shared" si="47"/>
        <v>4.5</v>
      </c>
      <c r="H81" s="65">
        <f t="shared" si="47"/>
        <v>6</v>
      </c>
      <c r="I81" s="65">
        <f t="shared" si="47"/>
        <v>9</v>
      </c>
      <c r="J81" s="65">
        <f t="shared" si="47"/>
        <v>12</v>
      </c>
      <c r="K81" s="65">
        <f t="shared" si="47"/>
        <v>15</v>
      </c>
      <c r="L81" s="65">
        <f t="shared" si="47"/>
        <v>18</v>
      </c>
      <c r="M81" s="65">
        <f t="shared" si="47"/>
        <v>24</v>
      </c>
      <c r="N81" s="65">
        <f t="shared" si="47"/>
        <v>30</v>
      </c>
      <c r="O81" s="65">
        <f t="shared" si="47"/>
        <v>45</v>
      </c>
      <c r="P81" s="65">
        <f t="shared" si="47"/>
        <v>60</v>
      </c>
      <c r="Q81" s="65">
        <f t="shared" si="47"/>
        <v>90</v>
      </c>
      <c r="R81" s="65">
        <f t="shared" si="47"/>
        <v>150</v>
      </c>
      <c r="S81" s="65">
        <f t="shared" si="47"/>
        <v>300</v>
      </c>
      <c r="T81" s="65">
        <f t="shared" si="47"/>
        <v>450</v>
      </c>
      <c r="U81" s="65">
        <f t="shared" si="47"/>
        <v>900</v>
      </c>
      <c r="V81" s="65">
        <f t="shared" si="47"/>
        <v>1500</v>
      </c>
      <c r="W81" s="65">
        <f t="shared" si="47"/>
        <v>2250</v>
      </c>
      <c r="X81" s="65">
        <f t="shared" si="47"/>
        <v>3000</v>
      </c>
      <c r="Y81" s="65">
        <f t="shared" si="47"/>
        <v>4500</v>
      </c>
      <c r="AA81" s="80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48" t="str">
        <f t="shared" si="48"/>
        <v>斯里蘭卡盧比</v>
      </c>
      <c r="D82" s="48" t="str">
        <f t="shared" si="48"/>
        <v/>
      </c>
      <c r="E82" s="64">
        <f t="shared" si="48"/>
        <v>0.01</v>
      </c>
      <c r="F82" s="65">
        <f t="shared" ref="F82:Y82" si="49">HLOOKUP(F29,$F$1:$AI$2,2) * $D$1 * $E82</f>
        <v>7.5</v>
      </c>
      <c r="G82" s="65">
        <f t="shared" si="49"/>
        <v>15</v>
      </c>
      <c r="H82" s="65">
        <f t="shared" si="49"/>
        <v>22.5</v>
      </c>
      <c r="I82" s="65">
        <f t="shared" si="49"/>
        <v>30</v>
      </c>
      <c r="J82" s="65">
        <f t="shared" si="49"/>
        <v>45</v>
      </c>
      <c r="K82" s="65">
        <f t="shared" si="49"/>
        <v>60</v>
      </c>
      <c r="L82" s="65">
        <f t="shared" si="49"/>
        <v>75</v>
      </c>
      <c r="M82" s="65">
        <f t="shared" si="49"/>
        <v>90</v>
      </c>
      <c r="N82" s="65">
        <f t="shared" si="49"/>
        <v>120</v>
      </c>
      <c r="O82" s="65">
        <f t="shared" si="49"/>
        <v>150</v>
      </c>
      <c r="P82" s="65">
        <f t="shared" si="49"/>
        <v>225</v>
      </c>
      <c r="Q82" s="65">
        <f t="shared" si="49"/>
        <v>300</v>
      </c>
      <c r="R82" s="65">
        <f t="shared" si="49"/>
        <v>450</v>
      </c>
      <c r="S82" s="65">
        <f t="shared" si="49"/>
        <v>750</v>
      </c>
      <c r="T82" s="65">
        <f t="shared" si="49"/>
        <v>1500</v>
      </c>
      <c r="U82" s="65">
        <f t="shared" si="49"/>
        <v>2250</v>
      </c>
      <c r="V82" s="65">
        <f t="shared" si="49"/>
        <v>4500</v>
      </c>
      <c r="W82" s="65">
        <f t="shared" si="49"/>
        <v>7500</v>
      </c>
      <c r="X82" s="65">
        <f t="shared" si="49"/>
        <v>11250</v>
      </c>
      <c r="Y82" s="65">
        <f t="shared" si="49"/>
        <v>15000</v>
      </c>
      <c r="AA82" s="80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48" t="str">
        <f t="shared" si="50"/>
        <v>衣索比亞比爾</v>
      </c>
      <c r="D83" s="48" t="str">
        <f t="shared" si="50"/>
        <v/>
      </c>
      <c r="E83" s="64">
        <f t="shared" si="50"/>
        <v>0.002</v>
      </c>
      <c r="F83" s="65">
        <f t="shared" ref="F83:Y83" si="51">HLOOKUP(F30,$F$1:$AI$2,2) * $D$1 * $E83</f>
        <v>1.5</v>
      </c>
      <c r="G83" s="65">
        <f t="shared" si="51"/>
        <v>3</v>
      </c>
      <c r="H83" s="65">
        <f t="shared" si="51"/>
        <v>4.5</v>
      </c>
      <c r="I83" s="65">
        <f t="shared" si="51"/>
        <v>6</v>
      </c>
      <c r="J83" s="65">
        <f t="shared" si="51"/>
        <v>9</v>
      </c>
      <c r="K83" s="65">
        <f t="shared" si="51"/>
        <v>12</v>
      </c>
      <c r="L83" s="65">
        <f t="shared" si="51"/>
        <v>15</v>
      </c>
      <c r="M83" s="65">
        <f t="shared" si="51"/>
        <v>18</v>
      </c>
      <c r="N83" s="65">
        <f t="shared" si="51"/>
        <v>24</v>
      </c>
      <c r="O83" s="65">
        <f t="shared" si="51"/>
        <v>30</v>
      </c>
      <c r="P83" s="65">
        <f t="shared" si="51"/>
        <v>45</v>
      </c>
      <c r="Q83" s="65">
        <f t="shared" si="51"/>
        <v>60</v>
      </c>
      <c r="R83" s="65">
        <f t="shared" si="51"/>
        <v>90</v>
      </c>
      <c r="S83" s="65">
        <f t="shared" si="51"/>
        <v>150</v>
      </c>
      <c r="T83" s="65">
        <f t="shared" si="51"/>
        <v>300</v>
      </c>
      <c r="U83" s="65">
        <f t="shared" si="51"/>
        <v>450</v>
      </c>
      <c r="V83" s="65">
        <f t="shared" si="51"/>
        <v>900</v>
      </c>
      <c r="W83" s="65">
        <f t="shared" si="51"/>
        <v>1500</v>
      </c>
      <c r="X83" s="65">
        <f t="shared" si="51"/>
        <v>2250</v>
      </c>
      <c r="Y83" s="65">
        <f t="shared" si="51"/>
        <v>3000</v>
      </c>
      <c r="AA83" s="80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48" t="str">
        <f t="shared" si="52"/>
        <v>烏干達先令</v>
      </c>
      <c r="D84" s="48" t="str">
        <f t="shared" si="52"/>
        <v/>
      </c>
      <c r="E84" s="64">
        <f t="shared" si="52"/>
        <v>0.1</v>
      </c>
      <c r="F84" s="65">
        <f t="shared" ref="F84:Y84" si="53">HLOOKUP(F31,$F$1:$AI$2,2) * $D$1 * $E84</f>
        <v>150</v>
      </c>
      <c r="G84" s="65">
        <f t="shared" si="53"/>
        <v>225</v>
      </c>
      <c r="H84" s="65">
        <f t="shared" si="53"/>
        <v>300</v>
      </c>
      <c r="I84" s="65">
        <f t="shared" si="53"/>
        <v>450</v>
      </c>
      <c r="J84" s="65">
        <f t="shared" si="53"/>
        <v>600</v>
      </c>
      <c r="K84" s="65">
        <f t="shared" si="53"/>
        <v>750</v>
      </c>
      <c r="L84" s="65">
        <f t="shared" si="53"/>
        <v>900</v>
      </c>
      <c r="M84" s="65">
        <f t="shared" si="53"/>
        <v>1200</v>
      </c>
      <c r="N84" s="65">
        <f t="shared" si="53"/>
        <v>1500</v>
      </c>
      <c r="O84" s="65">
        <f t="shared" si="53"/>
        <v>2250</v>
      </c>
      <c r="P84" s="65">
        <f t="shared" si="53"/>
        <v>3000</v>
      </c>
      <c r="Q84" s="65">
        <f t="shared" si="53"/>
        <v>4500</v>
      </c>
      <c r="R84" s="65">
        <f t="shared" si="53"/>
        <v>7500</v>
      </c>
      <c r="S84" s="65">
        <f t="shared" si="53"/>
        <v>15000</v>
      </c>
      <c r="T84" s="65">
        <f t="shared" si="53"/>
        <v>22500</v>
      </c>
      <c r="U84" s="65">
        <f t="shared" si="53"/>
        <v>45000</v>
      </c>
      <c r="V84" s="65">
        <f t="shared" si="53"/>
        <v>75000</v>
      </c>
      <c r="W84" s="65">
        <f t="shared" si="53"/>
        <v>112500</v>
      </c>
      <c r="X84" s="65">
        <f t="shared" si="53"/>
        <v>150000</v>
      </c>
      <c r="Y84" s="65">
        <f t="shared" si="53"/>
        <v>225000</v>
      </c>
      <c r="AA84" s="80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48" t="str">
        <f t="shared" si="54"/>
        <v>歐元</v>
      </c>
      <c r="D85" s="48" t="str">
        <f t="shared" si="54"/>
        <v/>
      </c>
      <c r="E85" s="64">
        <f t="shared" si="54"/>
        <v>0.002</v>
      </c>
      <c r="F85" s="65">
        <f t="shared" ref="F85:Y85" si="55">HLOOKUP(F32,$F$1:$AI$2,2) * $D$1 * $E85</f>
        <v>0.3</v>
      </c>
      <c r="G85" s="65">
        <f t="shared" si="55"/>
        <v>0.6</v>
      </c>
      <c r="H85" s="65">
        <f t="shared" si="55"/>
        <v>1.5</v>
      </c>
      <c r="I85" s="65">
        <f t="shared" si="55"/>
        <v>3</v>
      </c>
      <c r="J85" s="65">
        <f t="shared" si="55"/>
        <v>3.6</v>
      </c>
      <c r="K85" s="65">
        <f t="shared" si="55"/>
        <v>4.5</v>
      </c>
      <c r="L85" s="65">
        <f t="shared" si="55"/>
        <v>6</v>
      </c>
      <c r="M85" s="65">
        <f t="shared" si="55"/>
        <v>7.5</v>
      </c>
      <c r="N85" s="65">
        <f t="shared" si="55"/>
        <v>9</v>
      </c>
      <c r="O85" s="65">
        <f t="shared" si="55"/>
        <v>10.5</v>
      </c>
      <c r="P85" s="65">
        <f t="shared" si="55"/>
        <v>12</v>
      </c>
      <c r="Q85" s="65">
        <f t="shared" si="55"/>
        <v>13.5</v>
      </c>
      <c r="R85" s="65">
        <f t="shared" si="55"/>
        <v>15</v>
      </c>
      <c r="S85" s="65">
        <f t="shared" si="55"/>
        <v>18</v>
      </c>
      <c r="T85" s="65">
        <f t="shared" si="55"/>
        <v>21</v>
      </c>
      <c r="U85" s="65">
        <f t="shared" si="55"/>
        <v>24</v>
      </c>
      <c r="V85" s="65">
        <f t="shared" si="55"/>
        <v>27</v>
      </c>
      <c r="W85" s="65">
        <f t="shared" si="55"/>
        <v>30</v>
      </c>
      <c r="X85" s="65">
        <f t="shared" si="55"/>
        <v>45</v>
      </c>
      <c r="Y85" s="65">
        <f t="shared" si="55"/>
        <v>60</v>
      </c>
      <c r="AA85" s="80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48" t="str">
        <f t="shared" si="56"/>
        <v>阿根廷披索</v>
      </c>
      <c r="D86" s="48" t="str">
        <f t="shared" si="56"/>
        <v/>
      </c>
      <c r="E86" s="64">
        <f t="shared" si="56"/>
        <v>0.02</v>
      </c>
      <c r="F86" s="65">
        <f t="shared" ref="F86:Y86" si="57">HLOOKUP(F33,$F$1:$AI$2,2) * $D$1 * $E86</f>
        <v>30</v>
      </c>
      <c r="G86" s="65">
        <f t="shared" si="57"/>
        <v>45</v>
      </c>
      <c r="H86" s="65">
        <f t="shared" si="57"/>
        <v>60</v>
      </c>
      <c r="I86" s="65">
        <f t="shared" si="57"/>
        <v>90</v>
      </c>
      <c r="J86" s="65">
        <f t="shared" si="57"/>
        <v>120</v>
      </c>
      <c r="K86" s="65">
        <f t="shared" si="57"/>
        <v>150</v>
      </c>
      <c r="L86" s="65">
        <f t="shared" si="57"/>
        <v>180</v>
      </c>
      <c r="M86" s="65">
        <f t="shared" si="57"/>
        <v>240</v>
      </c>
      <c r="N86" s="65">
        <f t="shared" si="57"/>
        <v>300</v>
      </c>
      <c r="O86" s="65">
        <f t="shared" si="57"/>
        <v>450</v>
      </c>
      <c r="P86" s="65">
        <f t="shared" si="57"/>
        <v>600</v>
      </c>
      <c r="Q86" s="65">
        <f t="shared" si="57"/>
        <v>900</v>
      </c>
      <c r="R86" s="65">
        <f t="shared" si="57"/>
        <v>1500</v>
      </c>
      <c r="S86" s="65">
        <f t="shared" si="57"/>
        <v>3000</v>
      </c>
      <c r="T86" s="65">
        <f t="shared" si="57"/>
        <v>4500</v>
      </c>
      <c r="U86" s="65">
        <f t="shared" si="57"/>
        <v>9000</v>
      </c>
      <c r="V86" s="65">
        <f t="shared" si="57"/>
        <v>15000</v>
      </c>
      <c r="W86" s="65">
        <f t="shared" si="57"/>
        <v>22500</v>
      </c>
      <c r="X86" s="65">
        <f t="shared" si="57"/>
        <v>30000</v>
      </c>
      <c r="Y86" s="65">
        <f t="shared" si="57"/>
        <v>45000</v>
      </c>
      <c r="AA86" s="80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48" t="str">
        <f t="shared" si="58"/>
        <v>奈及利亞奈拉</v>
      </c>
      <c r="D87" s="48" t="str">
        <f t="shared" si="58"/>
        <v/>
      </c>
      <c r="E87" s="64">
        <f t="shared" si="58"/>
        <v>0.02</v>
      </c>
      <c r="F87" s="65">
        <f t="shared" ref="F87:Y87" si="59">HLOOKUP(F34,$F$1:$AI$2,2) * $D$1 * $E87</f>
        <v>15</v>
      </c>
      <c r="G87" s="65">
        <f t="shared" si="59"/>
        <v>30</v>
      </c>
      <c r="H87" s="65">
        <f t="shared" si="59"/>
        <v>45</v>
      </c>
      <c r="I87" s="65">
        <f t="shared" si="59"/>
        <v>60</v>
      </c>
      <c r="J87" s="65">
        <f t="shared" si="59"/>
        <v>90</v>
      </c>
      <c r="K87" s="65">
        <f t="shared" si="59"/>
        <v>120</v>
      </c>
      <c r="L87" s="65">
        <f t="shared" si="59"/>
        <v>180</v>
      </c>
      <c r="M87" s="65">
        <f t="shared" si="59"/>
        <v>240</v>
      </c>
      <c r="N87" s="65">
        <f t="shared" si="59"/>
        <v>300</v>
      </c>
      <c r="O87" s="65">
        <f t="shared" si="59"/>
        <v>450</v>
      </c>
      <c r="P87" s="65">
        <f t="shared" si="59"/>
        <v>600</v>
      </c>
      <c r="Q87" s="65">
        <f t="shared" si="59"/>
        <v>900</v>
      </c>
      <c r="R87" s="65">
        <f t="shared" si="59"/>
        <v>1500</v>
      </c>
      <c r="S87" s="65">
        <f t="shared" si="59"/>
        <v>3000</v>
      </c>
      <c r="T87" s="65">
        <f t="shared" si="59"/>
        <v>4500</v>
      </c>
      <c r="U87" s="65">
        <f t="shared" si="59"/>
        <v>9000</v>
      </c>
      <c r="V87" s="65">
        <f t="shared" si="59"/>
        <v>15000</v>
      </c>
      <c r="W87" s="65">
        <f t="shared" si="59"/>
        <v>22500</v>
      </c>
      <c r="X87" s="65">
        <f t="shared" si="59"/>
        <v>30000</v>
      </c>
      <c r="Y87" s="65">
        <f t="shared" si="59"/>
        <v>45000</v>
      </c>
      <c r="AA87" s="80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48" t="str">
        <f t="shared" si="60"/>
        <v>肯亞先令</v>
      </c>
      <c r="D88" s="48" t="str">
        <f t="shared" si="60"/>
        <v/>
      </c>
      <c r="E88" s="64">
        <f t="shared" si="60"/>
        <v>0.002</v>
      </c>
      <c r="F88" s="65">
        <f t="shared" ref="F88:Y88" si="61">HLOOKUP(F35,$F$1:$AI$2,2) * $D$1 * $E88</f>
        <v>6</v>
      </c>
      <c r="G88" s="65">
        <f t="shared" si="61"/>
        <v>9</v>
      </c>
      <c r="H88" s="65">
        <f t="shared" si="61"/>
        <v>12</v>
      </c>
      <c r="I88" s="65">
        <f t="shared" si="61"/>
        <v>18</v>
      </c>
      <c r="J88" s="65">
        <f t="shared" si="61"/>
        <v>21</v>
      </c>
      <c r="K88" s="65">
        <f t="shared" si="61"/>
        <v>24</v>
      </c>
      <c r="L88" s="65">
        <f t="shared" si="61"/>
        <v>27</v>
      </c>
      <c r="M88" s="65">
        <f t="shared" si="61"/>
        <v>30</v>
      </c>
      <c r="N88" s="65">
        <f t="shared" si="61"/>
        <v>45</v>
      </c>
      <c r="O88" s="65">
        <f t="shared" si="61"/>
        <v>60</v>
      </c>
      <c r="P88" s="65">
        <f t="shared" si="61"/>
        <v>90</v>
      </c>
      <c r="Q88" s="65">
        <f t="shared" si="61"/>
        <v>150</v>
      </c>
      <c r="R88" s="65">
        <f t="shared" si="61"/>
        <v>300</v>
      </c>
      <c r="S88" s="65">
        <f t="shared" si="61"/>
        <v>450</v>
      </c>
      <c r="T88" s="65">
        <f t="shared" si="61"/>
        <v>900</v>
      </c>
      <c r="U88" s="65">
        <f t="shared" si="61"/>
        <v>1500</v>
      </c>
      <c r="V88" s="65">
        <f t="shared" si="61"/>
        <v>2250</v>
      </c>
      <c r="W88" s="65">
        <f t="shared" si="61"/>
        <v>3000</v>
      </c>
      <c r="X88" s="65">
        <f t="shared" si="61"/>
        <v>4500</v>
      </c>
      <c r="Y88" s="65">
        <f t="shared" si="61"/>
        <v>7500</v>
      </c>
      <c r="AA88" s="80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48" t="str">
        <f t="shared" si="62"/>
        <v>南非鍰</v>
      </c>
      <c r="D89" s="48" t="str">
        <f t="shared" si="62"/>
        <v/>
      </c>
      <c r="E89" s="64">
        <f t="shared" si="62"/>
        <v>0.002</v>
      </c>
      <c r="F89" s="65">
        <f t="shared" ref="F89:Y89" si="63">HLOOKUP(F36,$F$1:$AI$2,2) * $D$1 * $E89</f>
        <v>0.6</v>
      </c>
      <c r="G89" s="65">
        <f t="shared" si="63"/>
        <v>1.5</v>
      </c>
      <c r="H89" s="65">
        <f t="shared" si="63"/>
        <v>3</v>
      </c>
      <c r="I89" s="65">
        <f t="shared" si="63"/>
        <v>3.6</v>
      </c>
      <c r="J89" s="65">
        <f t="shared" si="63"/>
        <v>4.5</v>
      </c>
      <c r="K89" s="65">
        <f t="shared" si="63"/>
        <v>6</v>
      </c>
      <c r="L89" s="65">
        <f t="shared" si="63"/>
        <v>7.5</v>
      </c>
      <c r="M89" s="65">
        <f t="shared" si="63"/>
        <v>9</v>
      </c>
      <c r="N89" s="65">
        <f t="shared" si="63"/>
        <v>12</v>
      </c>
      <c r="O89" s="65">
        <f t="shared" si="63"/>
        <v>15</v>
      </c>
      <c r="P89" s="65">
        <f t="shared" si="63"/>
        <v>18</v>
      </c>
      <c r="Q89" s="65">
        <f t="shared" si="63"/>
        <v>24</v>
      </c>
      <c r="R89" s="65">
        <f t="shared" si="63"/>
        <v>30</v>
      </c>
      <c r="S89" s="65">
        <f t="shared" si="63"/>
        <v>45</v>
      </c>
      <c r="T89" s="65">
        <f t="shared" si="63"/>
        <v>60</v>
      </c>
      <c r="U89" s="65">
        <f t="shared" si="63"/>
        <v>90</v>
      </c>
      <c r="V89" s="65">
        <f t="shared" si="63"/>
        <v>150</v>
      </c>
      <c r="W89" s="65">
        <f t="shared" si="63"/>
        <v>300</v>
      </c>
      <c r="X89" s="65">
        <f t="shared" si="63"/>
        <v>450</v>
      </c>
      <c r="Y89" s="65">
        <f t="shared" si="63"/>
        <v>900</v>
      </c>
      <c r="AA89" s="80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48" t="str">
        <f t="shared" si="64"/>
        <v>土耳其里拉</v>
      </c>
      <c r="D90" s="48" t="str">
        <f t="shared" si="64"/>
        <v/>
      </c>
      <c r="E90" s="64">
        <f t="shared" si="64"/>
        <v>0.002</v>
      </c>
      <c r="F90" s="65">
        <f t="shared" ref="F90:Y90" si="65">HLOOKUP(F37,$F$1:$AI$2,2) * $D$1 * $E90</f>
        <v>1.5</v>
      </c>
      <c r="G90" s="65">
        <f t="shared" si="65"/>
        <v>3</v>
      </c>
      <c r="H90" s="65">
        <f t="shared" si="65"/>
        <v>3.6</v>
      </c>
      <c r="I90" s="65">
        <f t="shared" si="65"/>
        <v>4.5</v>
      </c>
      <c r="J90" s="65">
        <f t="shared" si="65"/>
        <v>6</v>
      </c>
      <c r="K90" s="65">
        <f t="shared" si="65"/>
        <v>7.5</v>
      </c>
      <c r="L90" s="65">
        <f t="shared" si="65"/>
        <v>9</v>
      </c>
      <c r="M90" s="65">
        <f t="shared" si="65"/>
        <v>12</v>
      </c>
      <c r="N90" s="65">
        <f t="shared" si="65"/>
        <v>15</v>
      </c>
      <c r="O90" s="65">
        <f t="shared" si="65"/>
        <v>18</v>
      </c>
      <c r="P90" s="65">
        <f t="shared" si="65"/>
        <v>24</v>
      </c>
      <c r="Q90" s="65">
        <f t="shared" si="65"/>
        <v>30</v>
      </c>
      <c r="R90" s="65">
        <f t="shared" si="65"/>
        <v>45</v>
      </c>
      <c r="S90" s="65">
        <f t="shared" si="65"/>
        <v>60</v>
      </c>
      <c r="T90" s="65">
        <f t="shared" si="65"/>
        <v>90</v>
      </c>
      <c r="U90" s="65">
        <f t="shared" si="65"/>
        <v>150</v>
      </c>
      <c r="V90" s="65">
        <f t="shared" si="65"/>
        <v>300</v>
      </c>
      <c r="W90" s="65">
        <f t="shared" si="65"/>
        <v>450</v>
      </c>
      <c r="X90" s="65">
        <f t="shared" si="65"/>
        <v>900</v>
      </c>
      <c r="Y90" s="65">
        <f t="shared" si="65"/>
        <v>1500</v>
      </c>
      <c r="AA90" s="80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48" t="str">
        <f t="shared" si="66"/>
        <v>英鎊</v>
      </c>
      <c r="D91" s="48" t="str">
        <f t="shared" si="66"/>
        <v/>
      </c>
      <c r="E91" s="64">
        <f t="shared" si="66"/>
        <v>0.002</v>
      </c>
      <c r="F91" s="65">
        <f t="shared" ref="F91:Y91" si="67">HLOOKUP(F38,$F$1:$AI$2,2) * $D$1 * $E91</f>
        <v>0.3</v>
      </c>
      <c r="G91" s="65">
        <f t="shared" si="67"/>
        <v>0.6</v>
      </c>
      <c r="H91" s="65">
        <f t="shared" si="67"/>
        <v>1.5</v>
      </c>
      <c r="I91" s="65">
        <f t="shared" si="67"/>
        <v>3</v>
      </c>
      <c r="J91" s="65">
        <f t="shared" si="67"/>
        <v>3.6</v>
      </c>
      <c r="K91" s="65">
        <f t="shared" si="67"/>
        <v>4.5</v>
      </c>
      <c r="L91" s="65">
        <f t="shared" si="67"/>
        <v>6</v>
      </c>
      <c r="M91" s="65">
        <f t="shared" si="67"/>
        <v>7.5</v>
      </c>
      <c r="N91" s="65">
        <f t="shared" si="67"/>
        <v>9</v>
      </c>
      <c r="O91" s="65">
        <f t="shared" si="67"/>
        <v>10.5</v>
      </c>
      <c r="P91" s="65">
        <f t="shared" si="67"/>
        <v>12</v>
      </c>
      <c r="Q91" s="65">
        <f t="shared" si="67"/>
        <v>13.5</v>
      </c>
      <c r="R91" s="65">
        <f t="shared" si="67"/>
        <v>15</v>
      </c>
      <c r="S91" s="65">
        <f t="shared" si="67"/>
        <v>18</v>
      </c>
      <c r="T91" s="65">
        <f t="shared" si="67"/>
        <v>21</v>
      </c>
      <c r="U91" s="65">
        <f t="shared" si="67"/>
        <v>24</v>
      </c>
      <c r="V91" s="65">
        <f t="shared" si="67"/>
        <v>27</v>
      </c>
      <c r="W91" s="65">
        <f t="shared" si="67"/>
        <v>30</v>
      </c>
      <c r="X91" s="65">
        <f t="shared" si="67"/>
        <v>45</v>
      </c>
      <c r="Y91" s="65">
        <f t="shared" si="67"/>
        <v>60</v>
      </c>
      <c r="AA91" s="80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48" t="str">
        <f t="shared" si="68"/>
        <v>尼泊爾盧比</v>
      </c>
      <c r="D92" s="48" t="str">
        <f t="shared" si="68"/>
        <v/>
      </c>
      <c r="E92" s="64">
        <f t="shared" si="68"/>
        <v>0.002</v>
      </c>
      <c r="F92" s="65">
        <f t="shared" ref="F92:Y92" si="69">HLOOKUP(F39,$F$1:$AI$2,2) * $D$1 * $E92</f>
        <v>6</v>
      </c>
      <c r="G92" s="65">
        <f t="shared" si="69"/>
        <v>9</v>
      </c>
      <c r="H92" s="65">
        <f t="shared" si="69"/>
        <v>12</v>
      </c>
      <c r="I92" s="65">
        <f t="shared" si="69"/>
        <v>18</v>
      </c>
      <c r="J92" s="65">
        <f t="shared" si="69"/>
        <v>21</v>
      </c>
      <c r="K92" s="65">
        <f t="shared" si="69"/>
        <v>24</v>
      </c>
      <c r="L92" s="65">
        <f t="shared" si="69"/>
        <v>27</v>
      </c>
      <c r="M92" s="65">
        <f t="shared" si="69"/>
        <v>30</v>
      </c>
      <c r="N92" s="65">
        <f t="shared" si="69"/>
        <v>45</v>
      </c>
      <c r="O92" s="65">
        <f t="shared" si="69"/>
        <v>60</v>
      </c>
      <c r="P92" s="65">
        <f t="shared" si="69"/>
        <v>90</v>
      </c>
      <c r="Q92" s="65">
        <f t="shared" si="69"/>
        <v>150</v>
      </c>
      <c r="R92" s="65">
        <f t="shared" si="69"/>
        <v>300</v>
      </c>
      <c r="S92" s="65">
        <f t="shared" si="69"/>
        <v>450</v>
      </c>
      <c r="T92" s="65">
        <f t="shared" si="69"/>
        <v>900</v>
      </c>
      <c r="U92" s="65">
        <f t="shared" si="69"/>
        <v>1500</v>
      </c>
      <c r="V92" s="65">
        <f t="shared" si="69"/>
        <v>2250</v>
      </c>
      <c r="W92" s="65">
        <f t="shared" si="69"/>
        <v>3000</v>
      </c>
      <c r="X92" s="65">
        <f t="shared" si="69"/>
        <v>4500</v>
      </c>
      <c r="Y92" s="65">
        <f t="shared" si="69"/>
        <v>7500</v>
      </c>
      <c r="AA92" s="80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48" t="str">
        <f t="shared" si="70"/>
        <v>瑞士法郎</v>
      </c>
      <c r="D93" s="48" t="str">
        <f t="shared" si="70"/>
        <v/>
      </c>
      <c r="E93" s="64">
        <f t="shared" si="70"/>
        <v>0.002</v>
      </c>
      <c r="F93" s="65">
        <f t="shared" ref="F93:Y93" si="71">HLOOKUP(F40,$F$1:$AI$2,2) * $D$1 * $E93</f>
        <v>0.3</v>
      </c>
      <c r="G93" s="65">
        <f t="shared" si="71"/>
        <v>0.6</v>
      </c>
      <c r="H93" s="65">
        <f t="shared" si="71"/>
        <v>1.5</v>
      </c>
      <c r="I93" s="65">
        <f t="shared" si="71"/>
        <v>3</v>
      </c>
      <c r="J93" s="65">
        <f t="shared" si="71"/>
        <v>3.6</v>
      </c>
      <c r="K93" s="65">
        <f t="shared" si="71"/>
        <v>4.5</v>
      </c>
      <c r="L93" s="65">
        <f t="shared" si="71"/>
        <v>6</v>
      </c>
      <c r="M93" s="65">
        <f t="shared" si="71"/>
        <v>7.5</v>
      </c>
      <c r="N93" s="65">
        <f t="shared" si="71"/>
        <v>9</v>
      </c>
      <c r="O93" s="65">
        <f t="shared" si="71"/>
        <v>10.5</v>
      </c>
      <c r="P93" s="65">
        <f t="shared" si="71"/>
        <v>12</v>
      </c>
      <c r="Q93" s="65">
        <f t="shared" si="71"/>
        <v>13.5</v>
      </c>
      <c r="R93" s="65">
        <f t="shared" si="71"/>
        <v>15</v>
      </c>
      <c r="S93" s="65">
        <f t="shared" si="71"/>
        <v>18</v>
      </c>
      <c r="T93" s="65">
        <f t="shared" si="71"/>
        <v>21</v>
      </c>
      <c r="U93" s="65">
        <f t="shared" si="71"/>
        <v>24</v>
      </c>
      <c r="V93" s="65">
        <f t="shared" si="71"/>
        <v>27</v>
      </c>
      <c r="W93" s="65">
        <f t="shared" si="71"/>
        <v>30</v>
      </c>
      <c r="X93" s="65">
        <f t="shared" si="71"/>
        <v>45</v>
      </c>
      <c r="Y93" s="65">
        <f t="shared" si="71"/>
        <v>60</v>
      </c>
      <c r="AA93" s="80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48" t="str">
        <f t="shared" si="72"/>
        <v>加幣</v>
      </c>
      <c r="D94" s="48" t="str">
        <f t="shared" si="72"/>
        <v/>
      </c>
      <c r="E94" s="64">
        <f t="shared" si="72"/>
        <v>0.002</v>
      </c>
      <c r="F94" s="65">
        <f t="shared" ref="F94:Y94" si="73">HLOOKUP(F41,$F$1:$AI$2,2) * $D$1 * $E94</f>
        <v>0.3</v>
      </c>
      <c r="G94" s="65">
        <f t="shared" si="73"/>
        <v>0.6</v>
      </c>
      <c r="H94" s="65">
        <f t="shared" si="73"/>
        <v>1.5</v>
      </c>
      <c r="I94" s="65">
        <f t="shared" si="73"/>
        <v>3</v>
      </c>
      <c r="J94" s="65">
        <f t="shared" si="73"/>
        <v>3.6</v>
      </c>
      <c r="K94" s="65">
        <f t="shared" si="73"/>
        <v>4.5</v>
      </c>
      <c r="L94" s="65">
        <f t="shared" si="73"/>
        <v>6</v>
      </c>
      <c r="M94" s="65">
        <f t="shared" si="73"/>
        <v>7.5</v>
      </c>
      <c r="N94" s="65">
        <f t="shared" si="73"/>
        <v>9</v>
      </c>
      <c r="O94" s="65">
        <f t="shared" si="73"/>
        <v>10.5</v>
      </c>
      <c r="P94" s="65">
        <f t="shared" si="73"/>
        <v>12</v>
      </c>
      <c r="Q94" s="65">
        <f t="shared" si="73"/>
        <v>13.5</v>
      </c>
      <c r="R94" s="65">
        <f t="shared" si="73"/>
        <v>15</v>
      </c>
      <c r="S94" s="65">
        <f t="shared" si="73"/>
        <v>18</v>
      </c>
      <c r="T94" s="65">
        <f t="shared" si="73"/>
        <v>21</v>
      </c>
      <c r="U94" s="65">
        <f t="shared" si="73"/>
        <v>24</v>
      </c>
      <c r="V94" s="65">
        <f t="shared" si="73"/>
        <v>27</v>
      </c>
      <c r="W94" s="65">
        <f t="shared" si="73"/>
        <v>30</v>
      </c>
      <c r="X94" s="65">
        <f t="shared" si="73"/>
        <v>45</v>
      </c>
      <c r="Y94" s="65">
        <f t="shared" si="73"/>
        <v>60</v>
      </c>
      <c r="AA94" s="80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48" t="str">
        <f t="shared" si="74"/>
        <v>秘魯新索爾</v>
      </c>
      <c r="D95" s="48" t="str">
        <f t="shared" si="74"/>
        <v/>
      </c>
      <c r="E95" s="64">
        <f t="shared" si="74"/>
        <v>0.002</v>
      </c>
      <c r="F95" s="65">
        <f t="shared" ref="F95:Y95" si="75">HLOOKUP(F42,$F$1:$AI$2,2) * $D$1 * $E95</f>
        <v>0.3</v>
      </c>
      <c r="G95" s="65">
        <f t="shared" si="75"/>
        <v>0.6</v>
      </c>
      <c r="H95" s="65">
        <f t="shared" si="75"/>
        <v>1.5</v>
      </c>
      <c r="I95" s="65">
        <f t="shared" si="75"/>
        <v>3</v>
      </c>
      <c r="J95" s="65">
        <f t="shared" si="75"/>
        <v>3.6</v>
      </c>
      <c r="K95" s="65">
        <f t="shared" si="75"/>
        <v>4.5</v>
      </c>
      <c r="L95" s="65">
        <f t="shared" si="75"/>
        <v>6</v>
      </c>
      <c r="M95" s="65">
        <f t="shared" si="75"/>
        <v>7.5</v>
      </c>
      <c r="N95" s="65">
        <f t="shared" si="75"/>
        <v>9</v>
      </c>
      <c r="O95" s="65">
        <f t="shared" si="75"/>
        <v>10.5</v>
      </c>
      <c r="P95" s="65">
        <f t="shared" si="75"/>
        <v>12</v>
      </c>
      <c r="Q95" s="65">
        <f t="shared" si="75"/>
        <v>15</v>
      </c>
      <c r="R95" s="65">
        <f t="shared" si="75"/>
        <v>18</v>
      </c>
      <c r="S95" s="65">
        <f t="shared" si="75"/>
        <v>24</v>
      </c>
      <c r="T95" s="65">
        <f t="shared" si="75"/>
        <v>27</v>
      </c>
      <c r="U95" s="65">
        <f t="shared" si="75"/>
        <v>30</v>
      </c>
      <c r="V95" s="65">
        <f t="shared" si="75"/>
        <v>45</v>
      </c>
      <c r="W95" s="65">
        <f t="shared" si="75"/>
        <v>60</v>
      </c>
      <c r="X95" s="65">
        <f t="shared" si="75"/>
        <v>90</v>
      </c>
      <c r="Y95" s="65">
        <f t="shared" si="75"/>
        <v>150</v>
      </c>
      <c r="AA95" s="80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48" t="str">
        <f t="shared" si="76"/>
        <v>阿聯迪拉姆</v>
      </c>
      <c r="D96" s="48" t="str">
        <f t="shared" si="76"/>
        <v/>
      </c>
      <c r="E96" s="64">
        <f t="shared" si="76"/>
        <v>0.002</v>
      </c>
      <c r="F96" s="65">
        <f t="shared" ref="F96:Y96" si="77">HLOOKUP(F43,$F$1:$AI$2,2) * $D$1 * $E96</f>
        <v>0.3</v>
      </c>
      <c r="G96" s="65">
        <f t="shared" si="77"/>
        <v>0.6</v>
      </c>
      <c r="H96" s="65">
        <f t="shared" si="77"/>
        <v>1.5</v>
      </c>
      <c r="I96" s="65">
        <f t="shared" si="77"/>
        <v>3</v>
      </c>
      <c r="J96" s="65">
        <f t="shared" si="77"/>
        <v>3.6</v>
      </c>
      <c r="K96" s="65">
        <f t="shared" si="77"/>
        <v>4.5</v>
      </c>
      <c r="L96" s="65">
        <f t="shared" si="77"/>
        <v>6</v>
      </c>
      <c r="M96" s="65">
        <f t="shared" si="77"/>
        <v>7.5</v>
      </c>
      <c r="N96" s="65">
        <f t="shared" si="77"/>
        <v>9</v>
      </c>
      <c r="O96" s="65">
        <f t="shared" si="77"/>
        <v>10.5</v>
      </c>
      <c r="P96" s="65">
        <f t="shared" si="77"/>
        <v>12</v>
      </c>
      <c r="Q96" s="65">
        <f t="shared" si="77"/>
        <v>15</v>
      </c>
      <c r="R96" s="65">
        <f t="shared" si="77"/>
        <v>18</v>
      </c>
      <c r="S96" s="65">
        <f t="shared" si="77"/>
        <v>24</v>
      </c>
      <c r="T96" s="65">
        <f t="shared" si="77"/>
        <v>27</v>
      </c>
      <c r="U96" s="65">
        <f t="shared" si="77"/>
        <v>30</v>
      </c>
      <c r="V96" s="65">
        <f t="shared" si="77"/>
        <v>45</v>
      </c>
      <c r="W96" s="65">
        <f t="shared" si="77"/>
        <v>60</v>
      </c>
      <c r="X96" s="65">
        <f t="shared" si="77"/>
        <v>90</v>
      </c>
      <c r="Y96" s="65">
        <f t="shared" si="77"/>
        <v>150</v>
      </c>
      <c r="AA96" s="80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48" t="str">
        <f t="shared" si="78"/>
        <v>汶萊幣</v>
      </c>
      <c r="D97" s="48" t="str">
        <f t="shared" si="78"/>
        <v/>
      </c>
      <c r="E97" s="64">
        <f t="shared" si="78"/>
        <v>0.002</v>
      </c>
      <c r="F97" s="65">
        <f t="shared" ref="F97:Y97" si="79">HLOOKUP(F44,$F$1:$AI$2,2) * $D$1 * $E97</f>
        <v>0.3</v>
      </c>
      <c r="G97" s="65">
        <f t="shared" si="79"/>
        <v>0.6</v>
      </c>
      <c r="H97" s="65">
        <f t="shared" si="79"/>
        <v>1.5</v>
      </c>
      <c r="I97" s="65">
        <f t="shared" si="79"/>
        <v>3</v>
      </c>
      <c r="J97" s="65">
        <f t="shared" si="79"/>
        <v>3.6</v>
      </c>
      <c r="K97" s="65">
        <f t="shared" si="79"/>
        <v>4.5</v>
      </c>
      <c r="L97" s="65">
        <f t="shared" si="79"/>
        <v>6</v>
      </c>
      <c r="M97" s="65">
        <f t="shared" si="79"/>
        <v>7.5</v>
      </c>
      <c r="N97" s="65">
        <f t="shared" si="79"/>
        <v>9</v>
      </c>
      <c r="O97" s="65">
        <f t="shared" si="79"/>
        <v>10.5</v>
      </c>
      <c r="P97" s="65">
        <f t="shared" si="79"/>
        <v>12</v>
      </c>
      <c r="Q97" s="65">
        <f t="shared" si="79"/>
        <v>13.5</v>
      </c>
      <c r="R97" s="65">
        <f t="shared" si="79"/>
        <v>15</v>
      </c>
      <c r="S97" s="65">
        <f t="shared" si="79"/>
        <v>18</v>
      </c>
      <c r="T97" s="65">
        <f t="shared" si="79"/>
        <v>21</v>
      </c>
      <c r="U97" s="65">
        <f t="shared" si="79"/>
        <v>24</v>
      </c>
      <c r="V97" s="65">
        <f t="shared" si="79"/>
        <v>30</v>
      </c>
      <c r="W97" s="65">
        <f t="shared" si="79"/>
        <v>45</v>
      </c>
      <c r="X97" s="65">
        <f t="shared" si="79"/>
        <v>60</v>
      </c>
      <c r="Y97" s="65">
        <f t="shared" si="79"/>
        <v>90</v>
      </c>
      <c r="AA97" s="80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48" t="str">
        <f t="shared" si="80"/>
        <v>哥倫比亞披索</v>
      </c>
      <c r="D98" s="48" t="str">
        <f t="shared" si="80"/>
        <v/>
      </c>
      <c r="E98" s="64">
        <f t="shared" si="80"/>
        <v>0.1</v>
      </c>
      <c r="F98" s="65">
        <f t="shared" ref="F98:Y98" si="81">HLOOKUP(F45,$F$1:$AI$2,2) * $D$1 * $E98</f>
        <v>150</v>
      </c>
      <c r="G98" s="65">
        <f t="shared" si="81"/>
        <v>225</v>
      </c>
      <c r="H98" s="65">
        <f t="shared" si="81"/>
        <v>300</v>
      </c>
      <c r="I98" s="65">
        <f t="shared" si="81"/>
        <v>450</v>
      </c>
      <c r="J98" s="65">
        <f t="shared" si="81"/>
        <v>600</v>
      </c>
      <c r="K98" s="65">
        <f t="shared" si="81"/>
        <v>750</v>
      </c>
      <c r="L98" s="65">
        <f t="shared" si="81"/>
        <v>900</v>
      </c>
      <c r="M98" s="65">
        <f t="shared" si="81"/>
        <v>1200</v>
      </c>
      <c r="N98" s="65">
        <f t="shared" si="81"/>
        <v>1500</v>
      </c>
      <c r="O98" s="65">
        <f t="shared" si="81"/>
        <v>2250</v>
      </c>
      <c r="P98" s="65">
        <f t="shared" si="81"/>
        <v>3000</v>
      </c>
      <c r="Q98" s="65">
        <f t="shared" si="81"/>
        <v>4500</v>
      </c>
      <c r="R98" s="65">
        <f t="shared" si="81"/>
        <v>7500</v>
      </c>
      <c r="S98" s="65">
        <f t="shared" si="81"/>
        <v>15000</v>
      </c>
      <c r="T98" s="65">
        <f t="shared" si="81"/>
        <v>22500</v>
      </c>
      <c r="U98" s="65">
        <f t="shared" si="81"/>
        <v>45000</v>
      </c>
      <c r="V98" s="65">
        <f t="shared" si="81"/>
        <v>75000</v>
      </c>
      <c r="W98" s="65">
        <f t="shared" si="81"/>
        <v>112500</v>
      </c>
      <c r="X98" s="65">
        <f t="shared" si="81"/>
        <v>150000</v>
      </c>
      <c r="Y98" s="65">
        <f t="shared" si="81"/>
        <v>225000</v>
      </c>
      <c r="AA98" s="80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48" t="str">
        <f t="shared" si="82"/>
        <v>越南盾</v>
      </c>
      <c r="D99" s="48" t="str">
        <f t="shared" si="82"/>
        <v/>
      </c>
      <c r="E99" s="64">
        <f t="shared" si="82"/>
        <v>0.5</v>
      </c>
      <c r="F99" s="65">
        <f t="shared" ref="F99:Y99" si="83">HLOOKUP(F46,$F$1:$AI$2,2) * $D$1 * $E99</f>
        <v>750</v>
      </c>
      <c r="G99" s="65">
        <f t="shared" si="83"/>
        <v>1125</v>
      </c>
      <c r="H99" s="65">
        <f t="shared" si="83"/>
        <v>1500</v>
      </c>
      <c r="I99" s="65">
        <f t="shared" si="83"/>
        <v>2250</v>
      </c>
      <c r="J99" s="65">
        <f t="shared" si="83"/>
        <v>3000</v>
      </c>
      <c r="K99" s="65">
        <f t="shared" si="83"/>
        <v>3750</v>
      </c>
      <c r="L99" s="65">
        <f t="shared" si="83"/>
        <v>4500</v>
      </c>
      <c r="M99" s="65">
        <f t="shared" si="83"/>
        <v>6000</v>
      </c>
      <c r="N99" s="65">
        <f t="shared" si="83"/>
        <v>7500</v>
      </c>
      <c r="O99" s="65">
        <f t="shared" si="83"/>
        <v>11250</v>
      </c>
      <c r="P99" s="65">
        <f t="shared" si="83"/>
        <v>15000</v>
      </c>
      <c r="Q99" s="65">
        <f t="shared" si="83"/>
        <v>22500</v>
      </c>
      <c r="R99" s="65">
        <f t="shared" si="83"/>
        <v>37500</v>
      </c>
      <c r="S99" s="65">
        <f t="shared" si="83"/>
        <v>75000</v>
      </c>
      <c r="T99" s="65">
        <f t="shared" si="83"/>
        <v>112500</v>
      </c>
      <c r="U99" s="65">
        <f t="shared" si="83"/>
        <v>225000</v>
      </c>
      <c r="V99" s="65">
        <f t="shared" si="83"/>
        <v>375000</v>
      </c>
      <c r="W99" s="65">
        <f t="shared" si="83"/>
        <v>562500</v>
      </c>
      <c r="X99" s="65">
        <f t="shared" si="83"/>
        <v>750000</v>
      </c>
      <c r="Y99" s="65">
        <f t="shared" si="83"/>
        <v>1125000</v>
      </c>
      <c r="AA99" s="80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48" t="str">
        <f t="shared" si="84"/>
        <v>馬來西亞令吉</v>
      </c>
      <c r="D100" s="48">
        <f t="shared" si="84"/>
        <v>0.01</v>
      </c>
      <c r="E100" s="64">
        <f t="shared" si="84"/>
        <v>0.01</v>
      </c>
      <c r="F100" s="65">
        <f t="shared" ref="F100:Y100" si="85">HLOOKUP(F47,$F$1:$AI$2,2) * $D$1 * $E100</f>
        <v>15</v>
      </c>
      <c r="G100" s="65">
        <f t="shared" si="85"/>
        <v>22.5</v>
      </c>
      <c r="H100" s="65">
        <f t="shared" si="85"/>
        <v>30</v>
      </c>
      <c r="I100" s="65">
        <f t="shared" si="85"/>
        <v>45</v>
      </c>
      <c r="J100" s="65">
        <f t="shared" si="85"/>
        <v>60</v>
      </c>
      <c r="K100" s="65">
        <f t="shared" si="85"/>
        <v>75</v>
      </c>
      <c r="L100" s="65">
        <f t="shared" si="85"/>
        <v>90</v>
      </c>
      <c r="M100" s="65">
        <f t="shared" si="85"/>
        <v>120</v>
      </c>
      <c r="N100" s="65">
        <f t="shared" si="85"/>
        <v>150</v>
      </c>
      <c r="O100" s="65">
        <f t="shared" si="85"/>
        <v>225</v>
      </c>
      <c r="P100" s="65">
        <f t="shared" si="85"/>
        <v>300</v>
      </c>
      <c r="Q100" s="65">
        <f t="shared" si="85"/>
        <v>450</v>
      </c>
      <c r="R100" s="65">
        <f t="shared" si="85"/>
        <v>750</v>
      </c>
      <c r="S100" s="65">
        <f t="shared" si="85"/>
        <v>1500</v>
      </c>
      <c r="T100" s="65">
        <f t="shared" si="85"/>
        <v>2250</v>
      </c>
      <c r="U100" s="65">
        <f t="shared" si="85"/>
        <v>4500</v>
      </c>
      <c r="V100" s="65">
        <f t="shared" si="85"/>
        <v>7500</v>
      </c>
      <c r="W100" s="65">
        <f t="shared" si="85"/>
        <v>11250</v>
      </c>
      <c r="X100" s="65">
        <f t="shared" si="85"/>
        <v>15000</v>
      </c>
      <c r="Y100" s="65">
        <f t="shared" si="85"/>
        <v>22500</v>
      </c>
      <c r="AA100" s="81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48" t="str">
        <f t="shared" si="86"/>
        <v>星幣</v>
      </c>
      <c r="D101" s="48" t="str">
        <f t="shared" si="86"/>
        <v/>
      </c>
      <c r="E101" s="64">
        <f t="shared" si="86"/>
        <v>1</v>
      </c>
      <c r="F101" s="65">
        <f t="shared" ref="F101:Y101" si="87">HLOOKUP(F48,$F$1:$AI$2,2) * $D$1 * $E101</f>
        <v>150</v>
      </c>
      <c r="G101" s="65">
        <f t="shared" si="87"/>
        <v>300</v>
      </c>
      <c r="H101" s="65">
        <f t="shared" si="87"/>
        <v>750</v>
      </c>
      <c r="I101" s="65">
        <f t="shared" si="87"/>
        <v>1500</v>
      </c>
      <c r="J101" s="65">
        <f t="shared" si="87"/>
        <v>1800</v>
      </c>
      <c r="K101" s="65">
        <f t="shared" si="87"/>
        <v>2250</v>
      </c>
      <c r="L101" s="65">
        <f t="shared" si="87"/>
        <v>3000</v>
      </c>
      <c r="M101" s="65">
        <f t="shared" si="87"/>
        <v>3750</v>
      </c>
      <c r="N101" s="65">
        <f t="shared" si="87"/>
        <v>4500</v>
      </c>
      <c r="O101" s="65">
        <f t="shared" si="87"/>
        <v>5250</v>
      </c>
      <c r="P101" s="65">
        <f t="shared" si="87"/>
        <v>6000</v>
      </c>
      <c r="Q101" s="65">
        <f t="shared" si="87"/>
        <v>7500</v>
      </c>
      <c r="R101" s="65">
        <f t="shared" si="87"/>
        <v>9000</v>
      </c>
      <c r="S101" s="65">
        <f t="shared" si="87"/>
        <v>12000</v>
      </c>
      <c r="T101" s="65">
        <f t="shared" si="87"/>
        <v>13500</v>
      </c>
      <c r="U101" s="65">
        <f t="shared" si="87"/>
        <v>15000</v>
      </c>
      <c r="V101" s="65">
        <f t="shared" si="87"/>
        <v>22500</v>
      </c>
      <c r="W101" s="65">
        <f t="shared" si="87"/>
        <v>30000</v>
      </c>
      <c r="X101" s="65">
        <f t="shared" si="87"/>
        <v>45000</v>
      </c>
      <c r="Y101" s="65">
        <f t="shared" si="87"/>
        <v>75000</v>
      </c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48" t="str">
        <f t="shared" si="88"/>
        <v>阿爾及利亞第納爾</v>
      </c>
      <c r="D102" s="48" t="str">
        <f t="shared" si="88"/>
        <v/>
      </c>
      <c r="E102" s="64">
        <f t="shared" si="88"/>
        <v>0.002</v>
      </c>
      <c r="F102" s="65">
        <f t="shared" ref="F102:Y102" si="89">HLOOKUP(F49,$F$1:$AI$2,2) * $D$1 * $E102</f>
        <v>6</v>
      </c>
      <c r="G102" s="65">
        <f t="shared" si="89"/>
        <v>9</v>
      </c>
      <c r="H102" s="65">
        <f t="shared" si="89"/>
        <v>12</v>
      </c>
      <c r="I102" s="65">
        <f t="shared" si="89"/>
        <v>18</v>
      </c>
      <c r="J102" s="65">
        <f t="shared" si="89"/>
        <v>21</v>
      </c>
      <c r="K102" s="65">
        <f t="shared" si="89"/>
        <v>24</v>
      </c>
      <c r="L102" s="65">
        <f t="shared" si="89"/>
        <v>27</v>
      </c>
      <c r="M102" s="65">
        <f t="shared" si="89"/>
        <v>30</v>
      </c>
      <c r="N102" s="65">
        <f t="shared" si="89"/>
        <v>45</v>
      </c>
      <c r="O102" s="65">
        <f t="shared" si="89"/>
        <v>60</v>
      </c>
      <c r="P102" s="65">
        <f t="shared" si="89"/>
        <v>90</v>
      </c>
      <c r="Q102" s="65">
        <f t="shared" si="89"/>
        <v>150</v>
      </c>
      <c r="R102" s="65">
        <f t="shared" si="89"/>
        <v>300</v>
      </c>
      <c r="S102" s="65">
        <f t="shared" si="89"/>
        <v>450</v>
      </c>
      <c r="T102" s="65">
        <f t="shared" si="89"/>
        <v>900</v>
      </c>
      <c r="U102" s="65">
        <f t="shared" si="89"/>
        <v>1500</v>
      </c>
      <c r="V102" s="65">
        <f t="shared" si="89"/>
        <v>2250</v>
      </c>
      <c r="W102" s="65">
        <f t="shared" si="89"/>
        <v>3000</v>
      </c>
      <c r="X102" s="65">
        <f t="shared" si="89"/>
        <v>4500</v>
      </c>
      <c r="Y102" s="65">
        <f t="shared" si="89"/>
        <v>7500</v>
      </c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48" t="str">
        <f t="shared" si="90"/>
        <v>摩洛哥迪拉姆</v>
      </c>
      <c r="D103" s="48" t="str">
        <f t="shared" si="90"/>
        <v/>
      </c>
      <c r="E103" s="64">
        <f t="shared" si="90"/>
        <v>0.002</v>
      </c>
      <c r="F103" s="65">
        <f t="shared" ref="F103:Y103" si="91">HLOOKUP(F50,$F$1:$AI$2,2) * $D$1 * $E103</f>
        <v>0.3</v>
      </c>
      <c r="G103" s="65">
        <f t="shared" si="91"/>
        <v>0.6</v>
      </c>
      <c r="H103" s="65">
        <f t="shared" si="91"/>
        <v>1.5</v>
      </c>
      <c r="I103" s="65">
        <f t="shared" si="91"/>
        <v>3</v>
      </c>
      <c r="J103" s="65">
        <f t="shared" si="91"/>
        <v>3.6</v>
      </c>
      <c r="K103" s="65">
        <f t="shared" si="91"/>
        <v>4.5</v>
      </c>
      <c r="L103" s="65">
        <f t="shared" si="91"/>
        <v>6</v>
      </c>
      <c r="M103" s="65">
        <f t="shared" si="91"/>
        <v>7.5</v>
      </c>
      <c r="N103" s="65">
        <f t="shared" si="91"/>
        <v>9</v>
      </c>
      <c r="O103" s="65">
        <f t="shared" si="91"/>
        <v>12</v>
      </c>
      <c r="P103" s="65">
        <f t="shared" si="91"/>
        <v>15</v>
      </c>
      <c r="Q103" s="65">
        <f t="shared" si="91"/>
        <v>18</v>
      </c>
      <c r="R103" s="65">
        <f t="shared" si="91"/>
        <v>24</v>
      </c>
      <c r="S103" s="65">
        <f t="shared" si="91"/>
        <v>30</v>
      </c>
      <c r="T103" s="65">
        <f t="shared" si="91"/>
        <v>45</v>
      </c>
      <c r="U103" s="65">
        <f t="shared" si="91"/>
        <v>60</v>
      </c>
      <c r="V103" s="65">
        <f t="shared" si="91"/>
        <v>90</v>
      </c>
      <c r="W103" s="65">
        <f t="shared" si="91"/>
        <v>150</v>
      </c>
      <c r="X103" s="65">
        <f t="shared" si="91"/>
        <v>300</v>
      </c>
      <c r="Y103" s="65">
        <f t="shared" si="91"/>
        <v>450</v>
      </c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48" t="str">
        <f t="shared" si="92"/>
        <v>法國法郎</v>
      </c>
      <c r="D104" s="48" t="str">
        <f t="shared" si="92"/>
        <v/>
      </c>
      <c r="E104" s="64">
        <f t="shared" si="92"/>
        <v>0.002</v>
      </c>
      <c r="F104" s="65">
        <f t="shared" ref="F104:Y104" si="93">HLOOKUP(F51,$F$1:$AI$2,2) * $D$1 * $E104</f>
        <v>0.3</v>
      </c>
      <c r="G104" s="65">
        <f t="shared" si="93"/>
        <v>0.6</v>
      </c>
      <c r="H104" s="65">
        <f t="shared" si="93"/>
        <v>1.5</v>
      </c>
      <c r="I104" s="65">
        <f t="shared" si="93"/>
        <v>3</v>
      </c>
      <c r="J104" s="65">
        <f t="shared" si="93"/>
        <v>3.6</v>
      </c>
      <c r="K104" s="65">
        <f t="shared" si="93"/>
        <v>4.5</v>
      </c>
      <c r="L104" s="65">
        <f t="shared" si="93"/>
        <v>6</v>
      </c>
      <c r="M104" s="65">
        <f t="shared" si="93"/>
        <v>7.5</v>
      </c>
      <c r="N104" s="65">
        <f t="shared" si="93"/>
        <v>9</v>
      </c>
      <c r="O104" s="65">
        <f t="shared" si="93"/>
        <v>12</v>
      </c>
      <c r="P104" s="65">
        <f t="shared" si="93"/>
        <v>15</v>
      </c>
      <c r="Q104" s="65">
        <f t="shared" si="93"/>
        <v>18</v>
      </c>
      <c r="R104" s="65">
        <f t="shared" si="93"/>
        <v>24</v>
      </c>
      <c r="S104" s="65">
        <f t="shared" si="93"/>
        <v>30</v>
      </c>
      <c r="T104" s="65">
        <f t="shared" si="93"/>
        <v>45</v>
      </c>
      <c r="U104" s="65">
        <f t="shared" si="93"/>
        <v>60</v>
      </c>
      <c r="V104" s="65">
        <f t="shared" si="93"/>
        <v>90</v>
      </c>
      <c r="W104" s="65">
        <f t="shared" si="93"/>
        <v>150</v>
      </c>
      <c r="X104" s="65">
        <f t="shared" si="93"/>
        <v>300</v>
      </c>
      <c r="Y104" s="65">
        <f t="shared" si="93"/>
        <v>450</v>
      </c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48" t="str">
        <f t="shared" si="94"/>
        <v>迦納塞地</v>
      </c>
      <c r="D105" s="48" t="str">
        <f t="shared" si="94"/>
        <v/>
      </c>
      <c r="E105" s="64">
        <f t="shared" si="94"/>
        <v>0.002</v>
      </c>
      <c r="F105" s="65">
        <f t="shared" ref="F105:Y105" si="95">HLOOKUP(F52,$F$1:$AI$2,2) * $D$1 * $E105</f>
        <v>0.6</v>
      </c>
      <c r="G105" s="65">
        <f t="shared" si="95"/>
        <v>1.5</v>
      </c>
      <c r="H105" s="65">
        <f t="shared" si="95"/>
        <v>3</v>
      </c>
      <c r="I105" s="65">
        <f t="shared" si="95"/>
        <v>3.6</v>
      </c>
      <c r="J105" s="65">
        <f t="shared" si="95"/>
        <v>4.5</v>
      </c>
      <c r="K105" s="65">
        <f t="shared" si="95"/>
        <v>6</v>
      </c>
      <c r="L105" s="65">
        <f t="shared" si="95"/>
        <v>7.5</v>
      </c>
      <c r="M105" s="65">
        <f t="shared" si="95"/>
        <v>9</v>
      </c>
      <c r="N105" s="65">
        <f t="shared" si="95"/>
        <v>12</v>
      </c>
      <c r="O105" s="65">
        <f t="shared" si="95"/>
        <v>15</v>
      </c>
      <c r="P105" s="65">
        <f t="shared" si="95"/>
        <v>18</v>
      </c>
      <c r="Q105" s="65">
        <f t="shared" si="95"/>
        <v>24</v>
      </c>
      <c r="R105" s="65">
        <f t="shared" si="95"/>
        <v>30</v>
      </c>
      <c r="S105" s="65">
        <f t="shared" si="95"/>
        <v>45</v>
      </c>
      <c r="T105" s="65">
        <f t="shared" si="95"/>
        <v>60</v>
      </c>
      <c r="U105" s="65">
        <f t="shared" si="95"/>
        <v>90</v>
      </c>
      <c r="V105" s="65">
        <f t="shared" si="95"/>
        <v>150</v>
      </c>
      <c r="W105" s="65">
        <f t="shared" si="95"/>
        <v>300</v>
      </c>
      <c r="X105" s="65">
        <f t="shared" si="95"/>
        <v>450</v>
      </c>
      <c r="Y105" s="65">
        <f t="shared" si="95"/>
        <v>900</v>
      </c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48" t="str">
        <f t="shared" si="96"/>
        <v>RCC幣</v>
      </c>
      <c r="D106" s="48" t="str">
        <f t="shared" si="96"/>
        <v/>
      </c>
      <c r="E106" s="64">
        <f t="shared" si="96"/>
        <v>0.002</v>
      </c>
      <c r="F106" s="65">
        <f t="shared" ref="F106:Y106" si="97">HLOOKUP(F53,$F$1:$AI$2,2) * $D$1 * $E106</f>
        <v>0.3</v>
      </c>
      <c r="G106" s="65">
        <f t="shared" si="97"/>
        <v>0.6</v>
      </c>
      <c r="H106" s="65">
        <f t="shared" si="97"/>
        <v>1.5</v>
      </c>
      <c r="I106" s="65">
        <f t="shared" si="97"/>
        <v>3</v>
      </c>
      <c r="J106" s="65">
        <f t="shared" si="97"/>
        <v>3.6</v>
      </c>
      <c r="K106" s="65">
        <f t="shared" si="97"/>
        <v>4.5</v>
      </c>
      <c r="L106" s="65">
        <f t="shared" si="97"/>
        <v>6</v>
      </c>
      <c r="M106" s="65">
        <f t="shared" si="97"/>
        <v>7.5</v>
      </c>
      <c r="N106" s="65">
        <f t="shared" si="97"/>
        <v>9</v>
      </c>
      <c r="O106" s="65">
        <f t="shared" si="97"/>
        <v>10.5</v>
      </c>
      <c r="P106" s="65">
        <f t="shared" si="97"/>
        <v>12</v>
      </c>
      <c r="Q106" s="65">
        <f t="shared" si="97"/>
        <v>13.5</v>
      </c>
      <c r="R106" s="65">
        <f t="shared" si="97"/>
        <v>15</v>
      </c>
      <c r="S106" s="65">
        <f t="shared" si="97"/>
        <v>18</v>
      </c>
      <c r="T106" s="65">
        <f t="shared" si="97"/>
        <v>21</v>
      </c>
      <c r="U106" s="65">
        <f t="shared" si="97"/>
        <v>24</v>
      </c>
      <c r="V106" s="65">
        <f t="shared" si="97"/>
        <v>27</v>
      </c>
      <c r="W106" s="65">
        <f t="shared" si="97"/>
        <v>30</v>
      </c>
      <c r="X106" s="65">
        <f t="shared" si="97"/>
        <v>45</v>
      </c>
      <c r="Y106" s="65">
        <f t="shared" si="97"/>
        <v>60</v>
      </c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48" t="str">
        <f t="shared" si="98"/>
        <v>爸幣</v>
      </c>
      <c r="D107" s="48" t="str">
        <f t="shared" si="98"/>
        <v/>
      </c>
      <c r="E107" s="64">
        <f t="shared" si="98"/>
        <v>0.01</v>
      </c>
      <c r="F107" s="65">
        <f t="shared" ref="F107:Y107" si="99">HLOOKUP(F54,$F$1:$AI$2,2) * $D$1 * $E107</f>
        <v>7.5</v>
      </c>
      <c r="G107" s="65">
        <f t="shared" si="99"/>
        <v>15</v>
      </c>
      <c r="H107" s="65">
        <f t="shared" si="99"/>
        <v>22.5</v>
      </c>
      <c r="I107" s="65">
        <f t="shared" si="99"/>
        <v>30</v>
      </c>
      <c r="J107" s="65">
        <f t="shared" si="99"/>
        <v>37.5</v>
      </c>
      <c r="K107" s="65">
        <f t="shared" si="99"/>
        <v>45</v>
      </c>
      <c r="L107" s="65">
        <f t="shared" si="99"/>
        <v>60</v>
      </c>
      <c r="M107" s="65">
        <f t="shared" si="99"/>
        <v>75</v>
      </c>
      <c r="N107" s="65">
        <f t="shared" si="99"/>
        <v>90</v>
      </c>
      <c r="O107" s="65">
        <f t="shared" si="99"/>
        <v>120</v>
      </c>
      <c r="P107" s="65">
        <f t="shared" si="99"/>
        <v>150</v>
      </c>
      <c r="Q107" s="65">
        <f t="shared" si="99"/>
        <v>225</v>
      </c>
      <c r="R107" s="65">
        <f t="shared" si="99"/>
        <v>300</v>
      </c>
      <c r="S107" s="65">
        <f t="shared" si="99"/>
        <v>450</v>
      </c>
      <c r="T107" s="65">
        <f t="shared" si="99"/>
        <v>750</v>
      </c>
      <c r="U107" s="65">
        <f t="shared" si="99"/>
        <v>1500</v>
      </c>
      <c r="V107" s="65">
        <f t="shared" si="99"/>
        <v>2250</v>
      </c>
      <c r="W107" s="65">
        <f t="shared" si="99"/>
        <v>4500</v>
      </c>
      <c r="X107" s="65">
        <f t="shared" si="99"/>
        <v>7500</v>
      </c>
      <c r="Y107" s="65">
        <f t="shared" si="99"/>
        <v>11250</v>
      </c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48" t="str">
        <f t="shared" si="100"/>
        <v>星城馬來西亞</v>
      </c>
      <c r="D108" s="48" t="str">
        <f t="shared" si="100"/>
        <v/>
      </c>
      <c r="E108" s="64">
        <f t="shared" si="100"/>
        <v>1</v>
      </c>
      <c r="F108" s="65">
        <f t="shared" ref="F108:Y108" si="101">HLOOKUP(F55,$F$1:$AI$2,2) * $D$1 * $E108</f>
        <v>150</v>
      </c>
      <c r="G108" s="65">
        <f t="shared" si="101"/>
        <v>300</v>
      </c>
      <c r="H108" s="65">
        <f t="shared" si="101"/>
        <v>750</v>
      </c>
      <c r="I108" s="65">
        <f t="shared" si="101"/>
        <v>1500</v>
      </c>
      <c r="J108" s="65">
        <f t="shared" si="101"/>
        <v>1800</v>
      </c>
      <c r="K108" s="65">
        <f t="shared" si="101"/>
        <v>2250</v>
      </c>
      <c r="L108" s="65">
        <f t="shared" si="101"/>
        <v>3000</v>
      </c>
      <c r="M108" s="65">
        <f t="shared" si="101"/>
        <v>3750</v>
      </c>
      <c r="N108" s="65">
        <f t="shared" si="101"/>
        <v>4500</v>
      </c>
      <c r="O108" s="65">
        <f t="shared" si="101"/>
        <v>5250</v>
      </c>
      <c r="P108" s="65">
        <f t="shared" si="101"/>
        <v>6000</v>
      </c>
      <c r="Q108" s="65">
        <f t="shared" si="101"/>
        <v>7500</v>
      </c>
      <c r="R108" s="65">
        <f t="shared" si="101"/>
        <v>9000</v>
      </c>
      <c r="S108" s="65">
        <f t="shared" si="101"/>
        <v>12000</v>
      </c>
      <c r="T108" s="65">
        <f t="shared" si="101"/>
        <v>13500</v>
      </c>
      <c r="U108" s="65">
        <f t="shared" si="101"/>
        <v>15000</v>
      </c>
      <c r="V108" s="65">
        <f t="shared" si="101"/>
        <v>22500</v>
      </c>
      <c r="W108" s="65">
        <f t="shared" si="101"/>
        <v>30000</v>
      </c>
      <c r="X108" s="65">
        <f t="shared" si="101"/>
        <v>45000</v>
      </c>
      <c r="Y108" s="65">
        <f t="shared" si="101"/>
        <v>75000</v>
      </c>
    </row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ht="16.5" customHeight="1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</sheetData>
  <mergeCells count="8">
    <mergeCell ref="A1:A2"/>
    <mergeCell ref="B1:B2"/>
    <mergeCell ref="C1:C2"/>
    <mergeCell ref="D1:D2"/>
    <mergeCell ref="E1:E2"/>
    <mergeCell ref="A4:AA4"/>
    <mergeCell ref="AA5:AA47"/>
    <mergeCell ref="AA58:AA1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88.0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2.0</v>
      </c>
      <c r="H2" s="37">
        <v>5.0</v>
      </c>
      <c r="I2" s="37">
        <v>10.0</v>
      </c>
      <c r="J2" s="37">
        <v>15.0</v>
      </c>
      <c r="K2" s="37">
        <v>20.0</v>
      </c>
      <c r="L2" s="37">
        <v>30.0</v>
      </c>
      <c r="M2" s="37">
        <v>40.0</v>
      </c>
      <c r="N2" s="37">
        <v>50.0</v>
      </c>
      <c r="O2" s="37">
        <v>60.0</v>
      </c>
      <c r="P2" s="37">
        <v>100.0</v>
      </c>
      <c r="Q2" s="37">
        <v>120.0</v>
      </c>
      <c r="R2" s="37">
        <v>150.0</v>
      </c>
      <c r="S2" s="37">
        <v>200.0</v>
      </c>
      <c r="T2" s="37">
        <v>250.0</v>
      </c>
      <c r="U2" s="37">
        <v>300.0</v>
      </c>
      <c r="V2" s="37">
        <v>350.0</v>
      </c>
      <c r="W2" s="37">
        <v>400.0</v>
      </c>
      <c r="X2" s="37">
        <v>450.0</v>
      </c>
      <c r="Y2" s="37">
        <v>500.0</v>
      </c>
      <c r="Z2" s="37">
        <v>600.0</v>
      </c>
      <c r="AA2" s="37">
        <v>750.0</v>
      </c>
      <c r="AB2" s="37">
        <v>1000.0</v>
      </c>
      <c r="AC2" s="37">
        <v>1500.0</v>
      </c>
      <c r="AD2" s="37">
        <v>1750.0</v>
      </c>
      <c r="AE2" s="37">
        <v>2000.0</v>
      </c>
      <c r="AF2" s="37">
        <v>3000.0</v>
      </c>
      <c r="AG2" s="37">
        <v>4000.0</v>
      </c>
      <c r="AH2" s="38">
        <v>5000.0</v>
      </c>
      <c r="AI2" s="38">
        <v>6000.0</v>
      </c>
    </row>
    <row r="3" ht="16.5" customHeight="1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C3" s="39"/>
      <c r="AD3" s="39"/>
      <c r="AE3" s="39"/>
      <c r="AF3" s="39"/>
      <c r="AG3" s="39"/>
      <c r="AH3" s="39"/>
      <c r="AI3" s="39"/>
    </row>
    <row r="4" ht="16.5" customHeigh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  <c r="AB4" s="22" t="s">
        <v>72</v>
      </c>
    </row>
    <row r="5" ht="16.5" customHeight="1">
      <c r="A5" s="43" t="s">
        <v>45</v>
      </c>
      <c r="B5" s="44" t="s">
        <v>46</v>
      </c>
      <c r="C5" s="44" t="s">
        <v>47</v>
      </c>
      <c r="D5" s="44" t="s">
        <v>48</v>
      </c>
      <c r="E5" s="44" t="s">
        <v>49</v>
      </c>
      <c r="F5" s="44" t="s">
        <v>50</v>
      </c>
      <c r="G5" s="44" t="s">
        <v>51</v>
      </c>
      <c r="H5" s="44" t="s">
        <v>52</v>
      </c>
      <c r="I5" s="44" t="s">
        <v>53</v>
      </c>
      <c r="J5" s="44" t="s">
        <v>54</v>
      </c>
      <c r="K5" s="44" t="s">
        <v>55</v>
      </c>
      <c r="L5" s="44" t="s">
        <v>56</v>
      </c>
      <c r="M5" s="44" t="s">
        <v>57</v>
      </c>
      <c r="N5" s="44" t="s">
        <v>58</v>
      </c>
      <c r="O5" s="44" t="s">
        <v>59</v>
      </c>
      <c r="P5" s="44" t="s">
        <v>60</v>
      </c>
      <c r="Q5" s="44" t="s">
        <v>61</v>
      </c>
      <c r="R5" s="44" t="s">
        <v>62</v>
      </c>
      <c r="S5" s="44" t="s">
        <v>63</v>
      </c>
      <c r="T5" s="44" t="s">
        <v>64</v>
      </c>
      <c r="U5" s="44" t="s">
        <v>65</v>
      </c>
      <c r="V5" s="44" t="s">
        <v>66</v>
      </c>
      <c r="W5" s="44" t="s">
        <v>67</v>
      </c>
      <c r="X5" s="44" t="s">
        <v>68</v>
      </c>
      <c r="Y5" s="44" t="s">
        <v>69</v>
      </c>
      <c r="Z5" s="45"/>
      <c r="AA5" s="46" t="s">
        <v>70</v>
      </c>
      <c r="AI5" s="47"/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49">
        <f>'試算-SLOT'!Q6</f>
        <v>0.002</v>
      </c>
      <c r="F6" s="50">
        <v>3.0</v>
      </c>
      <c r="G6" s="50">
        <v>4.0</v>
      </c>
      <c r="H6" s="50">
        <v>6.0</v>
      </c>
      <c r="I6" s="50">
        <v>7.0</v>
      </c>
      <c r="J6" s="50">
        <v>8.0</v>
      </c>
      <c r="K6" s="50">
        <v>9.0</v>
      </c>
      <c r="L6" s="50">
        <v>11.0</v>
      </c>
      <c r="M6" s="50">
        <v>13.0</v>
      </c>
      <c r="N6" s="50">
        <v>14.0</v>
      </c>
      <c r="O6" s="50">
        <v>16.0</v>
      </c>
      <c r="P6" s="50">
        <v>18.0</v>
      </c>
      <c r="Q6" s="50">
        <v>19.0</v>
      </c>
      <c r="R6" s="50">
        <v>20.0</v>
      </c>
      <c r="S6" s="50">
        <v>21.0</v>
      </c>
      <c r="T6" s="50">
        <v>22.0</v>
      </c>
      <c r="U6" s="50">
        <v>23.0</v>
      </c>
      <c r="V6" s="50">
        <v>24.0</v>
      </c>
      <c r="W6" s="50">
        <v>25.0</v>
      </c>
      <c r="X6" s="50">
        <v>26.0</v>
      </c>
      <c r="Y6" s="50">
        <v>27.0</v>
      </c>
      <c r="Z6" s="51"/>
      <c r="AA6" s="52"/>
      <c r="AH6" s="2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49">
        <f>'試算-SLOT'!Q7</f>
        <v>0.002</v>
      </c>
      <c r="F7" s="50">
        <v>1.0</v>
      </c>
      <c r="G7" s="50">
        <v>2.0</v>
      </c>
      <c r="H7" s="50">
        <v>3.0</v>
      </c>
      <c r="I7" s="50">
        <v>4.0</v>
      </c>
      <c r="J7" s="50">
        <v>5.0</v>
      </c>
      <c r="K7" s="50">
        <v>6.0</v>
      </c>
      <c r="L7" s="50">
        <v>7.0</v>
      </c>
      <c r="M7" s="50">
        <v>8.0</v>
      </c>
      <c r="N7" s="50">
        <v>9.0</v>
      </c>
      <c r="O7" s="50">
        <v>11.0</v>
      </c>
      <c r="P7" s="50">
        <v>13.0</v>
      </c>
      <c r="Q7" s="50">
        <v>14.0</v>
      </c>
      <c r="R7" s="50">
        <v>16.0</v>
      </c>
      <c r="S7" s="50">
        <v>18.0</v>
      </c>
      <c r="T7" s="50">
        <v>19.0</v>
      </c>
      <c r="U7" s="50">
        <v>20.0</v>
      </c>
      <c r="V7" s="50">
        <v>21.0</v>
      </c>
      <c r="W7" s="50">
        <v>22.0</v>
      </c>
      <c r="X7" s="50">
        <v>23.0</v>
      </c>
      <c r="Y7" s="50">
        <v>24.0</v>
      </c>
      <c r="Z7" s="51"/>
      <c r="AA7" s="52"/>
      <c r="AG7" s="2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49">
        <f>'試算-SLOT'!Q8</f>
        <v>0.002</v>
      </c>
      <c r="F8" s="50">
        <v>4.0</v>
      </c>
      <c r="G8" s="50">
        <v>6.0</v>
      </c>
      <c r="H8" s="50">
        <v>7.0</v>
      </c>
      <c r="I8" s="50">
        <v>9.0</v>
      </c>
      <c r="J8" s="50">
        <v>11.0</v>
      </c>
      <c r="K8" s="50">
        <v>13.0</v>
      </c>
      <c r="L8" s="50">
        <v>14.0</v>
      </c>
      <c r="M8" s="50">
        <v>16.0</v>
      </c>
      <c r="N8" s="50">
        <v>18.0</v>
      </c>
      <c r="O8" s="50">
        <v>19.0</v>
      </c>
      <c r="P8" s="50">
        <v>20.0</v>
      </c>
      <c r="Q8" s="50">
        <v>21.0</v>
      </c>
      <c r="R8" s="50">
        <v>22.0</v>
      </c>
      <c r="S8" s="50">
        <v>23.0</v>
      </c>
      <c r="T8" s="50">
        <v>24.0</v>
      </c>
      <c r="U8" s="50">
        <v>25.0</v>
      </c>
      <c r="V8" s="50">
        <v>26.0</v>
      </c>
      <c r="W8" s="50">
        <v>27.0</v>
      </c>
      <c r="X8" s="50">
        <v>28.0</v>
      </c>
      <c r="Y8" s="50">
        <v>29.0</v>
      </c>
      <c r="Z8" s="51"/>
      <c r="AA8" s="52"/>
      <c r="AG8" s="2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49">
        <f>'試算-SLOT'!Q9</f>
        <v>0.002</v>
      </c>
      <c r="F9" s="50">
        <v>2.0</v>
      </c>
      <c r="G9" s="50">
        <v>3.0</v>
      </c>
      <c r="H9" s="50">
        <v>4.0</v>
      </c>
      <c r="I9" s="50">
        <v>5.0</v>
      </c>
      <c r="J9" s="50">
        <v>6.0</v>
      </c>
      <c r="K9" s="50">
        <v>7.0</v>
      </c>
      <c r="L9" s="50">
        <v>8.0</v>
      </c>
      <c r="M9" s="50">
        <v>9.0</v>
      </c>
      <c r="N9" s="50">
        <v>11.0</v>
      </c>
      <c r="O9" s="50">
        <v>13.0</v>
      </c>
      <c r="P9" s="50">
        <v>14.0</v>
      </c>
      <c r="Q9" s="50">
        <v>16.0</v>
      </c>
      <c r="R9" s="50">
        <v>18.0</v>
      </c>
      <c r="S9" s="50">
        <v>19.0</v>
      </c>
      <c r="T9" s="50">
        <v>20.0</v>
      </c>
      <c r="U9" s="50">
        <v>21.0</v>
      </c>
      <c r="V9" s="50">
        <v>22.0</v>
      </c>
      <c r="W9" s="50">
        <v>23.0</v>
      </c>
      <c r="X9" s="50">
        <v>24.0</v>
      </c>
      <c r="Y9" s="50">
        <v>25.0</v>
      </c>
      <c r="Z9" s="51"/>
      <c r="AA9" s="52"/>
      <c r="AG9" s="2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49">
        <f>'試算-SLOT'!Q10</f>
        <v>0.002</v>
      </c>
      <c r="F10" s="50">
        <v>3.0</v>
      </c>
      <c r="G10" s="50">
        <v>4.0</v>
      </c>
      <c r="H10" s="50">
        <v>5.0</v>
      </c>
      <c r="I10" s="50">
        <v>6.0</v>
      </c>
      <c r="J10" s="50">
        <v>7.0</v>
      </c>
      <c r="K10" s="50">
        <v>8.0</v>
      </c>
      <c r="L10" s="50">
        <v>9.0</v>
      </c>
      <c r="M10" s="50">
        <v>11.0</v>
      </c>
      <c r="N10" s="50">
        <v>13.0</v>
      </c>
      <c r="O10" s="50">
        <v>14.0</v>
      </c>
      <c r="P10" s="50">
        <v>16.0</v>
      </c>
      <c r="Q10" s="50">
        <v>18.0</v>
      </c>
      <c r="R10" s="50">
        <v>19.0</v>
      </c>
      <c r="S10" s="50">
        <v>20.0</v>
      </c>
      <c r="T10" s="50">
        <v>21.0</v>
      </c>
      <c r="U10" s="50">
        <v>22.0</v>
      </c>
      <c r="V10" s="50">
        <v>23.0</v>
      </c>
      <c r="W10" s="50">
        <v>24.0</v>
      </c>
      <c r="X10" s="50">
        <v>25.0</v>
      </c>
      <c r="Y10" s="50">
        <v>26.0</v>
      </c>
      <c r="Z10" s="51"/>
      <c r="AA10" s="52"/>
      <c r="AG10" s="22"/>
      <c r="AH10" s="2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49">
        <f>'試算-SLOT'!Q11</f>
        <v>0.002</v>
      </c>
      <c r="F11" s="50">
        <v>1.0</v>
      </c>
      <c r="G11" s="50">
        <v>2.0</v>
      </c>
      <c r="H11" s="50">
        <v>3.0</v>
      </c>
      <c r="I11" s="50">
        <v>4.0</v>
      </c>
      <c r="J11" s="50">
        <v>5.0</v>
      </c>
      <c r="K11" s="50">
        <v>6.0</v>
      </c>
      <c r="L11" s="50">
        <v>7.0</v>
      </c>
      <c r="M11" s="50">
        <v>8.0</v>
      </c>
      <c r="N11" s="50">
        <v>9.0</v>
      </c>
      <c r="O11" s="50">
        <v>10.0</v>
      </c>
      <c r="P11" s="50">
        <v>11.0</v>
      </c>
      <c r="Q11" s="50">
        <v>13.0</v>
      </c>
      <c r="R11" s="50">
        <v>14.0</v>
      </c>
      <c r="S11" s="50">
        <v>16.0</v>
      </c>
      <c r="T11" s="50">
        <v>18.0</v>
      </c>
      <c r="U11" s="50">
        <v>19.0</v>
      </c>
      <c r="V11" s="50">
        <v>20.0</v>
      </c>
      <c r="W11" s="50">
        <v>21.0</v>
      </c>
      <c r="X11" s="50">
        <v>22.0</v>
      </c>
      <c r="Y11" s="50">
        <v>23.0</v>
      </c>
      <c r="Z11" s="51"/>
      <c r="AA11" s="52"/>
      <c r="AG11" s="2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49">
        <f>'試算-SLOT'!Q12</f>
        <v>0.002</v>
      </c>
      <c r="F12" s="50">
        <v>1.0</v>
      </c>
      <c r="G12" s="50">
        <v>2.0</v>
      </c>
      <c r="H12" s="50">
        <v>3.0</v>
      </c>
      <c r="I12" s="50">
        <v>4.0</v>
      </c>
      <c r="J12" s="50">
        <v>5.0</v>
      </c>
      <c r="K12" s="50">
        <v>6.0</v>
      </c>
      <c r="L12" s="50">
        <v>7.0</v>
      </c>
      <c r="M12" s="50">
        <v>8.0</v>
      </c>
      <c r="N12" s="50">
        <v>9.0</v>
      </c>
      <c r="O12" s="50">
        <v>10.0</v>
      </c>
      <c r="P12" s="50">
        <v>11.0</v>
      </c>
      <c r="Q12" s="50">
        <v>12.0</v>
      </c>
      <c r="R12" s="50">
        <v>13.0</v>
      </c>
      <c r="S12" s="50">
        <v>14.0</v>
      </c>
      <c r="T12" s="50">
        <v>15.0</v>
      </c>
      <c r="U12" s="50">
        <v>16.0</v>
      </c>
      <c r="V12" s="50">
        <v>17.0</v>
      </c>
      <c r="W12" s="50">
        <v>18.0</v>
      </c>
      <c r="X12" s="50">
        <v>19.0</v>
      </c>
      <c r="Y12" s="50">
        <v>20.0</v>
      </c>
      <c r="Z12" s="51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49">
        <f>'試算-SLOT'!Q13</f>
        <v>0.002</v>
      </c>
      <c r="F13" s="50">
        <v>1.0</v>
      </c>
      <c r="G13" s="50">
        <v>2.0</v>
      </c>
      <c r="H13" s="50">
        <v>3.0</v>
      </c>
      <c r="I13" s="50">
        <v>4.0</v>
      </c>
      <c r="J13" s="50">
        <v>5.0</v>
      </c>
      <c r="K13" s="50">
        <v>6.0</v>
      </c>
      <c r="L13" s="50">
        <v>7.0</v>
      </c>
      <c r="M13" s="50">
        <v>8.0</v>
      </c>
      <c r="N13" s="50">
        <v>9.0</v>
      </c>
      <c r="O13" s="50">
        <v>10.0</v>
      </c>
      <c r="P13" s="50">
        <v>11.0</v>
      </c>
      <c r="Q13" s="50">
        <v>12.0</v>
      </c>
      <c r="R13" s="50">
        <v>13.0</v>
      </c>
      <c r="S13" s="50">
        <v>14.0</v>
      </c>
      <c r="T13" s="50">
        <v>15.0</v>
      </c>
      <c r="U13" s="50">
        <v>16.0</v>
      </c>
      <c r="V13" s="50">
        <v>17.0</v>
      </c>
      <c r="W13" s="50">
        <v>18.0</v>
      </c>
      <c r="X13" s="50">
        <v>19.0</v>
      </c>
      <c r="Y13" s="50">
        <v>20.0</v>
      </c>
      <c r="Z13" s="51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49">
        <f>'試算-SLOT'!Q14</f>
        <v>0.002</v>
      </c>
      <c r="F14" s="50">
        <v>4.0</v>
      </c>
      <c r="G14" s="50">
        <v>6.0</v>
      </c>
      <c r="H14" s="50">
        <v>7.0</v>
      </c>
      <c r="I14" s="50">
        <v>9.0</v>
      </c>
      <c r="J14" s="50">
        <v>11.0</v>
      </c>
      <c r="K14" s="50">
        <v>13.0</v>
      </c>
      <c r="L14" s="50">
        <v>14.0</v>
      </c>
      <c r="M14" s="50">
        <v>16.0</v>
      </c>
      <c r="N14" s="50">
        <v>18.0</v>
      </c>
      <c r="O14" s="50">
        <v>19.0</v>
      </c>
      <c r="P14" s="50">
        <v>20.0</v>
      </c>
      <c r="Q14" s="50">
        <v>21.0</v>
      </c>
      <c r="R14" s="50">
        <v>22.0</v>
      </c>
      <c r="S14" s="50">
        <v>23.0</v>
      </c>
      <c r="T14" s="50">
        <v>24.0</v>
      </c>
      <c r="U14" s="50">
        <v>25.0</v>
      </c>
      <c r="V14" s="50">
        <v>26.0</v>
      </c>
      <c r="W14" s="50">
        <v>27.0</v>
      </c>
      <c r="X14" s="50">
        <v>28.0</v>
      </c>
      <c r="Y14" s="50">
        <v>29.0</v>
      </c>
      <c r="Z14" s="51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49">
        <f>'試算-SLOT'!Q15</f>
        <v>0.01</v>
      </c>
      <c r="F15" s="50">
        <v>3.0</v>
      </c>
      <c r="G15" s="50">
        <v>4.0</v>
      </c>
      <c r="H15" s="50">
        <v>6.0</v>
      </c>
      <c r="I15" s="50">
        <v>7.0</v>
      </c>
      <c r="J15" s="50">
        <v>9.0</v>
      </c>
      <c r="K15" s="50">
        <v>11.0</v>
      </c>
      <c r="L15" s="50">
        <v>13.0</v>
      </c>
      <c r="M15" s="50">
        <v>14.0</v>
      </c>
      <c r="N15" s="50">
        <v>16.0</v>
      </c>
      <c r="O15" s="50">
        <v>18.0</v>
      </c>
      <c r="P15" s="50">
        <v>19.0</v>
      </c>
      <c r="Q15" s="50">
        <v>20.0</v>
      </c>
      <c r="R15" s="50">
        <v>21.0</v>
      </c>
      <c r="S15" s="50">
        <v>22.0</v>
      </c>
      <c r="T15" s="50">
        <v>23.0</v>
      </c>
      <c r="U15" s="50">
        <v>24.0</v>
      </c>
      <c r="V15" s="50">
        <v>25.0</v>
      </c>
      <c r="W15" s="50">
        <v>26.0</v>
      </c>
      <c r="X15" s="50">
        <v>27.0</v>
      </c>
      <c r="Y15" s="50">
        <v>28.0</v>
      </c>
      <c r="Z15" s="51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49">
        <f>'試算-SLOT'!Q16</f>
        <v>0.002</v>
      </c>
      <c r="F16" s="50">
        <v>1.0</v>
      </c>
      <c r="G16" s="50">
        <v>2.0</v>
      </c>
      <c r="H16" s="50">
        <v>3.0</v>
      </c>
      <c r="I16" s="50">
        <v>4.0</v>
      </c>
      <c r="J16" s="50">
        <v>5.0</v>
      </c>
      <c r="K16" s="50">
        <v>6.0</v>
      </c>
      <c r="L16" s="50">
        <v>7.0</v>
      </c>
      <c r="M16" s="50">
        <v>8.0</v>
      </c>
      <c r="N16" s="50">
        <v>9.0</v>
      </c>
      <c r="O16" s="50">
        <v>10.0</v>
      </c>
      <c r="P16" s="50">
        <v>11.0</v>
      </c>
      <c r="Q16" s="50">
        <v>12.0</v>
      </c>
      <c r="R16" s="50">
        <v>13.0</v>
      </c>
      <c r="S16" s="50">
        <v>14.0</v>
      </c>
      <c r="T16" s="50">
        <v>15.0</v>
      </c>
      <c r="U16" s="50">
        <v>16.0</v>
      </c>
      <c r="V16" s="50">
        <v>18.0</v>
      </c>
      <c r="W16" s="50">
        <v>19.0</v>
      </c>
      <c r="X16" s="50">
        <v>20.0</v>
      </c>
      <c r="Y16" s="50">
        <v>21.0</v>
      </c>
      <c r="Z16" s="51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49">
        <f>'試算-SLOT'!Q17</f>
        <v>0.004</v>
      </c>
      <c r="F17" s="50">
        <v>1.0</v>
      </c>
      <c r="G17" s="50">
        <v>2.0</v>
      </c>
      <c r="H17" s="50">
        <v>3.0</v>
      </c>
      <c r="I17" s="50">
        <v>4.0</v>
      </c>
      <c r="J17" s="50">
        <v>5.0</v>
      </c>
      <c r="K17" s="50">
        <v>6.0</v>
      </c>
      <c r="L17" s="50">
        <v>7.0</v>
      </c>
      <c r="M17" s="50">
        <v>8.0</v>
      </c>
      <c r="N17" s="50">
        <v>9.0</v>
      </c>
      <c r="O17" s="50">
        <v>11.0</v>
      </c>
      <c r="P17" s="50">
        <v>13.0</v>
      </c>
      <c r="Q17" s="50">
        <v>14.0</v>
      </c>
      <c r="R17" s="50">
        <v>16.0</v>
      </c>
      <c r="S17" s="50">
        <v>18.0</v>
      </c>
      <c r="T17" s="50">
        <v>19.0</v>
      </c>
      <c r="U17" s="50">
        <v>20.0</v>
      </c>
      <c r="V17" s="50">
        <v>21.0</v>
      </c>
      <c r="W17" s="50">
        <v>22.0</v>
      </c>
      <c r="X17" s="50">
        <v>23.0</v>
      </c>
      <c r="Y17" s="50">
        <v>24.0</v>
      </c>
      <c r="Z17" s="51"/>
      <c r="AA17" s="52"/>
    </row>
    <row r="18" ht="16.5" customHeight="1">
      <c r="A18" s="82" t="str">
        <f>'試算-SLOT'!A18</f>
        <v>PHP</v>
      </c>
      <c r="B18" s="82" t="str">
        <f>'試算-SLOT'!B18</f>
        <v>₱</v>
      </c>
      <c r="C18" s="82" t="str">
        <f>'試算-SLOT'!C18</f>
        <v>菲律賓披索</v>
      </c>
      <c r="D18" s="82" t="str">
        <f>IF('試算-SLOT'!D18=1,"",'試算-SLOT'!D18)</f>
        <v/>
      </c>
      <c r="E18" s="83">
        <f>'試算-SLOT'!Q18</f>
        <v>0.01</v>
      </c>
      <c r="F18" s="84">
        <v>4.0</v>
      </c>
      <c r="G18" s="84">
        <v>6.0</v>
      </c>
      <c r="H18" s="84">
        <v>7.0</v>
      </c>
      <c r="I18" s="84">
        <v>8.0</v>
      </c>
      <c r="J18" s="84">
        <v>9.0</v>
      </c>
      <c r="K18" s="84">
        <v>10.0</v>
      </c>
      <c r="L18" s="84">
        <v>11.0</v>
      </c>
      <c r="M18" s="84">
        <v>13.0</v>
      </c>
      <c r="N18" s="84">
        <v>14.0</v>
      </c>
      <c r="O18" s="84">
        <v>16.0</v>
      </c>
      <c r="P18" s="84">
        <v>18.0</v>
      </c>
      <c r="Q18" s="84">
        <v>20.0</v>
      </c>
      <c r="R18" s="84">
        <v>21.0</v>
      </c>
      <c r="S18" s="84">
        <v>23.0</v>
      </c>
      <c r="T18" s="84">
        <v>24.0</v>
      </c>
      <c r="U18" s="84">
        <v>26.0</v>
      </c>
      <c r="V18" s="84">
        <v>27.0</v>
      </c>
      <c r="W18" s="84">
        <v>28.0</v>
      </c>
      <c r="X18" s="84">
        <v>29.0</v>
      </c>
      <c r="Y18" s="84">
        <v>30.0</v>
      </c>
      <c r="Z18" s="51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49">
        <f>'試算-SLOT'!Q19</f>
        <v>0.002</v>
      </c>
      <c r="F19" s="50">
        <v>1.0</v>
      </c>
      <c r="G19" s="50">
        <v>2.0</v>
      </c>
      <c r="H19" s="50">
        <v>3.0</v>
      </c>
      <c r="I19" s="50">
        <v>4.0</v>
      </c>
      <c r="J19" s="50">
        <v>5.0</v>
      </c>
      <c r="K19" s="50">
        <v>6.0</v>
      </c>
      <c r="L19" s="50">
        <v>7.0</v>
      </c>
      <c r="M19" s="50">
        <v>8.0</v>
      </c>
      <c r="N19" s="50">
        <v>9.0</v>
      </c>
      <c r="O19" s="50">
        <v>11.0</v>
      </c>
      <c r="P19" s="50">
        <v>13.0</v>
      </c>
      <c r="Q19" s="50">
        <v>14.0</v>
      </c>
      <c r="R19" s="50">
        <v>16.0</v>
      </c>
      <c r="S19" s="50">
        <v>18.0</v>
      </c>
      <c r="T19" s="50">
        <v>19.0</v>
      </c>
      <c r="U19" s="50">
        <v>20.0</v>
      </c>
      <c r="V19" s="50">
        <v>21.0</v>
      </c>
      <c r="W19" s="50">
        <v>22.0</v>
      </c>
      <c r="X19" s="50">
        <v>23.0</v>
      </c>
      <c r="Y19" s="50">
        <v>24.0</v>
      </c>
      <c r="Z19" s="51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49">
        <f>'試算-SLOT'!Q20</f>
        <v>0.002</v>
      </c>
      <c r="F20" s="50">
        <v>2.0</v>
      </c>
      <c r="G20" s="50">
        <v>3.0</v>
      </c>
      <c r="H20" s="50">
        <v>4.0</v>
      </c>
      <c r="I20" s="50">
        <v>5.0</v>
      </c>
      <c r="J20" s="50">
        <v>6.0</v>
      </c>
      <c r="K20" s="50">
        <v>7.0</v>
      </c>
      <c r="L20" s="50">
        <v>8.0</v>
      </c>
      <c r="M20" s="50">
        <v>9.0</v>
      </c>
      <c r="N20" s="50">
        <v>11.0</v>
      </c>
      <c r="O20" s="50">
        <v>13.0</v>
      </c>
      <c r="P20" s="50">
        <v>14.0</v>
      </c>
      <c r="Q20" s="50">
        <v>16.0</v>
      </c>
      <c r="R20" s="50">
        <v>18.0</v>
      </c>
      <c r="S20" s="50">
        <v>19.0</v>
      </c>
      <c r="T20" s="50">
        <v>20.0</v>
      </c>
      <c r="U20" s="50">
        <v>21.0</v>
      </c>
      <c r="V20" s="50">
        <v>22.0</v>
      </c>
      <c r="W20" s="50">
        <v>23.0</v>
      </c>
      <c r="X20" s="50">
        <v>24.0</v>
      </c>
      <c r="Y20" s="50">
        <v>25.0</v>
      </c>
      <c r="Z20" s="51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49">
        <f>'試算-SLOT'!Q21</f>
        <v>0.002</v>
      </c>
      <c r="F21" s="50">
        <v>1.0</v>
      </c>
      <c r="G21" s="50">
        <v>2.0</v>
      </c>
      <c r="H21" s="50">
        <v>3.0</v>
      </c>
      <c r="I21" s="50">
        <v>4.0</v>
      </c>
      <c r="J21" s="50">
        <v>5.0</v>
      </c>
      <c r="K21" s="50">
        <v>6.0</v>
      </c>
      <c r="L21" s="50">
        <v>7.0</v>
      </c>
      <c r="M21" s="50">
        <v>8.0</v>
      </c>
      <c r="N21" s="50">
        <v>9.0</v>
      </c>
      <c r="O21" s="50">
        <v>10.0</v>
      </c>
      <c r="P21" s="50">
        <v>11.0</v>
      </c>
      <c r="Q21" s="50">
        <v>13.0</v>
      </c>
      <c r="R21" s="50">
        <v>14.0</v>
      </c>
      <c r="S21" s="50">
        <v>16.0</v>
      </c>
      <c r="T21" s="50">
        <v>18.0</v>
      </c>
      <c r="U21" s="50">
        <v>19.0</v>
      </c>
      <c r="V21" s="50">
        <v>20.0</v>
      </c>
      <c r="W21" s="50">
        <v>21.0</v>
      </c>
      <c r="X21" s="50">
        <v>22.0</v>
      </c>
      <c r="Y21" s="50">
        <v>23.0</v>
      </c>
      <c r="Z21" s="51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49">
        <f>'試算-SLOT'!Q22</f>
        <v>0.002</v>
      </c>
      <c r="F22" s="50">
        <v>1.0</v>
      </c>
      <c r="G22" s="50">
        <v>2.0</v>
      </c>
      <c r="H22" s="50">
        <v>3.0</v>
      </c>
      <c r="I22" s="50">
        <v>4.0</v>
      </c>
      <c r="J22" s="50">
        <v>5.0</v>
      </c>
      <c r="K22" s="50">
        <v>6.0</v>
      </c>
      <c r="L22" s="50">
        <v>7.0</v>
      </c>
      <c r="M22" s="50">
        <v>8.0</v>
      </c>
      <c r="N22" s="50">
        <v>9.0</v>
      </c>
      <c r="O22" s="50">
        <v>10.0</v>
      </c>
      <c r="P22" s="50">
        <v>11.0</v>
      </c>
      <c r="Q22" s="50">
        <v>12.0</v>
      </c>
      <c r="R22" s="50">
        <v>13.0</v>
      </c>
      <c r="S22" s="50">
        <v>14.0</v>
      </c>
      <c r="T22" s="50">
        <v>15.0</v>
      </c>
      <c r="U22" s="50">
        <v>16.0</v>
      </c>
      <c r="V22" s="50">
        <v>18.0</v>
      </c>
      <c r="W22" s="50">
        <v>19.0</v>
      </c>
      <c r="X22" s="50">
        <v>20.0</v>
      </c>
      <c r="Y22" s="50">
        <v>21.0</v>
      </c>
      <c r="Z22" s="51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49">
        <f>'試算-SLOT'!Q23</f>
        <v>0.004</v>
      </c>
      <c r="F23" s="50">
        <v>4.0</v>
      </c>
      <c r="G23" s="50">
        <v>6.0</v>
      </c>
      <c r="H23" s="50">
        <v>7.0</v>
      </c>
      <c r="I23" s="50">
        <v>9.0</v>
      </c>
      <c r="J23" s="50">
        <v>11.0</v>
      </c>
      <c r="K23" s="50">
        <v>13.0</v>
      </c>
      <c r="L23" s="50">
        <v>14.0</v>
      </c>
      <c r="M23" s="50">
        <v>16.0</v>
      </c>
      <c r="N23" s="50">
        <v>18.0</v>
      </c>
      <c r="O23" s="50">
        <v>19.0</v>
      </c>
      <c r="P23" s="50">
        <v>20.0</v>
      </c>
      <c r="Q23" s="50">
        <v>21.0</v>
      </c>
      <c r="R23" s="50">
        <v>22.0</v>
      </c>
      <c r="S23" s="50">
        <v>23.0</v>
      </c>
      <c r="T23" s="50">
        <v>24.0</v>
      </c>
      <c r="U23" s="50">
        <v>25.0</v>
      </c>
      <c r="V23" s="50">
        <v>26.0</v>
      </c>
      <c r="W23" s="50">
        <v>27.0</v>
      </c>
      <c r="X23" s="50">
        <v>28.0</v>
      </c>
      <c r="Y23" s="50">
        <v>29.0</v>
      </c>
      <c r="Z23" s="51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49">
        <f>'試算-SLOT'!Q24</f>
        <v>0.02</v>
      </c>
      <c r="F24" s="50">
        <v>7.0</v>
      </c>
      <c r="G24" s="50">
        <v>9.0</v>
      </c>
      <c r="H24" s="50">
        <v>11.0</v>
      </c>
      <c r="I24" s="50">
        <v>14.0</v>
      </c>
      <c r="J24" s="50">
        <v>15.0</v>
      </c>
      <c r="K24" s="50">
        <v>16.0</v>
      </c>
      <c r="L24" s="50">
        <v>17.0</v>
      </c>
      <c r="M24" s="50">
        <v>18.0</v>
      </c>
      <c r="N24" s="50">
        <v>19.0</v>
      </c>
      <c r="O24" s="50">
        <v>20.0</v>
      </c>
      <c r="P24" s="50">
        <v>21.0</v>
      </c>
      <c r="Q24" s="50">
        <v>22.0</v>
      </c>
      <c r="R24" s="50">
        <v>23.0</v>
      </c>
      <c r="S24" s="50">
        <v>24.0</v>
      </c>
      <c r="T24" s="50">
        <v>25.0</v>
      </c>
      <c r="U24" s="50">
        <v>26.0</v>
      </c>
      <c r="V24" s="50">
        <v>27.0</v>
      </c>
      <c r="W24" s="50">
        <v>28.0</v>
      </c>
      <c r="X24" s="50">
        <v>29.0</v>
      </c>
      <c r="Y24" s="50">
        <v>30.0</v>
      </c>
      <c r="Z24" s="51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49">
        <f>'試算-SLOT'!Q25</f>
        <v>0.03</v>
      </c>
      <c r="F25" s="50">
        <v>3.0</v>
      </c>
      <c r="G25" s="50">
        <v>4.0</v>
      </c>
      <c r="H25" s="50">
        <v>6.0</v>
      </c>
      <c r="I25" s="50">
        <v>7.0</v>
      </c>
      <c r="J25" s="50">
        <v>9.0</v>
      </c>
      <c r="K25" s="50">
        <v>11.0</v>
      </c>
      <c r="L25" s="50">
        <v>13.0</v>
      </c>
      <c r="M25" s="50">
        <v>14.0</v>
      </c>
      <c r="N25" s="50">
        <v>16.0</v>
      </c>
      <c r="O25" s="50">
        <v>18.0</v>
      </c>
      <c r="P25" s="50">
        <v>19.0</v>
      </c>
      <c r="Q25" s="50">
        <v>20.0</v>
      </c>
      <c r="R25" s="50">
        <v>21.0</v>
      </c>
      <c r="S25" s="50">
        <v>22.0</v>
      </c>
      <c r="T25" s="50">
        <v>23.0</v>
      </c>
      <c r="U25" s="50">
        <v>24.0</v>
      </c>
      <c r="V25" s="50">
        <v>25.0</v>
      </c>
      <c r="W25" s="50">
        <v>26.0</v>
      </c>
      <c r="X25" s="50">
        <v>27.0</v>
      </c>
      <c r="Y25" s="50">
        <v>28.0</v>
      </c>
      <c r="Z25" s="51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49">
        <f>'試算-SLOT'!Q26</f>
        <v>0.05</v>
      </c>
      <c r="F26" s="50">
        <v>4.0</v>
      </c>
      <c r="G26" s="50">
        <v>6.0</v>
      </c>
      <c r="H26" s="50">
        <v>7.0</v>
      </c>
      <c r="I26" s="50">
        <v>9.0</v>
      </c>
      <c r="J26" s="50">
        <v>11.0</v>
      </c>
      <c r="K26" s="50">
        <v>13.0</v>
      </c>
      <c r="L26" s="50">
        <v>14.0</v>
      </c>
      <c r="M26" s="50">
        <v>16.0</v>
      </c>
      <c r="N26" s="50">
        <v>18.0</v>
      </c>
      <c r="O26" s="50">
        <v>19.0</v>
      </c>
      <c r="P26" s="50">
        <v>20.0</v>
      </c>
      <c r="Q26" s="50">
        <v>21.0</v>
      </c>
      <c r="R26" s="50">
        <v>22.0</v>
      </c>
      <c r="S26" s="50">
        <v>23.0</v>
      </c>
      <c r="T26" s="50">
        <v>24.0</v>
      </c>
      <c r="U26" s="50">
        <v>25.0</v>
      </c>
      <c r="V26" s="50">
        <v>26.0</v>
      </c>
      <c r="W26" s="50">
        <v>27.0</v>
      </c>
      <c r="X26" s="50">
        <v>28.0</v>
      </c>
      <c r="Y26" s="50">
        <v>29.0</v>
      </c>
      <c r="Z26" s="51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49">
        <f>'試算-SLOT'!Q27</f>
        <v>0.5</v>
      </c>
      <c r="F27" s="50">
        <v>2.0</v>
      </c>
      <c r="G27" s="50">
        <v>4.0</v>
      </c>
      <c r="H27" s="50">
        <v>6.0</v>
      </c>
      <c r="I27" s="50">
        <v>7.0</v>
      </c>
      <c r="J27" s="50">
        <v>9.0</v>
      </c>
      <c r="K27" s="50">
        <v>11.0</v>
      </c>
      <c r="L27" s="50">
        <v>13.0</v>
      </c>
      <c r="M27" s="50">
        <v>14.0</v>
      </c>
      <c r="N27" s="50">
        <v>16.0</v>
      </c>
      <c r="O27" s="50">
        <v>18.0</v>
      </c>
      <c r="P27" s="50">
        <v>19.0</v>
      </c>
      <c r="Q27" s="50">
        <v>20.0</v>
      </c>
      <c r="R27" s="50">
        <v>21.0</v>
      </c>
      <c r="S27" s="50">
        <v>22.0</v>
      </c>
      <c r="T27" s="50">
        <v>23.0</v>
      </c>
      <c r="U27" s="50">
        <v>24.0</v>
      </c>
      <c r="V27" s="50">
        <v>25.0</v>
      </c>
      <c r="W27" s="50">
        <v>26.0</v>
      </c>
      <c r="X27" s="50">
        <v>27.0</v>
      </c>
      <c r="Y27" s="50">
        <v>28.0</v>
      </c>
      <c r="Z27" s="51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49">
        <f>'試算-SLOT'!Q28</f>
        <v>0.002</v>
      </c>
      <c r="F28" s="50">
        <v>4.0</v>
      </c>
      <c r="G28" s="50">
        <v>6.0</v>
      </c>
      <c r="H28" s="50">
        <v>7.0</v>
      </c>
      <c r="I28" s="50">
        <v>9.0</v>
      </c>
      <c r="J28" s="50">
        <v>11.0</v>
      </c>
      <c r="K28" s="50">
        <v>13.0</v>
      </c>
      <c r="L28" s="50">
        <v>14.0</v>
      </c>
      <c r="M28" s="50">
        <v>16.0</v>
      </c>
      <c r="N28" s="50">
        <v>18.0</v>
      </c>
      <c r="O28" s="50">
        <v>19.0</v>
      </c>
      <c r="P28" s="50">
        <v>20.0</v>
      </c>
      <c r="Q28" s="50">
        <v>21.0</v>
      </c>
      <c r="R28" s="50">
        <v>22.0</v>
      </c>
      <c r="S28" s="50">
        <v>23.0</v>
      </c>
      <c r="T28" s="50">
        <v>24.0</v>
      </c>
      <c r="U28" s="50">
        <v>25.0</v>
      </c>
      <c r="V28" s="50">
        <v>26.0</v>
      </c>
      <c r="W28" s="50">
        <v>27.0</v>
      </c>
      <c r="X28" s="50">
        <v>28.0</v>
      </c>
      <c r="Y28" s="50">
        <v>29.0</v>
      </c>
      <c r="Z28" s="51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49">
        <f>'試算-SLOT'!Q29</f>
        <v>0.01</v>
      </c>
      <c r="F29" s="50">
        <v>3.0</v>
      </c>
      <c r="G29" s="50">
        <v>4.0</v>
      </c>
      <c r="H29" s="50">
        <v>6.0</v>
      </c>
      <c r="I29" s="50">
        <v>7.0</v>
      </c>
      <c r="J29" s="50">
        <v>9.0</v>
      </c>
      <c r="K29" s="50">
        <v>11.0</v>
      </c>
      <c r="L29" s="50">
        <v>13.0</v>
      </c>
      <c r="M29" s="50">
        <v>14.0</v>
      </c>
      <c r="N29" s="50">
        <v>16.0</v>
      </c>
      <c r="O29" s="50">
        <v>18.0</v>
      </c>
      <c r="P29" s="50">
        <v>19.0</v>
      </c>
      <c r="Q29" s="50">
        <v>20.0</v>
      </c>
      <c r="R29" s="50">
        <v>21.0</v>
      </c>
      <c r="S29" s="50">
        <v>22.0</v>
      </c>
      <c r="T29" s="50">
        <v>23.0</v>
      </c>
      <c r="U29" s="50">
        <v>24.0</v>
      </c>
      <c r="V29" s="50">
        <v>25.0</v>
      </c>
      <c r="W29" s="50">
        <v>26.0</v>
      </c>
      <c r="X29" s="50">
        <v>27.0</v>
      </c>
      <c r="Y29" s="50">
        <v>28.0</v>
      </c>
      <c r="Z29" s="51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49">
        <f>'試算-SLOT'!Q30</f>
        <v>0.002</v>
      </c>
      <c r="F30" s="50">
        <v>3.0</v>
      </c>
      <c r="G30" s="50">
        <v>4.0</v>
      </c>
      <c r="H30" s="50">
        <v>6.0</v>
      </c>
      <c r="I30" s="50">
        <v>7.0</v>
      </c>
      <c r="J30" s="50">
        <v>9.0</v>
      </c>
      <c r="K30" s="50">
        <v>11.0</v>
      </c>
      <c r="L30" s="50">
        <v>13.0</v>
      </c>
      <c r="M30" s="50">
        <v>14.0</v>
      </c>
      <c r="N30" s="50">
        <v>16.0</v>
      </c>
      <c r="O30" s="50">
        <v>18.0</v>
      </c>
      <c r="P30" s="50">
        <v>19.0</v>
      </c>
      <c r="Q30" s="50">
        <v>20.0</v>
      </c>
      <c r="R30" s="50">
        <v>21.0</v>
      </c>
      <c r="S30" s="50">
        <v>22.0</v>
      </c>
      <c r="T30" s="50">
        <v>23.0</v>
      </c>
      <c r="U30" s="50">
        <v>24.0</v>
      </c>
      <c r="V30" s="50">
        <v>25.0</v>
      </c>
      <c r="W30" s="50">
        <v>26.0</v>
      </c>
      <c r="X30" s="50">
        <v>27.0</v>
      </c>
      <c r="Y30" s="50">
        <v>28.0</v>
      </c>
      <c r="Z30" s="51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49">
        <f>'試算-SLOT'!Q31</f>
        <v>0.1</v>
      </c>
      <c r="F31" s="50">
        <v>4.0</v>
      </c>
      <c r="G31" s="50">
        <v>6.0</v>
      </c>
      <c r="H31" s="50">
        <v>7.0</v>
      </c>
      <c r="I31" s="50">
        <v>9.0</v>
      </c>
      <c r="J31" s="50">
        <v>11.0</v>
      </c>
      <c r="K31" s="50">
        <v>13.0</v>
      </c>
      <c r="L31" s="50">
        <v>14.0</v>
      </c>
      <c r="M31" s="50">
        <v>16.0</v>
      </c>
      <c r="N31" s="50">
        <v>18.0</v>
      </c>
      <c r="O31" s="50">
        <v>19.0</v>
      </c>
      <c r="P31" s="50">
        <v>20.0</v>
      </c>
      <c r="Q31" s="50">
        <v>21.0</v>
      </c>
      <c r="R31" s="50">
        <v>22.0</v>
      </c>
      <c r="S31" s="50">
        <v>23.0</v>
      </c>
      <c r="T31" s="50">
        <v>24.0</v>
      </c>
      <c r="U31" s="50">
        <v>25.0</v>
      </c>
      <c r="V31" s="50">
        <v>26.0</v>
      </c>
      <c r="W31" s="50">
        <v>27.0</v>
      </c>
      <c r="X31" s="50">
        <v>28.0</v>
      </c>
      <c r="Y31" s="50">
        <v>29.0</v>
      </c>
      <c r="Z31" s="51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49">
        <f>'試算-SLOT'!Q32</f>
        <v>0.002</v>
      </c>
      <c r="F32" s="50">
        <v>1.0</v>
      </c>
      <c r="G32" s="50">
        <v>2.0</v>
      </c>
      <c r="H32" s="50">
        <v>3.0</v>
      </c>
      <c r="I32" s="50">
        <v>4.0</v>
      </c>
      <c r="J32" s="50">
        <v>5.0</v>
      </c>
      <c r="K32" s="50">
        <v>6.0</v>
      </c>
      <c r="L32" s="50">
        <v>7.0</v>
      </c>
      <c r="M32" s="50">
        <v>8.0</v>
      </c>
      <c r="N32" s="50">
        <v>9.0</v>
      </c>
      <c r="O32" s="50">
        <v>10.0</v>
      </c>
      <c r="P32" s="50">
        <v>11.0</v>
      </c>
      <c r="Q32" s="50">
        <v>12.0</v>
      </c>
      <c r="R32" s="50">
        <v>13.0</v>
      </c>
      <c r="S32" s="50">
        <v>14.0</v>
      </c>
      <c r="T32" s="50">
        <v>15.0</v>
      </c>
      <c r="U32" s="50">
        <v>16.0</v>
      </c>
      <c r="V32" s="50">
        <v>17.0</v>
      </c>
      <c r="W32" s="50">
        <v>18.0</v>
      </c>
      <c r="X32" s="50">
        <v>19.0</v>
      </c>
      <c r="Y32" s="50">
        <v>20.0</v>
      </c>
      <c r="Z32" s="51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49">
        <f>'試算-SLOT'!Q33</f>
        <v>0.02</v>
      </c>
      <c r="F33" s="50">
        <v>4.0</v>
      </c>
      <c r="G33" s="50">
        <v>6.0</v>
      </c>
      <c r="H33" s="50">
        <v>7.0</v>
      </c>
      <c r="I33" s="50">
        <v>9.0</v>
      </c>
      <c r="J33" s="50">
        <v>11.0</v>
      </c>
      <c r="K33" s="50">
        <v>13.0</v>
      </c>
      <c r="L33" s="50">
        <v>14.0</v>
      </c>
      <c r="M33" s="50">
        <v>16.0</v>
      </c>
      <c r="N33" s="50">
        <v>18.0</v>
      </c>
      <c r="O33" s="50">
        <v>19.0</v>
      </c>
      <c r="P33" s="50">
        <v>20.0</v>
      </c>
      <c r="Q33" s="50">
        <v>21.0</v>
      </c>
      <c r="R33" s="50">
        <v>22.0</v>
      </c>
      <c r="S33" s="50">
        <v>23.0</v>
      </c>
      <c r="T33" s="50">
        <v>24.0</v>
      </c>
      <c r="U33" s="50">
        <v>25.0</v>
      </c>
      <c r="V33" s="50">
        <v>26.0</v>
      </c>
      <c r="W33" s="50">
        <v>27.0</v>
      </c>
      <c r="X33" s="50">
        <v>28.0</v>
      </c>
      <c r="Y33" s="50">
        <v>29.0</v>
      </c>
      <c r="Z33" s="51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49">
        <f>'試算-SLOT'!Q34</f>
        <v>0.02</v>
      </c>
      <c r="F34" s="50">
        <v>3.0</v>
      </c>
      <c r="G34" s="50">
        <v>4.0</v>
      </c>
      <c r="H34" s="50">
        <v>6.0</v>
      </c>
      <c r="I34" s="50">
        <v>7.0</v>
      </c>
      <c r="J34" s="50">
        <v>9.0</v>
      </c>
      <c r="K34" s="50">
        <v>11.0</v>
      </c>
      <c r="L34" s="50">
        <v>14.0</v>
      </c>
      <c r="M34" s="50">
        <v>16.0</v>
      </c>
      <c r="N34" s="50">
        <v>18.0</v>
      </c>
      <c r="O34" s="50">
        <v>19.0</v>
      </c>
      <c r="P34" s="50">
        <v>20.0</v>
      </c>
      <c r="Q34" s="50">
        <v>21.0</v>
      </c>
      <c r="R34" s="50">
        <v>22.0</v>
      </c>
      <c r="S34" s="50">
        <v>23.0</v>
      </c>
      <c r="T34" s="50">
        <v>24.0</v>
      </c>
      <c r="U34" s="50">
        <v>25.0</v>
      </c>
      <c r="V34" s="50">
        <v>26.0</v>
      </c>
      <c r="W34" s="50">
        <v>27.0</v>
      </c>
      <c r="X34" s="50">
        <v>28.0</v>
      </c>
      <c r="Y34" s="50">
        <v>29.0</v>
      </c>
      <c r="Z34" s="51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49">
        <f>'試算-SLOT'!Q35</f>
        <v>0.002</v>
      </c>
      <c r="F35" s="50">
        <v>7.0</v>
      </c>
      <c r="G35" s="50">
        <v>9.0</v>
      </c>
      <c r="H35" s="50">
        <v>11.0</v>
      </c>
      <c r="I35" s="50">
        <v>14.0</v>
      </c>
      <c r="J35" s="50">
        <v>15.0</v>
      </c>
      <c r="K35" s="50">
        <v>16.0</v>
      </c>
      <c r="L35" s="50">
        <v>17.0</v>
      </c>
      <c r="M35" s="50">
        <v>18.0</v>
      </c>
      <c r="N35" s="50">
        <v>19.0</v>
      </c>
      <c r="O35" s="50">
        <v>20.0</v>
      </c>
      <c r="P35" s="50">
        <v>21.0</v>
      </c>
      <c r="Q35" s="50">
        <v>22.0</v>
      </c>
      <c r="R35" s="50">
        <v>23.0</v>
      </c>
      <c r="S35" s="50">
        <v>24.0</v>
      </c>
      <c r="T35" s="50">
        <v>25.0</v>
      </c>
      <c r="U35" s="50">
        <v>26.0</v>
      </c>
      <c r="V35" s="50">
        <v>27.0</v>
      </c>
      <c r="W35" s="50">
        <v>28.0</v>
      </c>
      <c r="X35" s="50">
        <v>29.0</v>
      </c>
      <c r="Y35" s="50">
        <v>30.0</v>
      </c>
      <c r="Z35" s="51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49">
        <f>'試算-SLOT'!Q36</f>
        <v>0.002</v>
      </c>
      <c r="F36" s="50">
        <v>2.0</v>
      </c>
      <c r="G36" s="50">
        <v>3.0</v>
      </c>
      <c r="H36" s="50">
        <v>4.0</v>
      </c>
      <c r="I36" s="50">
        <v>5.0</v>
      </c>
      <c r="J36" s="50">
        <v>6.0</v>
      </c>
      <c r="K36" s="50">
        <v>7.0</v>
      </c>
      <c r="L36" s="50">
        <v>8.0</v>
      </c>
      <c r="M36" s="50">
        <v>9.0</v>
      </c>
      <c r="N36" s="50">
        <v>11.0</v>
      </c>
      <c r="O36" s="50">
        <v>13.0</v>
      </c>
      <c r="P36" s="50">
        <v>14.0</v>
      </c>
      <c r="Q36" s="50">
        <v>16.0</v>
      </c>
      <c r="R36" s="50">
        <v>18.0</v>
      </c>
      <c r="S36" s="50">
        <v>19.0</v>
      </c>
      <c r="T36" s="50">
        <v>20.0</v>
      </c>
      <c r="U36" s="50">
        <v>21.0</v>
      </c>
      <c r="V36" s="50">
        <v>22.0</v>
      </c>
      <c r="W36" s="50">
        <v>23.0</v>
      </c>
      <c r="X36" s="50">
        <v>24.0</v>
      </c>
      <c r="Y36" s="50">
        <v>25.0</v>
      </c>
      <c r="Z36" s="51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49">
        <f>'試算-SLOT'!Q37</f>
        <v>0.002</v>
      </c>
      <c r="F37" s="50">
        <v>3.0</v>
      </c>
      <c r="G37" s="50">
        <v>4.0</v>
      </c>
      <c r="H37" s="50">
        <v>5.0</v>
      </c>
      <c r="I37" s="50">
        <v>6.0</v>
      </c>
      <c r="J37" s="50">
        <v>7.0</v>
      </c>
      <c r="K37" s="50">
        <v>8.0</v>
      </c>
      <c r="L37" s="50">
        <v>9.0</v>
      </c>
      <c r="M37" s="50">
        <v>11.0</v>
      </c>
      <c r="N37" s="50">
        <v>13.0</v>
      </c>
      <c r="O37" s="50">
        <v>14.0</v>
      </c>
      <c r="P37" s="50">
        <v>16.0</v>
      </c>
      <c r="Q37" s="50">
        <v>18.0</v>
      </c>
      <c r="R37" s="50">
        <v>19.0</v>
      </c>
      <c r="S37" s="50">
        <v>20.0</v>
      </c>
      <c r="T37" s="50">
        <v>21.0</v>
      </c>
      <c r="U37" s="50">
        <v>22.0</v>
      </c>
      <c r="V37" s="50">
        <v>23.0</v>
      </c>
      <c r="W37" s="50">
        <v>24.0</v>
      </c>
      <c r="X37" s="50">
        <v>25.0</v>
      </c>
      <c r="Y37" s="50">
        <v>26.0</v>
      </c>
      <c r="Z37" s="51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49">
        <f>'試算-SLOT'!Q38</f>
        <v>0.002</v>
      </c>
      <c r="F38" s="50">
        <v>1.0</v>
      </c>
      <c r="G38" s="50">
        <v>2.0</v>
      </c>
      <c r="H38" s="50">
        <v>3.0</v>
      </c>
      <c r="I38" s="50">
        <v>4.0</v>
      </c>
      <c r="J38" s="50">
        <v>5.0</v>
      </c>
      <c r="K38" s="50">
        <v>6.0</v>
      </c>
      <c r="L38" s="50">
        <v>7.0</v>
      </c>
      <c r="M38" s="50">
        <v>8.0</v>
      </c>
      <c r="N38" s="50">
        <v>9.0</v>
      </c>
      <c r="O38" s="50">
        <v>10.0</v>
      </c>
      <c r="P38" s="50">
        <v>11.0</v>
      </c>
      <c r="Q38" s="50">
        <v>12.0</v>
      </c>
      <c r="R38" s="50">
        <v>13.0</v>
      </c>
      <c r="S38" s="50">
        <v>14.0</v>
      </c>
      <c r="T38" s="50">
        <v>15.0</v>
      </c>
      <c r="U38" s="50">
        <v>16.0</v>
      </c>
      <c r="V38" s="50">
        <v>17.0</v>
      </c>
      <c r="W38" s="50">
        <v>18.0</v>
      </c>
      <c r="X38" s="50">
        <v>19.0</v>
      </c>
      <c r="Y38" s="50">
        <v>20.0</v>
      </c>
      <c r="Z38" s="51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49">
        <f>'試算-SLOT'!Q39</f>
        <v>0.002</v>
      </c>
      <c r="F39" s="50">
        <v>7.0</v>
      </c>
      <c r="G39" s="50">
        <v>9.0</v>
      </c>
      <c r="H39" s="50">
        <v>11.0</v>
      </c>
      <c r="I39" s="50">
        <v>14.0</v>
      </c>
      <c r="J39" s="50">
        <v>15.0</v>
      </c>
      <c r="K39" s="50">
        <v>16.0</v>
      </c>
      <c r="L39" s="50">
        <v>17.0</v>
      </c>
      <c r="M39" s="50">
        <v>18.0</v>
      </c>
      <c r="N39" s="50">
        <v>19.0</v>
      </c>
      <c r="O39" s="50">
        <v>20.0</v>
      </c>
      <c r="P39" s="50">
        <v>21.0</v>
      </c>
      <c r="Q39" s="50">
        <v>22.0</v>
      </c>
      <c r="R39" s="50">
        <v>23.0</v>
      </c>
      <c r="S39" s="50">
        <v>24.0</v>
      </c>
      <c r="T39" s="50">
        <v>25.0</v>
      </c>
      <c r="U39" s="50">
        <v>26.0</v>
      </c>
      <c r="V39" s="50">
        <v>27.0</v>
      </c>
      <c r="W39" s="50">
        <v>28.0</v>
      </c>
      <c r="X39" s="50">
        <v>29.0</v>
      </c>
      <c r="Y39" s="50">
        <v>30.0</v>
      </c>
      <c r="Z39" s="51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49">
        <f>'試算-SLOT'!Q40</f>
        <v>0.002</v>
      </c>
      <c r="F40" s="50">
        <v>1.0</v>
      </c>
      <c r="G40" s="50">
        <v>2.0</v>
      </c>
      <c r="H40" s="50">
        <v>3.0</v>
      </c>
      <c r="I40" s="50">
        <v>4.0</v>
      </c>
      <c r="J40" s="50">
        <v>5.0</v>
      </c>
      <c r="K40" s="50">
        <v>6.0</v>
      </c>
      <c r="L40" s="50">
        <v>7.0</v>
      </c>
      <c r="M40" s="50">
        <v>8.0</v>
      </c>
      <c r="N40" s="50">
        <v>9.0</v>
      </c>
      <c r="O40" s="50">
        <v>10.0</v>
      </c>
      <c r="P40" s="50">
        <v>11.0</v>
      </c>
      <c r="Q40" s="50">
        <v>12.0</v>
      </c>
      <c r="R40" s="50">
        <v>13.0</v>
      </c>
      <c r="S40" s="50">
        <v>14.0</v>
      </c>
      <c r="T40" s="50">
        <v>15.0</v>
      </c>
      <c r="U40" s="50">
        <v>16.0</v>
      </c>
      <c r="V40" s="50">
        <v>17.0</v>
      </c>
      <c r="W40" s="50">
        <v>18.0</v>
      </c>
      <c r="X40" s="50">
        <v>19.0</v>
      </c>
      <c r="Y40" s="50">
        <v>20.0</v>
      </c>
      <c r="Z40" s="51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49">
        <f>'試算-SLOT'!Q41</f>
        <v>0.002</v>
      </c>
      <c r="F41" s="50">
        <v>1.0</v>
      </c>
      <c r="G41" s="50">
        <v>2.0</v>
      </c>
      <c r="H41" s="50">
        <v>3.0</v>
      </c>
      <c r="I41" s="50">
        <v>4.0</v>
      </c>
      <c r="J41" s="50">
        <v>5.0</v>
      </c>
      <c r="K41" s="50">
        <v>6.0</v>
      </c>
      <c r="L41" s="50">
        <v>7.0</v>
      </c>
      <c r="M41" s="50">
        <v>8.0</v>
      </c>
      <c r="N41" s="50">
        <v>9.0</v>
      </c>
      <c r="O41" s="50">
        <v>10.0</v>
      </c>
      <c r="P41" s="50">
        <v>11.0</v>
      </c>
      <c r="Q41" s="50">
        <v>12.0</v>
      </c>
      <c r="R41" s="50">
        <v>13.0</v>
      </c>
      <c r="S41" s="50">
        <v>14.0</v>
      </c>
      <c r="T41" s="50">
        <v>15.0</v>
      </c>
      <c r="U41" s="50">
        <v>16.0</v>
      </c>
      <c r="V41" s="50">
        <v>17.0</v>
      </c>
      <c r="W41" s="50">
        <v>18.0</v>
      </c>
      <c r="X41" s="50">
        <v>19.0</v>
      </c>
      <c r="Y41" s="50">
        <v>20.0</v>
      </c>
      <c r="Z41" s="51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49">
        <f>'試算-SLOT'!Q42</f>
        <v>0.002</v>
      </c>
      <c r="F42" s="50">
        <v>1.0</v>
      </c>
      <c r="G42" s="50">
        <v>2.0</v>
      </c>
      <c r="H42" s="50">
        <v>3.0</v>
      </c>
      <c r="I42" s="50">
        <v>4.0</v>
      </c>
      <c r="J42" s="50">
        <v>5.0</v>
      </c>
      <c r="K42" s="50">
        <v>6.0</v>
      </c>
      <c r="L42" s="50">
        <v>7.0</v>
      </c>
      <c r="M42" s="50">
        <v>8.0</v>
      </c>
      <c r="N42" s="50">
        <v>9.0</v>
      </c>
      <c r="O42" s="50">
        <v>10.0</v>
      </c>
      <c r="P42" s="50">
        <v>11.0</v>
      </c>
      <c r="Q42" s="50">
        <v>13.0</v>
      </c>
      <c r="R42" s="50">
        <v>14.0</v>
      </c>
      <c r="S42" s="50">
        <v>16.0</v>
      </c>
      <c r="T42" s="50">
        <v>17.0</v>
      </c>
      <c r="U42" s="50">
        <v>18.0</v>
      </c>
      <c r="V42" s="50">
        <v>19.0</v>
      </c>
      <c r="W42" s="50">
        <v>20.0</v>
      </c>
      <c r="X42" s="50">
        <v>21.0</v>
      </c>
      <c r="Y42" s="50">
        <v>22.0</v>
      </c>
      <c r="Z42" s="51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49">
        <f>'試算-SLOT'!Q43</f>
        <v>0.002</v>
      </c>
      <c r="F43" s="50">
        <v>1.0</v>
      </c>
      <c r="G43" s="50">
        <v>2.0</v>
      </c>
      <c r="H43" s="50">
        <v>3.0</v>
      </c>
      <c r="I43" s="50">
        <v>4.0</v>
      </c>
      <c r="J43" s="50">
        <v>5.0</v>
      </c>
      <c r="K43" s="50">
        <v>6.0</v>
      </c>
      <c r="L43" s="50">
        <v>7.0</v>
      </c>
      <c r="M43" s="50">
        <v>8.0</v>
      </c>
      <c r="N43" s="50">
        <v>9.0</v>
      </c>
      <c r="O43" s="50">
        <v>10.0</v>
      </c>
      <c r="P43" s="50">
        <v>11.0</v>
      </c>
      <c r="Q43" s="50">
        <v>13.0</v>
      </c>
      <c r="R43" s="50">
        <v>14.0</v>
      </c>
      <c r="S43" s="50">
        <v>16.0</v>
      </c>
      <c r="T43" s="50">
        <v>17.0</v>
      </c>
      <c r="U43" s="50">
        <v>18.0</v>
      </c>
      <c r="V43" s="50">
        <v>19.0</v>
      </c>
      <c r="W43" s="50">
        <v>20.0</v>
      </c>
      <c r="X43" s="50">
        <v>21.0</v>
      </c>
      <c r="Y43" s="50">
        <v>22.0</v>
      </c>
      <c r="Z43" s="51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49">
        <f>'試算-SLOT'!Q44</f>
        <v>0.002</v>
      </c>
      <c r="F44" s="50">
        <v>1.0</v>
      </c>
      <c r="G44" s="50">
        <v>2.0</v>
      </c>
      <c r="H44" s="50">
        <v>3.0</v>
      </c>
      <c r="I44" s="50">
        <v>4.0</v>
      </c>
      <c r="J44" s="50">
        <v>5.0</v>
      </c>
      <c r="K44" s="50">
        <v>6.0</v>
      </c>
      <c r="L44" s="50">
        <v>7.0</v>
      </c>
      <c r="M44" s="50">
        <v>8.0</v>
      </c>
      <c r="N44" s="50">
        <v>9.0</v>
      </c>
      <c r="O44" s="50">
        <v>10.0</v>
      </c>
      <c r="P44" s="50">
        <v>11.0</v>
      </c>
      <c r="Q44" s="50">
        <v>12.0</v>
      </c>
      <c r="R44" s="50">
        <v>13.0</v>
      </c>
      <c r="S44" s="50">
        <v>14.0</v>
      </c>
      <c r="T44" s="50">
        <v>15.0</v>
      </c>
      <c r="U44" s="50">
        <v>16.0</v>
      </c>
      <c r="V44" s="50">
        <v>18.0</v>
      </c>
      <c r="W44" s="50">
        <v>19.0</v>
      </c>
      <c r="X44" s="50">
        <v>20.0</v>
      </c>
      <c r="Y44" s="50">
        <v>21.0</v>
      </c>
      <c r="Z44" s="51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49">
        <f>'試算-SLOT'!Q45</f>
        <v>0.1</v>
      </c>
      <c r="F45" s="50">
        <v>4.0</v>
      </c>
      <c r="G45" s="50">
        <v>6.0</v>
      </c>
      <c r="H45" s="50">
        <v>7.0</v>
      </c>
      <c r="I45" s="50">
        <v>9.0</v>
      </c>
      <c r="J45" s="50">
        <v>11.0</v>
      </c>
      <c r="K45" s="50">
        <v>13.0</v>
      </c>
      <c r="L45" s="50">
        <v>14.0</v>
      </c>
      <c r="M45" s="50">
        <v>16.0</v>
      </c>
      <c r="N45" s="50">
        <v>18.0</v>
      </c>
      <c r="O45" s="50">
        <v>19.0</v>
      </c>
      <c r="P45" s="50">
        <v>20.0</v>
      </c>
      <c r="Q45" s="50">
        <v>21.0</v>
      </c>
      <c r="R45" s="50">
        <v>22.0</v>
      </c>
      <c r="S45" s="50">
        <v>23.0</v>
      </c>
      <c r="T45" s="50">
        <v>24.0</v>
      </c>
      <c r="U45" s="50">
        <v>25.0</v>
      </c>
      <c r="V45" s="50">
        <v>26.0</v>
      </c>
      <c r="W45" s="50">
        <v>27.0</v>
      </c>
      <c r="X45" s="50">
        <v>28.0</v>
      </c>
      <c r="Y45" s="50">
        <v>29.0</v>
      </c>
      <c r="Z45" s="51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49">
        <f>'試算-SLOT'!Q46</f>
        <v>0.5</v>
      </c>
      <c r="F46" s="50">
        <v>4.0</v>
      </c>
      <c r="G46" s="50">
        <v>6.0</v>
      </c>
      <c r="H46" s="50">
        <v>7.0</v>
      </c>
      <c r="I46" s="50">
        <v>9.0</v>
      </c>
      <c r="J46" s="50">
        <v>11.0</v>
      </c>
      <c r="K46" s="50">
        <v>13.0</v>
      </c>
      <c r="L46" s="50">
        <v>14.0</v>
      </c>
      <c r="M46" s="50">
        <v>16.0</v>
      </c>
      <c r="N46" s="50">
        <v>18.0</v>
      </c>
      <c r="O46" s="50">
        <v>19.0</v>
      </c>
      <c r="P46" s="50">
        <v>20.0</v>
      </c>
      <c r="Q46" s="50">
        <v>21.0</v>
      </c>
      <c r="R46" s="50">
        <v>22.0</v>
      </c>
      <c r="S46" s="50">
        <v>23.0</v>
      </c>
      <c r="T46" s="50">
        <v>24.0</v>
      </c>
      <c r="U46" s="50">
        <v>25.0</v>
      </c>
      <c r="V46" s="50">
        <v>26.0</v>
      </c>
      <c r="W46" s="50">
        <v>27.0</v>
      </c>
      <c r="X46" s="50">
        <v>28.0</v>
      </c>
      <c r="Y46" s="50">
        <v>29.0</v>
      </c>
      <c r="Z46" s="51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49">
        <f>'試算-SLOT'!Q47</f>
        <v>0.01</v>
      </c>
      <c r="F47" s="50">
        <v>4.0</v>
      </c>
      <c r="G47" s="50">
        <v>6.0</v>
      </c>
      <c r="H47" s="50">
        <v>7.0</v>
      </c>
      <c r="I47" s="50">
        <v>9.0</v>
      </c>
      <c r="J47" s="50">
        <v>11.0</v>
      </c>
      <c r="K47" s="50">
        <v>13.0</v>
      </c>
      <c r="L47" s="50">
        <v>14.0</v>
      </c>
      <c r="M47" s="50">
        <v>16.0</v>
      </c>
      <c r="N47" s="50">
        <v>18.0</v>
      </c>
      <c r="O47" s="50">
        <v>19.0</v>
      </c>
      <c r="P47" s="50">
        <v>20.0</v>
      </c>
      <c r="Q47" s="50">
        <v>21.0</v>
      </c>
      <c r="R47" s="50">
        <v>22.0</v>
      </c>
      <c r="S47" s="50">
        <v>23.0</v>
      </c>
      <c r="T47" s="50">
        <v>24.0</v>
      </c>
      <c r="U47" s="50">
        <v>25.0</v>
      </c>
      <c r="V47" s="50">
        <v>26.0</v>
      </c>
      <c r="W47" s="50">
        <v>27.0</v>
      </c>
      <c r="X47" s="50">
        <v>28.0</v>
      </c>
      <c r="Y47" s="50">
        <v>29.0</v>
      </c>
      <c r="Z47" s="51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49">
        <f>'試算-SLOT'!Q48</f>
        <v>1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>
        <v>6.0</v>
      </c>
      <c r="L48" s="50">
        <v>7.0</v>
      </c>
      <c r="M48" s="50">
        <v>8.0</v>
      </c>
      <c r="N48" s="50">
        <v>9.0</v>
      </c>
      <c r="O48" s="50">
        <v>10.0</v>
      </c>
      <c r="P48" s="50">
        <v>11.0</v>
      </c>
      <c r="Q48" s="50">
        <v>13.0</v>
      </c>
      <c r="R48" s="50">
        <v>14.0</v>
      </c>
      <c r="S48" s="50">
        <v>16.0</v>
      </c>
      <c r="T48" s="50">
        <v>17.0</v>
      </c>
      <c r="U48" s="50">
        <v>18.0</v>
      </c>
      <c r="V48" s="50">
        <v>19.0</v>
      </c>
      <c r="W48" s="50">
        <v>20.0</v>
      </c>
      <c r="X48" s="50">
        <v>21.0</v>
      </c>
      <c r="Y48" s="50">
        <v>22.0</v>
      </c>
      <c r="Z48" s="53"/>
    </row>
    <row r="49">
      <c r="A49" s="54" t="str">
        <f>'試算-SLOT'!A49</f>
        <v>DZD</v>
      </c>
      <c r="B49" s="54" t="str">
        <f>'試算-SLOT'!B49</f>
        <v>دج</v>
      </c>
      <c r="C49" s="54" t="str">
        <f>'試算-SLOT'!C49</f>
        <v>阿爾及利亞第納爾</v>
      </c>
      <c r="D49" s="54" t="str">
        <f>IF('試算-SLOT'!D49=1,"",'試算-SLOT'!D49)</f>
        <v/>
      </c>
      <c r="E49" s="49">
        <f>'試算-SLOT'!Q49</f>
        <v>0.002</v>
      </c>
      <c r="F49" s="56">
        <v>7.0</v>
      </c>
      <c r="G49" s="56">
        <v>9.0</v>
      </c>
      <c r="H49" s="56">
        <v>11.0</v>
      </c>
      <c r="I49" s="56">
        <v>14.0</v>
      </c>
      <c r="J49" s="56">
        <v>15.0</v>
      </c>
      <c r="K49" s="56">
        <v>16.0</v>
      </c>
      <c r="L49" s="56">
        <v>17.0</v>
      </c>
      <c r="M49" s="56">
        <v>18.0</v>
      </c>
      <c r="N49" s="56">
        <v>19.0</v>
      </c>
      <c r="O49" s="56">
        <v>20.0</v>
      </c>
      <c r="P49" s="56">
        <v>21.0</v>
      </c>
      <c r="Q49" s="56">
        <v>22.0</v>
      </c>
      <c r="R49" s="56">
        <v>23.0</v>
      </c>
      <c r="S49" s="56">
        <v>24.0</v>
      </c>
      <c r="T49" s="56">
        <v>25.0</v>
      </c>
      <c r="U49" s="56">
        <v>26.0</v>
      </c>
      <c r="V49" s="56">
        <v>27.0</v>
      </c>
      <c r="W49" s="56">
        <v>28.0</v>
      </c>
      <c r="X49" s="56">
        <v>29.0</v>
      </c>
      <c r="Y49" s="56">
        <v>30.0</v>
      </c>
      <c r="Z49" s="53"/>
      <c r="AA49" s="22"/>
      <c r="AB49" s="22"/>
      <c r="AC49" s="22"/>
      <c r="AD49" s="22"/>
      <c r="AE49" s="22"/>
      <c r="AF49" s="22"/>
      <c r="AG49" s="22"/>
      <c r="AH49" s="22"/>
      <c r="AI49" s="22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49">
        <f>'試算-SLOT'!Q50</f>
        <v>0.002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>
        <v>6.0</v>
      </c>
      <c r="L50" s="50">
        <v>7.0</v>
      </c>
      <c r="M50" s="50">
        <v>8.0</v>
      </c>
      <c r="N50" s="50">
        <v>9.0</v>
      </c>
      <c r="O50" s="50">
        <v>11.0</v>
      </c>
      <c r="P50" s="50">
        <v>13.0</v>
      </c>
      <c r="Q50" s="50">
        <v>14.0</v>
      </c>
      <c r="R50" s="50">
        <v>16.0</v>
      </c>
      <c r="S50" s="50">
        <v>18.0</v>
      </c>
      <c r="T50" s="50">
        <v>19.0</v>
      </c>
      <c r="U50" s="50">
        <v>20.0</v>
      </c>
      <c r="V50" s="50">
        <v>21.0</v>
      </c>
      <c r="W50" s="50">
        <v>22.0</v>
      </c>
      <c r="X50" s="50">
        <v>23.0</v>
      </c>
      <c r="Y50" s="50">
        <v>24.0</v>
      </c>
      <c r="Z50" s="53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49">
        <f>'試算-SLOT'!Q51</f>
        <v>0.002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>
        <v>6.0</v>
      </c>
      <c r="L51" s="50">
        <v>7.0</v>
      </c>
      <c r="M51" s="50">
        <v>8.0</v>
      </c>
      <c r="N51" s="50">
        <v>9.0</v>
      </c>
      <c r="O51" s="50">
        <v>11.0</v>
      </c>
      <c r="P51" s="50">
        <v>13.0</v>
      </c>
      <c r="Q51" s="50">
        <v>14.0</v>
      </c>
      <c r="R51" s="50">
        <v>16.0</v>
      </c>
      <c r="S51" s="50">
        <v>18.0</v>
      </c>
      <c r="T51" s="50">
        <v>19.0</v>
      </c>
      <c r="U51" s="50">
        <v>20.0</v>
      </c>
      <c r="V51" s="50">
        <v>21.0</v>
      </c>
      <c r="W51" s="50">
        <v>22.0</v>
      </c>
      <c r="X51" s="50">
        <v>23.0</v>
      </c>
      <c r="Y51" s="50">
        <v>24.0</v>
      </c>
      <c r="Z51" s="53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49">
        <f>'試算-SLOT'!Q52</f>
        <v>0.002</v>
      </c>
      <c r="F52" s="50">
        <v>2.0</v>
      </c>
      <c r="G52" s="50">
        <v>3.0</v>
      </c>
      <c r="H52" s="50">
        <v>4.0</v>
      </c>
      <c r="I52" s="50">
        <v>5.0</v>
      </c>
      <c r="J52" s="50">
        <v>6.0</v>
      </c>
      <c r="K52" s="50">
        <v>7.0</v>
      </c>
      <c r="L52" s="50">
        <v>8.0</v>
      </c>
      <c r="M52" s="50">
        <v>9.0</v>
      </c>
      <c r="N52" s="50">
        <v>11.0</v>
      </c>
      <c r="O52" s="50">
        <v>13.0</v>
      </c>
      <c r="P52" s="50">
        <v>14.0</v>
      </c>
      <c r="Q52" s="50">
        <v>16.0</v>
      </c>
      <c r="R52" s="50">
        <v>18.0</v>
      </c>
      <c r="S52" s="50">
        <v>19.0</v>
      </c>
      <c r="T52" s="50">
        <v>20.0</v>
      </c>
      <c r="U52" s="50">
        <v>21.0</v>
      </c>
      <c r="V52" s="50">
        <v>22.0</v>
      </c>
      <c r="W52" s="50">
        <v>23.0</v>
      </c>
      <c r="X52" s="50">
        <v>24.0</v>
      </c>
      <c r="Y52" s="50">
        <v>25.0</v>
      </c>
      <c r="Z52" s="53"/>
    </row>
    <row r="53" ht="16.5" customHeight="1">
      <c r="A53" s="48" t="str">
        <f>'試算-SLOT'!A53</f>
        <v>RCC</v>
      </c>
      <c r="B53" s="48" t="str">
        <f>'試算-SLOT'!B53</f>
        <v/>
      </c>
      <c r="C53" s="48" t="str">
        <f>'試算-SLOT'!C53</f>
        <v>RCC幣</v>
      </c>
      <c r="D53" s="48" t="str">
        <f>IF('試算-SLOT'!D53=1,"",'試算-SLOT'!D53)</f>
        <v/>
      </c>
      <c r="E53" s="49">
        <f>'試算-SLOT'!Q53</f>
        <v>0.002</v>
      </c>
      <c r="F53" s="50">
        <v>1.0</v>
      </c>
      <c r="G53" s="50">
        <v>2.0</v>
      </c>
      <c r="H53" s="50">
        <v>3.0</v>
      </c>
      <c r="I53" s="50">
        <v>4.0</v>
      </c>
      <c r="J53" s="50">
        <v>5.0</v>
      </c>
      <c r="K53" s="50">
        <v>6.0</v>
      </c>
      <c r="L53" s="50">
        <v>7.0</v>
      </c>
      <c r="M53" s="50">
        <v>8.0</v>
      </c>
      <c r="N53" s="50">
        <v>9.0</v>
      </c>
      <c r="O53" s="50">
        <v>10.0</v>
      </c>
      <c r="P53" s="50">
        <v>11.0</v>
      </c>
      <c r="Q53" s="50">
        <v>12.0</v>
      </c>
      <c r="R53" s="50">
        <v>13.0</v>
      </c>
      <c r="S53" s="50">
        <v>14.0</v>
      </c>
      <c r="T53" s="50">
        <v>15.0</v>
      </c>
      <c r="U53" s="50">
        <v>16.0</v>
      </c>
      <c r="V53" s="50">
        <v>17.0</v>
      </c>
      <c r="W53" s="50">
        <v>18.0</v>
      </c>
      <c r="X53" s="50">
        <v>19.0</v>
      </c>
      <c r="Y53" s="50">
        <v>20.0</v>
      </c>
      <c r="Z53" s="51"/>
    </row>
    <row r="54" ht="16.5" customHeight="1">
      <c r="A54" s="48" t="str">
        <f>'試算-SLOT'!A54</f>
        <v>KBB</v>
      </c>
      <c r="B54" s="48" t="str">
        <f>'試算-SLOT'!B54</f>
        <v/>
      </c>
      <c r="C54" s="48" t="str">
        <f>'試算-SLOT'!C54</f>
        <v>爸幣</v>
      </c>
      <c r="D54" s="48" t="str">
        <f>IF('試算-SLOT'!D54=1,"",'試算-SLOT'!D54)</f>
        <v/>
      </c>
      <c r="E54" s="49">
        <f>'試算-SLOT'!Q54</f>
        <v>0.01</v>
      </c>
      <c r="F54" s="50">
        <v>4.0</v>
      </c>
      <c r="G54" s="50">
        <v>6.0</v>
      </c>
      <c r="H54" s="50">
        <v>7.0</v>
      </c>
      <c r="I54" s="50">
        <v>8.0</v>
      </c>
      <c r="J54" s="50">
        <v>9.0</v>
      </c>
      <c r="K54" s="50">
        <v>10.0</v>
      </c>
      <c r="L54" s="50">
        <v>11.0</v>
      </c>
      <c r="M54" s="50">
        <v>13.0</v>
      </c>
      <c r="N54" s="50">
        <v>14.0</v>
      </c>
      <c r="O54" s="50">
        <v>16.0</v>
      </c>
      <c r="P54" s="50">
        <v>18.0</v>
      </c>
      <c r="Q54" s="50">
        <v>20.0</v>
      </c>
      <c r="R54" s="50">
        <v>21.0</v>
      </c>
      <c r="S54" s="50">
        <v>23.0</v>
      </c>
      <c r="T54" s="50">
        <v>24.0</v>
      </c>
      <c r="U54" s="50">
        <v>26.0</v>
      </c>
      <c r="V54" s="50">
        <v>27.0</v>
      </c>
      <c r="W54" s="50">
        <v>28.0</v>
      </c>
      <c r="X54" s="50">
        <v>29.0</v>
      </c>
      <c r="Y54" s="50">
        <v>30.0</v>
      </c>
      <c r="Z54" s="57"/>
    </row>
    <row r="55" ht="16.5" customHeight="1">
      <c r="A55" s="48" t="str">
        <f>'試算-SLOT'!A55</f>
        <v>XSMY</v>
      </c>
      <c r="B55" s="48" t="str">
        <f>'試算-SLOT'!B55</f>
        <v/>
      </c>
      <c r="C55" s="48" t="str">
        <f>'試算-SLOT'!C55</f>
        <v>星城馬來西亞</v>
      </c>
      <c r="D55" s="48" t="str">
        <f>IF('試算-SLOT'!D55=1,"",'試算-SLOT'!D55)</f>
        <v/>
      </c>
      <c r="E55" s="49">
        <f>'試算-SLOT'!Q55</f>
        <v>1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>
        <v>6.0</v>
      </c>
      <c r="L55" s="50">
        <v>7.0</v>
      </c>
      <c r="M55" s="50">
        <v>8.0</v>
      </c>
      <c r="N55" s="50">
        <v>9.0</v>
      </c>
      <c r="O55" s="50">
        <v>10.0</v>
      </c>
      <c r="P55" s="50">
        <v>11.0</v>
      </c>
      <c r="Q55" s="50">
        <v>13.0</v>
      </c>
      <c r="R55" s="50">
        <v>14.0</v>
      </c>
      <c r="S55" s="50">
        <v>16.0</v>
      </c>
      <c r="T55" s="50">
        <v>17.0</v>
      </c>
      <c r="U55" s="50">
        <v>18.0</v>
      </c>
      <c r="V55" s="50">
        <v>19.0</v>
      </c>
      <c r="W55" s="50">
        <v>20.0</v>
      </c>
      <c r="X55" s="50">
        <v>21.0</v>
      </c>
      <c r="Y55" s="50">
        <v>22.0</v>
      </c>
      <c r="Z55" s="57"/>
    </row>
    <row r="56" ht="16.5" customHeight="1">
      <c r="A56" s="57"/>
      <c r="B56" s="57"/>
      <c r="C56" s="57"/>
      <c r="D56" s="57"/>
      <c r="E56" s="58"/>
      <c r="F56" s="57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3"/>
    </row>
    <row r="57" ht="16.5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60"/>
      <c r="AA57" s="42"/>
    </row>
    <row r="58" ht="16.5" customHeight="1">
      <c r="A58" s="43" t="str">
        <f t="shared" ref="A58:Y58" si="1">A5</f>
        <v>貨幣簡稱</v>
      </c>
      <c r="B58" s="44" t="str">
        <f t="shared" si="1"/>
        <v>貨幣符號</v>
      </c>
      <c r="C58" s="44" t="str">
        <f t="shared" si="1"/>
        <v>中文名稱</v>
      </c>
      <c r="D58" s="44" t="str">
        <f t="shared" si="1"/>
        <v>貨幣轉換</v>
      </c>
      <c r="E58" s="44" t="str">
        <f t="shared" si="1"/>
        <v>Denom</v>
      </c>
      <c r="F58" s="44" t="str">
        <f t="shared" si="1"/>
        <v>第 1 組</v>
      </c>
      <c r="G58" s="44" t="str">
        <f t="shared" si="1"/>
        <v>第 2 組</v>
      </c>
      <c r="H58" s="44" t="str">
        <f t="shared" si="1"/>
        <v>第 3 組</v>
      </c>
      <c r="I58" s="44" t="str">
        <f t="shared" si="1"/>
        <v>第 4 組</v>
      </c>
      <c r="J58" s="44" t="str">
        <f t="shared" si="1"/>
        <v>第 5 組</v>
      </c>
      <c r="K58" s="44" t="str">
        <f t="shared" si="1"/>
        <v>第 6 組</v>
      </c>
      <c r="L58" s="44" t="str">
        <f t="shared" si="1"/>
        <v>第 7 組</v>
      </c>
      <c r="M58" s="44" t="str">
        <f t="shared" si="1"/>
        <v>第 8 組</v>
      </c>
      <c r="N58" s="44" t="str">
        <f t="shared" si="1"/>
        <v>第 9 組</v>
      </c>
      <c r="O58" s="44" t="str">
        <f t="shared" si="1"/>
        <v>第 10 組</v>
      </c>
      <c r="P58" s="44" t="str">
        <f t="shared" si="1"/>
        <v>第 11 組</v>
      </c>
      <c r="Q58" s="44" t="str">
        <f t="shared" si="1"/>
        <v>第 12 組</v>
      </c>
      <c r="R58" s="44" t="str">
        <f t="shared" si="1"/>
        <v>第 13 組</v>
      </c>
      <c r="S58" s="44" t="str">
        <f t="shared" si="1"/>
        <v>第 14 組</v>
      </c>
      <c r="T58" s="44" t="str">
        <f t="shared" si="1"/>
        <v>第 15 組</v>
      </c>
      <c r="U58" s="44" t="str">
        <f t="shared" si="1"/>
        <v>第 16 組</v>
      </c>
      <c r="V58" s="44" t="str">
        <f t="shared" si="1"/>
        <v>第 17 組</v>
      </c>
      <c r="W58" s="44" t="str">
        <f t="shared" si="1"/>
        <v>第 18 組</v>
      </c>
      <c r="X58" s="44" t="str">
        <f t="shared" si="1"/>
        <v>第 19 組</v>
      </c>
      <c r="Y58" s="61" t="str">
        <f t="shared" si="1"/>
        <v>第 20 組</v>
      </c>
      <c r="Z58" s="62"/>
      <c r="AA58" s="63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48" t="str">
        <f t="shared" si="2"/>
        <v>泰銖</v>
      </c>
      <c r="D59" s="48" t="str">
        <f t="shared" si="2"/>
        <v/>
      </c>
      <c r="E59" s="64">
        <f t="shared" si="2"/>
        <v>0.002</v>
      </c>
      <c r="F59" s="65">
        <f t="shared" ref="F59:Y59" si="3">HLOOKUP(F6,$F$1:$AI$2,2) * $D$1 * $E59</f>
        <v>0.88</v>
      </c>
      <c r="G59" s="65">
        <f t="shared" si="3"/>
        <v>1.76</v>
      </c>
      <c r="H59" s="65">
        <f t="shared" si="3"/>
        <v>3.52</v>
      </c>
      <c r="I59" s="65">
        <f t="shared" si="3"/>
        <v>5.28</v>
      </c>
      <c r="J59" s="65">
        <f t="shared" si="3"/>
        <v>7.04</v>
      </c>
      <c r="K59" s="65">
        <f t="shared" si="3"/>
        <v>8.8</v>
      </c>
      <c r="L59" s="65">
        <f t="shared" si="3"/>
        <v>17.6</v>
      </c>
      <c r="M59" s="65">
        <f t="shared" si="3"/>
        <v>26.4</v>
      </c>
      <c r="N59" s="65">
        <f t="shared" si="3"/>
        <v>35.2</v>
      </c>
      <c r="O59" s="65">
        <f t="shared" si="3"/>
        <v>52.8</v>
      </c>
      <c r="P59" s="65">
        <f t="shared" si="3"/>
        <v>70.4</v>
      </c>
      <c r="Q59" s="65">
        <f t="shared" si="3"/>
        <v>79.2</v>
      </c>
      <c r="R59" s="65">
        <f t="shared" si="3"/>
        <v>88</v>
      </c>
      <c r="S59" s="65">
        <f t="shared" si="3"/>
        <v>105.6</v>
      </c>
      <c r="T59" s="65">
        <f t="shared" si="3"/>
        <v>132</v>
      </c>
      <c r="U59" s="65">
        <f t="shared" si="3"/>
        <v>176</v>
      </c>
      <c r="V59" s="65">
        <f t="shared" si="3"/>
        <v>264</v>
      </c>
      <c r="W59" s="65">
        <f t="shared" si="3"/>
        <v>308</v>
      </c>
      <c r="X59" s="65">
        <f t="shared" si="3"/>
        <v>352</v>
      </c>
      <c r="Y59" s="66">
        <f t="shared" si="3"/>
        <v>528</v>
      </c>
      <c r="Z59" s="67"/>
      <c r="AA59" s="68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48" t="str">
        <f t="shared" si="4"/>
        <v>港幣</v>
      </c>
      <c r="D60" s="48" t="str">
        <f t="shared" si="4"/>
        <v/>
      </c>
      <c r="E60" s="64">
        <f t="shared" si="4"/>
        <v>0.002</v>
      </c>
      <c r="F60" s="65">
        <f t="shared" ref="F60:Y60" si="5">HLOOKUP(F7,$F$1:$AI$2,2) * $D$1 * $E60</f>
        <v>0.176</v>
      </c>
      <c r="G60" s="65">
        <f t="shared" si="5"/>
        <v>0.352</v>
      </c>
      <c r="H60" s="65">
        <f t="shared" si="5"/>
        <v>0.88</v>
      </c>
      <c r="I60" s="65">
        <f t="shared" si="5"/>
        <v>1.76</v>
      </c>
      <c r="J60" s="65">
        <f t="shared" si="5"/>
        <v>2.64</v>
      </c>
      <c r="K60" s="65">
        <f t="shared" si="5"/>
        <v>3.52</v>
      </c>
      <c r="L60" s="65">
        <f t="shared" si="5"/>
        <v>5.28</v>
      </c>
      <c r="M60" s="65">
        <f t="shared" si="5"/>
        <v>7.04</v>
      </c>
      <c r="N60" s="65">
        <f t="shared" si="5"/>
        <v>8.8</v>
      </c>
      <c r="O60" s="65">
        <f t="shared" si="5"/>
        <v>17.6</v>
      </c>
      <c r="P60" s="65">
        <f t="shared" si="5"/>
        <v>26.4</v>
      </c>
      <c r="Q60" s="65">
        <f t="shared" si="5"/>
        <v>35.2</v>
      </c>
      <c r="R60" s="65">
        <f t="shared" si="5"/>
        <v>52.8</v>
      </c>
      <c r="S60" s="65">
        <f t="shared" si="5"/>
        <v>70.4</v>
      </c>
      <c r="T60" s="65">
        <f t="shared" si="5"/>
        <v>79.2</v>
      </c>
      <c r="U60" s="65">
        <f t="shared" si="5"/>
        <v>88</v>
      </c>
      <c r="V60" s="65">
        <f t="shared" si="5"/>
        <v>105.6</v>
      </c>
      <c r="W60" s="65">
        <f t="shared" si="5"/>
        <v>132</v>
      </c>
      <c r="X60" s="65">
        <f t="shared" si="5"/>
        <v>176</v>
      </c>
      <c r="Y60" s="66">
        <f t="shared" si="5"/>
        <v>264</v>
      </c>
      <c r="Z60" s="67"/>
      <c r="AA60" s="68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48" t="str">
        <f t="shared" si="6"/>
        <v>印度盧比</v>
      </c>
      <c r="D61" s="48" t="str">
        <f t="shared" si="6"/>
        <v/>
      </c>
      <c r="E61" s="64">
        <f t="shared" si="6"/>
        <v>0.002</v>
      </c>
      <c r="F61" s="65">
        <f t="shared" ref="F61:Y61" si="7">HLOOKUP(F8,$F$1:$AI$2,2) * $D$1 * $E61</f>
        <v>1.76</v>
      </c>
      <c r="G61" s="65">
        <f t="shared" si="7"/>
        <v>3.52</v>
      </c>
      <c r="H61" s="65">
        <f t="shared" si="7"/>
        <v>5.28</v>
      </c>
      <c r="I61" s="65">
        <f t="shared" si="7"/>
        <v>8.8</v>
      </c>
      <c r="J61" s="65">
        <f t="shared" si="7"/>
        <v>17.6</v>
      </c>
      <c r="K61" s="65">
        <f t="shared" si="7"/>
        <v>26.4</v>
      </c>
      <c r="L61" s="65">
        <f t="shared" si="7"/>
        <v>35.2</v>
      </c>
      <c r="M61" s="65">
        <f t="shared" si="7"/>
        <v>52.8</v>
      </c>
      <c r="N61" s="65">
        <f t="shared" si="7"/>
        <v>70.4</v>
      </c>
      <c r="O61" s="65">
        <f t="shared" si="7"/>
        <v>79.2</v>
      </c>
      <c r="P61" s="65">
        <f t="shared" si="7"/>
        <v>88</v>
      </c>
      <c r="Q61" s="65">
        <f t="shared" si="7"/>
        <v>105.6</v>
      </c>
      <c r="R61" s="65">
        <f t="shared" si="7"/>
        <v>132</v>
      </c>
      <c r="S61" s="65">
        <f t="shared" si="7"/>
        <v>176</v>
      </c>
      <c r="T61" s="65">
        <f t="shared" si="7"/>
        <v>264</v>
      </c>
      <c r="U61" s="65">
        <f t="shared" si="7"/>
        <v>308</v>
      </c>
      <c r="V61" s="65">
        <f t="shared" si="7"/>
        <v>352</v>
      </c>
      <c r="W61" s="65">
        <f t="shared" si="7"/>
        <v>528</v>
      </c>
      <c r="X61" s="65">
        <f t="shared" si="7"/>
        <v>704</v>
      </c>
      <c r="Y61" s="66">
        <f t="shared" si="7"/>
        <v>880</v>
      </c>
      <c r="Z61" s="67"/>
      <c r="AA61" s="68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48" t="str">
        <f t="shared" si="8"/>
        <v>印尼盧比(K)</v>
      </c>
      <c r="D62" s="48">
        <f t="shared" si="8"/>
        <v>1000</v>
      </c>
      <c r="E62" s="64">
        <f t="shared" si="8"/>
        <v>0.002</v>
      </c>
      <c r="F62" s="65">
        <f t="shared" ref="F62:Y62" si="9">HLOOKUP(F9,$F$1:$AI$2,2) * $D$1 * $E62</f>
        <v>0.352</v>
      </c>
      <c r="G62" s="65">
        <f t="shared" si="9"/>
        <v>0.88</v>
      </c>
      <c r="H62" s="65">
        <f t="shared" si="9"/>
        <v>1.76</v>
      </c>
      <c r="I62" s="65">
        <f t="shared" si="9"/>
        <v>2.64</v>
      </c>
      <c r="J62" s="65">
        <f t="shared" si="9"/>
        <v>3.52</v>
      </c>
      <c r="K62" s="65">
        <f t="shared" si="9"/>
        <v>5.28</v>
      </c>
      <c r="L62" s="65">
        <f t="shared" si="9"/>
        <v>7.04</v>
      </c>
      <c r="M62" s="65">
        <f t="shared" si="9"/>
        <v>8.8</v>
      </c>
      <c r="N62" s="65">
        <f t="shared" si="9"/>
        <v>17.6</v>
      </c>
      <c r="O62" s="65">
        <f t="shared" si="9"/>
        <v>26.4</v>
      </c>
      <c r="P62" s="65">
        <f t="shared" si="9"/>
        <v>35.2</v>
      </c>
      <c r="Q62" s="65">
        <f t="shared" si="9"/>
        <v>52.8</v>
      </c>
      <c r="R62" s="65">
        <f t="shared" si="9"/>
        <v>70.4</v>
      </c>
      <c r="S62" s="65">
        <f t="shared" si="9"/>
        <v>79.2</v>
      </c>
      <c r="T62" s="65">
        <f t="shared" si="9"/>
        <v>88</v>
      </c>
      <c r="U62" s="65">
        <f t="shared" si="9"/>
        <v>105.6</v>
      </c>
      <c r="V62" s="65">
        <f t="shared" si="9"/>
        <v>132</v>
      </c>
      <c r="W62" s="65">
        <f t="shared" si="9"/>
        <v>176</v>
      </c>
      <c r="X62" s="65">
        <f t="shared" si="9"/>
        <v>264</v>
      </c>
      <c r="Y62" s="66">
        <f t="shared" si="9"/>
        <v>308</v>
      </c>
      <c r="Z62" s="67"/>
      <c r="AA62" s="68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48" t="str">
        <f t="shared" si="10"/>
        <v>越南盾(K)</v>
      </c>
      <c r="D63" s="48">
        <f t="shared" si="10"/>
        <v>1000</v>
      </c>
      <c r="E63" s="64">
        <f t="shared" si="10"/>
        <v>0.002</v>
      </c>
      <c r="F63" s="65">
        <f t="shared" ref="F63:Y63" si="11">HLOOKUP(F10,$F$1:$AI$2,2) * $D$1 * $E63</f>
        <v>0.88</v>
      </c>
      <c r="G63" s="65">
        <f t="shared" si="11"/>
        <v>1.76</v>
      </c>
      <c r="H63" s="65">
        <f t="shared" si="11"/>
        <v>2.64</v>
      </c>
      <c r="I63" s="65">
        <f t="shared" si="11"/>
        <v>3.52</v>
      </c>
      <c r="J63" s="65">
        <f t="shared" si="11"/>
        <v>5.28</v>
      </c>
      <c r="K63" s="65">
        <f t="shared" si="11"/>
        <v>7.04</v>
      </c>
      <c r="L63" s="65">
        <f t="shared" si="11"/>
        <v>8.8</v>
      </c>
      <c r="M63" s="65">
        <f t="shared" si="11"/>
        <v>17.6</v>
      </c>
      <c r="N63" s="65">
        <f t="shared" si="11"/>
        <v>26.4</v>
      </c>
      <c r="O63" s="65">
        <f t="shared" si="11"/>
        <v>35.2</v>
      </c>
      <c r="P63" s="65">
        <f t="shared" si="11"/>
        <v>52.8</v>
      </c>
      <c r="Q63" s="65">
        <f t="shared" si="11"/>
        <v>70.4</v>
      </c>
      <c r="R63" s="65">
        <f t="shared" si="11"/>
        <v>79.2</v>
      </c>
      <c r="S63" s="65">
        <f t="shared" si="11"/>
        <v>88</v>
      </c>
      <c r="T63" s="65">
        <f t="shared" si="11"/>
        <v>105.6</v>
      </c>
      <c r="U63" s="65">
        <f t="shared" si="11"/>
        <v>132</v>
      </c>
      <c r="V63" s="65">
        <f t="shared" si="11"/>
        <v>176</v>
      </c>
      <c r="W63" s="65">
        <f t="shared" si="11"/>
        <v>264</v>
      </c>
      <c r="X63" s="65">
        <f t="shared" si="11"/>
        <v>308</v>
      </c>
      <c r="Y63" s="66">
        <f t="shared" si="11"/>
        <v>352</v>
      </c>
      <c r="Z63" s="67"/>
      <c r="AA63" s="68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48" t="str">
        <f t="shared" si="12"/>
        <v>馬來西亞令吉</v>
      </c>
      <c r="D64" s="48" t="str">
        <f t="shared" si="12"/>
        <v/>
      </c>
      <c r="E64" s="64">
        <f t="shared" si="12"/>
        <v>0.002</v>
      </c>
      <c r="F64" s="65">
        <f t="shared" ref="F64:Y64" si="13">HLOOKUP(F11,$F$1:$AI$2,2) * $D$1 * $E64</f>
        <v>0.176</v>
      </c>
      <c r="G64" s="65">
        <f t="shared" si="13"/>
        <v>0.352</v>
      </c>
      <c r="H64" s="65">
        <f t="shared" si="13"/>
        <v>0.88</v>
      </c>
      <c r="I64" s="65">
        <f t="shared" si="13"/>
        <v>1.76</v>
      </c>
      <c r="J64" s="65">
        <f t="shared" si="13"/>
        <v>2.64</v>
      </c>
      <c r="K64" s="65">
        <f t="shared" si="13"/>
        <v>3.52</v>
      </c>
      <c r="L64" s="65">
        <f t="shared" si="13"/>
        <v>5.28</v>
      </c>
      <c r="M64" s="65">
        <f t="shared" si="13"/>
        <v>7.04</v>
      </c>
      <c r="N64" s="65">
        <f t="shared" si="13"/>
        <v>8.8</v>
      </c>
      <c r="O64" s="65">
        <f t="shared" si="13"/>
        <v>10.56</v>
      </c>
      <c r="P64" s="65">
        <f t="shared" si="13"/>
        <v>17.6</v>
      </c>
      <c r="Q64" s="65">
        <f t="shared" si="13"/>
        <v>26.4</v>
      </c>
      <c r="R64" s="65">
        <f t="shared" si="13"/>
        <v>35.2</v>
      </c>
      <c r="S64" s="65">
        <f t="shared" si="13"/>
        <v>52.8</v>
      </c>
      <c r="T64" s="65">
        <f t="shared" si="13"/>
        <v>70.4</v>
      </c>
      <c r="U64" s="65">
        <f t="shared" si="13"/>
        <v>79.2</v>
      </c>
      <c r="V64" s="65">
        <f t="shared" si="13"/>
        <v>88</v>
      </c>
      <c r="W64" s="65">
        <f t="shared" si="13"/>
        <v>105.6</v>
      </c>
      <c r="X64" s="65">
        <f t="shared" si="13"/>
        <v>132</v>
      </c>
      <c r="Y64" s="66">
        <f t="shared" si="13"/>
        <v>176</v>
      </c>
      <c r="Z64" s="67"/>
      <c r="AA64" s="68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48" t="str">
        <f t="shared" si="14"/>
        <v>新加坡幣</v>
      </c>
      <c r="D65" s="48" t="str">
        <f t="shared" si="14"/>
        <v/>
      </c>
      <c r="E65" s="64">
        <f t="shared" si="14"/>
        <v>0.002</v>
      </c>
      <c r="F65" s="65">
        <f t="shared" ref="F65:Y65" si="15">HLOOKUP(F12,$F$1:$AI$2,2) * $D$1 * $E65</f>
        <v>0.176</v>
      </c>
      <c r="G65" s="65">
        <f t="shared" si="15"/>
        <v>0.352</v>
      </c>
      <c r="H65" s="65">
        <f t="shared" si="15"/>
        <v>0.88</v>
      </c>
      <c r="I65" s="65">
        <f t="shared" si="15"/>
        <v>1.76</v>
      </c>
      <c r="J65" s="65">
        <f t="shared" si="15"/>
        <v>2.64</v>
      </c>
      <c r="K65" s="65">
        <f t="shared" si="15"/>
        <v>3.52</v>
      </c>
      <c r="L65" s="65">
        <f t="shared" si="15"/>
        <v>5.28</v>
      </c>
      <c r="M65" s="65">
        <f t="shared" si="15"/>
        <v>7.04</v>
      </c>
      <c r="N65" s="65">
        <f t="shared" si="15"/>
        <v>8.8</v>
      </c>
      <c r="O65" s="65">
        <f t="shared" si="15"/>
        <v>10.56</v>
      </c>
      <c r="P65" s="65">
        <f t="shared" si="15"/>
        <v>17.6</v>
      </c>
      <c r="Q65" s="65">
        <f t="shared" si="15"/>
        <v>21.12</v>
      </c>
      <c r="R65" s="65">
        <f t="shared" si="15"/>
        <v>26.4</v>
      </c>
      <c r="S65" s="65">
        <f t="shared" si="15"/>
        <v>35.2</v>
      </c>
      <c r="T65" s="65">
        <f t="shared" si="15"/>
        <v>44</v>
      </c>
      <c r="U65" s="65">
        <f t="shared" si="15"/>
        <v>52.8</v>
      </c>
      <c r="V65" s="65">
        <f t="shared" si="15"/>
        <v>61.6</v>
      </c>
      <c r="W65" s="65">
        <f t="shared" si="15"/>
        <v>70.4</v>
      </c>
      <c r="X65" s="65">
        <f t="shared" si="15"/>
        <v>79.2</v>
      </c>
      <c r="Y65" s="66">
        <f t="shared" si="15"/>
        <v>88</v>
      </c>
      <c r="Z65" s="67"/>
      <c r="AA65" s="68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48" t="str">
        <f t="shared" si="16"/>
        <v>美元</v>
      </c>
      <c r="D66" s="48" t="str">
        <f t="shared" si="16"/>
        <v/>
      </c>
      <c r="E66" s="64">
        <f t="shared" si="16"/>
        <v>0.002</v>
      </c>
      <c r="F66" s="65">
        <f t="shared" ref="F66:Y66" si="17">HLOOKUP(F13,$F$1:$AI$2,2) * $D$1 * $E66</f>
        <v>0.176</v>
      </c>
      <c r="G66" s="65">
        <f t="shared" si="17"/>
        <v>0.352</v>
      </c>
      <c r="H66" s="65">
        <f t="shared" si="17"/>
        <v>0.88</v>
      </c>
      <c r="I66" s="65">
        <f t="shared" si="17"/>
        <v>1.76</v>
      </c>
      <c r="J66" s="65">
        <f t="shared" si="17"/>
        <v>2.64</v>
      </c>
      <c r="K66" s="65">
        <f t="shared" si="17"/>
        <v>3.52</v>
      </c>
      <c r="L66" s="65">
        <f t="shared" si="17"/>
        <v>5.28</v>
      </c>
      <c r="M66" s="65">
        <f t="shared" si="17"/>
        <v>7.04</v>
      </c>
      <c r="N66" s="65">
        <f t="shared" si="17"/>
        <v>8.8</v>
      </c>
      <c r="O66" s="65">
        <f t="shared" si="17"/>
        <v>10.56</v>
      </c>
      <c r="P66" s="65">
        <f t="shared" si="17"/>
        <v>17.6</v>
      </c>
      <c r="Q66" s="65">
        <f t="shared" si="17"/>
        <v>21.12</v>
      </c>
      <c r="R66" s="65">
        <f t="shared" si="17"/>
        <v>26.4</v>
      </c>
      <c r="S66" s="65">
        <f t="shared" si="17"/>
        <v>35.2</v>
      </c>
      <c r="T66" s="65">
        <f t="shared" si="17"/>
        <v>44</v>
      </c>
      <c r="U66" s="65">
        <f t="shared" si="17"/>
        <v>52.8</v>
      </c>
      <c r="V66" s="65">
        <f t="shared" si="17"/>
        <v>61.6</v>
      </c>
      <c r="W66" s="65">
        <f t="shared" si="17"/>
        <v>70.4</v>
      </c>
      <c r="X66" s="65">
        <f t="shared" si="17"/>
        <v>79.2</v>
      </c>
      <c r="Y66" s="66">
        <f t="shared" si="17"/>
        <v>88</v>
      </c>
      <c r="Z66" s="67"/>
      <c r="AA66" s="68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48" t="str">
        <f t="shared" si="18"/>
        <v>孟加拉塔卡</v>
      </c>
      <c r="D67" s="48" t="str">
        <f t="shared" si="18"/>
        <v/>
      </c>
      <c r="E67" s="64">
        <f t="shared" si="18"/>
        <v>0.002</v>
      </c>
      <c r="F67" s="65">
        <f t="shared" ref="F67:Y67" si="19">HLOOKUP(F14,$F$1:$AI$2,2) * $D$1 * $E67</f>
        <v>1.76</v>
      </c>
      <c r="G67" s="65">
        <f t="shared" si="19"/>
        <v>3.52</v>
      </c>
      <c r="H67" s="65">
        <f t="shared" si="19"/>
        <v>5.28</v>
      </c>
      <c r="I67" s="65">
        <f t="shared" si="19"/>
        <v>8.8</v>
      </c>
      <c r="J67" s="65">
        <f t="shared" si="19"/>
        <v>17.6</v>
      </c>
      <c r="K67" s="65">
        <f t="shared" si="19"/>
        <v>26.4</v>
      </c>
      <c r="L67" s="65">
        <f t="shared" si="19"/>
        <v>35.2</v>
      </c>
      <c r="M67" s="65">
        <f t="shared" si="19"/>
        <v>52.8</v>
      </c>
      <c r="N67" s="65">
        <f t="shared" si="19"/>
        <v>70.4</v>
      </c>
      <c r="O67" s="65">
        <f t="shared" si="19"/>
        <v>79.2</v>
      </c>
      <c r="P67" s="65">
        <f t="shared" si="19"/>
        <v>88</v>
      </c>
      <c r="Q67" s="65">
        <f t="shared" si="19"/>
        <v>105.6</v>
      </c>
      <c r="R67" s="65">
        <f t="shared" si="19"/>
        <v>132</v>
      </c>
      <c r="S67" s="65">
        <f t="shared" si="19"/>
        <v>176</v>
      </c>
      <c r="T67" s="65">
        <f t="shared" si="19"/>
        <v>264</v>
      </c>
      <c r="U67" s="65">
        <f t="shared" si="19"/>
        <v>308</v>
      </c>
      <c r="V67" s="65">
        <f t="shared" si="19"/>
        <v>352</v>
      </c>
      <c r="W67" s="65">
        <f t="shared" si="19"/>
        <v>528</v>
      </c>
      <c r="X67" s="65">
        <f t="shared" si="19"/>
        <v>704</v>
      </c>
      <c r="Y67" s="66">
        <f t="shared" si="19"/>
        <v>880</v>
      </c>
      <c r="Z67" s="67"/>
      <c r="AA67" s="68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48" t="str">
        <f t="shared" si="20"/>
        <v>巴基斯坦盧比</v>
      </c>
      <c r="D68" s="48" t="str">
        <f t="shared" si="20"/>
        <v/>
      </c>
      <c r="E68" s="64">
        <f t="shared" si="20"/>
        <v>0.01</v>
      </c>
      <c r="F68" s="65">
        <f t="shared" ref="F68:Y68" si="21">HLOOKUP(F15,$F$1:$AI$2,2) * $D$1 * $E68</f>
        <v>4.4</v>
      </c>
      <c r="G68" s="65">
        <f t="shared" si="21"/>
        <v>8.8</v>
      </c>
      <c r="H68" s="65">
        <f t="shared" si="21"/>
        <v>17.6</v>
      </c>
      <c r="I68" s="65">
        <f t="shared" si="21"/>
        <v>26.4</v>
      </c>
      <c r="J68" s="65">
        <f t="shared" si="21"/>
        <v>44</v>
      </c>
      <c r="K68" s="65">
        <f t="shared" si="21"/>
        <v>88</v>
      </c>
      <c r="L68" s="65">
        <f t="shared" si="21"/>
        <v>132</v>
      </c>
      <c r="M68" s="65">
        <f t="shared" si="21"/>
        <v>176</v>
      </c>
      <c r="N68" s="65">
        <f t="shared" si="21"/>
        <v>264</v>
      </c>
      <c r="O68" s="65">
        <f t="shared" si="21"/>
        <v>352</v>
      </c>
      <c r="P68" s="65">
        <f t="shared" si="21"/>
        <v>396</v>
      </c>
      <c r="Q68" s="65">
        <f t="shared" si="21"/>
        <v>440</v>
      </c>
      <c r="R68" s="65">
        <f t="shared" si="21"/>
        <v>528</v>
      </c>
      <c r="S68" s="65">
        <f t="shared" si="21"/>
        <v>660</v>
      </c>
      <c r="T68" s="65">
        <f t="shared" si="21"/>
        <v>880</v>
      </c>
      <c r="U68" s="65">
        <f t="shared" si="21"/>
        <v>1320</v>
      </c>
      <c r="V68" s="65">
        <f t="shared" si="21"/>
        <v>1540</v>
      </c>
      <c r="W68" s="65">
        <f t="shared" si="21"/>
        <v>1760</v>
      </c>
      <c r="X68" s="65">
        <f t="shared" si="21"/>
        <v>2640</v>
      </c>
      <c r="Y68" s="66">
        <f t="shared" si="21"/>
        <v>3520</v>
      </c>
      <c r="Z68" s="67"/>
      <c r="AA68" s="68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48" t="str">
        <f t="shared" si="22"/>
        <v>緬甸元(K)</v>
      </c>
      <c r="D69" s="48">
        <f t="shared" si="22"/>
        <v>1000</v>
      </c>
      <c r="E69" s="64">
        <f t="shared" si="22"/>
        <v>0.002</v>
      </c>
      <c r="F69" s="65">
        <f t="shared" ref="F69:Y69" si="23">HLOOKUP(F16,$F$1:$AI$2,2) * $D$1 * $E69</f>
        <v>0.176</v>
      </c>
      <c r="G69" s="65">
        <f t="shared" si="23"/>
        <v>0.352</v>
      </c>
      <c r="H69" s="65">
        <f t="shared" si="23"/>
        <v>0.88</v>
      </c>
      <c r="I69" s="65">
        <f t="shared" si="23"/>
        <v>1.76</v>
      </c>
      <c r="J69" s="65">
        <f t="shared" si="23"/>
        <v>2.64</v>
      </c>
      <c r="K69" s="65">
        <f t="shared" si="23"/>
        <v>3.52</v>
      </c>
      <c r="L69" s="65">
        <f t="shared" si="23"/>
        <v>5.28</v>
      </c>
      <c r="M69" s="65">
        <f t="shared" si="23"/>
        <v>7.04</v>
      </c>
      <c r="N69" s="65">
        <f t="shared" si="23"/>
        <v>8.8</v>
      </c>
      <c r="O69" s="65">
        <f t="shared" si="23"/>
        <v>10.56</v>
      </c>
      <c r="P69" s="65">
        <f t="shared" si="23"/>
        <v>17.6</v>
      </c>
      <c r="Q69" s="65">
        <f t="shared" si="23"/>
        <v>21.12</v>
      </c>
      <c r="R69" s="65">
        <f t="shared" si="23"/>
        <v>26.4</v>
      </c>
      <c r="S69" s="65">
        <f t="shared" si="23"/>
        <v>35.2</v>
      </c>
      <c r="T69" s="65">
        <f t="shared" si="23"/>
        <v>44</v>
      </c>
      <c r="U69" s="65">
        <f t="shared" si="23"/>
        <v>52.8</v>
      </c>
      <c r="V69" s="65">
        <f t="shared" si="23"/>
        <v>70.4</v>
      </c>
      <c r="W69" s="65">
        <f t="shared" si="23"/>
        <v>79.2</v>
      </c>
      <c r="X69" s="65">
        <f t="shared" si="23"/>
        <v>88</v>
      </c>
      <c r="Y69" s="66">
        <f t="shared" si="23"/>
        <v>105.6</v>
      </c>
      <c r="Z69" s="67"/>
      <c r="AA69" s="68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48" t="str">
        <f t="shared" si="24"/>
        <v>緬甸元(H)</v>
      </c>
      <c r="D70" s="48">
        <f t="shared" si="24"/>
        <v>100</v>
      </c>
      <c r="E70" s="64">
        <f t="shared" si="24"/>
        <v>0.004</v>
      </c>
      <c r="F70" s="65">
        <f t="shared" ref="F70:Y70" si="25">HLOOKUP(F17,$F$1:$AI$2,2) * $D$1 * $E70</f>
        <v>0.352</v>
      </c>
      <c r="G70" s="65">
        <f t="shared" si="25"/>
        <v>0.704</v>
      </c>
      <c r="H70" s="65">
        <f t="shared" si="25"/>
        <v>1.76</v>
      </c>
      <c r="I70" s="65">
        <f t="shared" si="25"/>
        <v>3.52</v>
      </c>
      <c r="J70" s="65">
        <f t="shared" si="25"/>
        <v>5.28</v>
      </c>
      <c r="K70" s="65">
        <f t="shared" si="25"/>
        <v>7.04</v>
      </c>
      <c r="L70" s="65">
        <f t="shared" si="25"/>
        <v>10.56</v>
      </c>
      <c r="M70" s="65">
        <f t="shared" si="25"/>
        <v>14.08</v>
      </c>
      <c r="N70" s="65">
        <f t="shared" si="25"/>
        <v>17.6</v>
      </c>
      <c r="O70" s="65">
        <f t="shared" si="25"/>
        <v>35.2</v>
      </c>
      <c r="P70" s="65">
        <f t="shared" si="25"/>
        <v>52.8</v>
      </c>
      <c r="Q70" s="65">
        <f t="shared" si="25"/>
        <v>70.4</v>
      </c>
      <c r="R70" s="65">
        <f t="shared" si="25"/>
        <v>105.6</v>
      </c>
      <c r="S70" s="65">
        <f t="shared" si="25"/>
        <v>140.8</v>
      </c>
      <c r="T70" s="65">
        <f t="shared" si="25"/>
        <v>158.4</v>
      </c>
      <c r="U70" s="65">
        <f t="shared" si="25"/>
        <v>176</v>
      </c>
      <c r="V70" s="65">
        <f t="shared" si="25"/>
        <v>211.2</v>
      </c>
      <c r="W70" s="65">
        <f t="shared" si="25"/>
        <v>264</v>
      </c>
      <c r="X70" s="65">
        <f t="shared" si="25"/>
        <v>352</v>
      </c>
      <c r="Y70" s="66">
        <f t="shared" si="25"/>
        <v>528</v>
      </c>
      <c r="Z70" s="67"/>
      <c r="AA70" s="68"/>
    </row>
    <row r="71" ht="16.5" customHeight="1">
      <c r="A71" s="82" t="str">
        <f t="shared" ref="A71:E71" si="26">A18</f>
        <v>PHP</v>
      </c>
      <c r="B71" s="82" t="str">
        <f t="shared" si="26"/>
        <v>₱</v>
      </c>
      <c r="C71" s="82" t="str">
        <f t="shared" si="26"/>
        <v>菲律賓披索</v>
      </c>
      <c r="D71" s="82" t="str">
        <f t="shared" si="26"/>
        <v/>
      </c>
      <c r="E71" s="85">
        <f t="shared" si="26"/>
        <v>0.01</v>
      </c>
      <c r="F71" s="86">
        <f t="shared" ref="F71:Y71" si="27">HLOOKUP(F18,$F$1:$AI$2,2) * $D$1 * $E71</f>
        <v>8.8</v>
      </c>
      <c r="G71" s="86">
        <f t="shared" si="27"/>
        <v>17.6</v>
      </c>
      <c r="H71" s="86">
        <f t="shared" si="27"/>
        <v>26.4</v>
      </c>
      <c r="I71" s="86">
        <f t="shared" si="27"/>
        <v>35.2</v>
      </c>
      <c r="J71" s="86">
        <f t="shared" si="27"/>
        <v>44</v>
      </c>
      <c r="K71" s="86">
        <f t="shared" si="27"/>
        <v>52.8</v>
      </c>
      <c r="L71" s="86">
        <f t="shared" si="27"/>
        <v>88</v>
      </c>
      <c r="M71" s="86">
        <f t="shared" si="27"/>
        <v>132</v>
      </c>
      <c r="N71" s="86">
        <f t="shared" si="27"/>
        <v>176</v>
      </c>
      <c r="O71" s="86">
        <f t="shared" si="27"/>
        <v>264</v>
      </c>
      <c r="P71" s="86">
        <f t="shared" si="27"/>
        <v>352</v>
      </c>
      <c r="Q71" s="86">
        <f t="shared" si="27"/>
        <v>440</v>
      </c>
      <c r="R71" s="86">
        <f t="shared" si="27"/>
        <v>528</v>
      </c>
      <c r="S71" s="86">
        <f t="shared" si="27"/>
        <v>880</v>
      </c>
      <c r="T71" s="86">
        <f t="shared" si="27"/>
        <v>1320</v>
      </c>
      <c r="U71" s="86">
        <f t="shared" si="27"/>
        <v>1760</v>
      </c>
      <c r="V71" s="86">
        <f t="shared" si="27"/>
        <v>2640</v>
      </c>
      <c r="W71" s="86">
        <f t="shared" si="27"/>
        <v>3520</v>
      </c>
      <c r="X71" s="86">
        <f t="shared" si="27"/>
        <v>4400</v>
      </c>
      <c r="Y71" s="87">
        <f t="shared" si="27"/>
        <v>5280</v>
      </c>
      <c r="Z71" s="67"/>
      <c r="AA71" s="68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48" t="str">
        <f t="shared" si="28"/>
        <v>人民幣</v>
      </c>
      <c r="D72" s="48" t="str">
        <f t="shared" si="28"/>
        <v/>
      </c>
      <c r="E72" s="64">
        <f t="shared" si="28"/>
        <v>0.002</v>
      </c>
      <c r="F72" s="65">
        <f t="shared" ref="F72:Y72" si="29">HLOOKUP(F19,$F$1:$AI$2,2) * $D$1 * $E72</f>
        <v>0.176</v>
      </c>
      <c r="G72" s="65">
        <f t="shared" si="29"/>
        <v>0.352</v>
      </c>
      <c r="H72" s="65">
        <f t="shared" si="29"/>
        <v>0.88</v>
      </c>
      <c r="I72" s="65">
        <f t="shared" si="29"/>
        <v>1.76</v>
      </c>
      <c r="J72" s="65">
        <f t="shared" si="29"/>
        <v>2.64</v>
      </c>
      <c r="K72" s="65">
        <f t="shared" si="29"/>
        <v>3.52</v>
      </c>
      <c r="L72" s="65">
        <f t="shared" si="29"/>
        <v>5.28</v>
      </c>
      <c r="M72" s="65">
        <f t="shared" si="29"/>
        <v>7.04</v>
      </c>
      <c r="N72" s="65">
        <f t="shared" si="29"/>
        <v>8.8</v>
      </c>
      <c r="O72" s="65">
        <f t="shared" si="29"/>
        <v>17.6</v>
      </c>
      <c r="P72" s="65">
        <f t="shared" si="29"/>
        <v>26.4</v>
      </c>
      <c r="Q72" s="65">
        <f t="shared" si="29"/>
        <v>35.2</v>
      </c>
      <c r="R72" s="65">
        <f t="shared" si="29"/>
        <v>52.8</v>
      </c>
      <c r="S72" s="65">
        <f t="shared" si="29"/>
        <v>70.4</v>
      </c>
      <c r="T72" s="65">
        <f t="shared" si="29"/>
        <v>79.2</v>
      </c>
      <c r="U72" s="65">
        <f t="shared" si="29"/>
        <v>88</v>
      </c>
      <c r="V72" s="65">
        <f t="shared" si="29"/>
        <v>105.6</v>
      </c>
      <c r="W72" s="65">
        <f t="shared" si="29"/>
        <v>132</v>
      </c>
      <c r="X72" s="65">
        <f t="shared" si="29"/>
        <v>176</v>
      </c>
      <c r="Y72" s="66">
        <f t="shared" si="29"/>
        <v>264</v>
      </c>
      <c r="Z72" s="67"/>
      <c r="AA72" s="68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48" t="str">
        <f t="shared" si="30"/>
        <v>墨⻄哥披索</v>
      </c>
      <c r="D73" s="48" t="str">
        <f t="shared" si="30"/>
        <v/>
      </c>
      <c r="E73" s="64">
        <f t="shared" si="30"/>
        <v>0.002</v>
      </c>
      <c r="F73" s="65">
        <f t="shared" ref="F73:Y73" si="31">HLOOKUP(F20,$F$1:$AI$2,2) * $D$1 * $E73</f>
        <v>0.352</v>
      </c>
      <c r="G73" s="65">
        <f t="shared" si="31"/>
        <v>0.88</v>
      </c>
      <c r="H73" s="65">
        <f t="shared" si="31"/>
        <v>1.76</v>
      </c>
      <c r="I73" s="65">
        <f t="shared" si="31"/>
        <v>2.64</v>
      </c>
      <c r="J73" s="65">
        <f t="shared" si="31"/>
        <v>3.52</v>
      </c>
      <c r="K73" s="65">
        <f t="shared" si="31"/>
        <v>5.28</v>
      </c>
      <c r="L73" s="65">
        <f t="shared" si="31"/>
        <v>7.04</v>
      </c>
      <c r="M73" s="65">
        <f t="shared" si="31"/>
        <v>8.8</v>
      </c>
      <c r="N73" s="65">
        <f t="shared" si="31"/>
        <v>17.6</v>
      </c>
      <c r="O73" s="65">
        <f t="shared" si="31"/>
        <v>26.4</v>
      </c>
      <c r="P73" s="65">
        <f t="shared" si="31"/>
        <v>35.2</v>
      </c>
      <c r="Q73" s="65">
        <f t="shared" si="31"/>
        <v>52.8</v>
      </c>
      <c r="R73" s="65">
        <f t="shared" si="31"/>
        <v>70.4</v>
      </c>
      <c r="S73" s="65">
        <f t="shared" si="31"/>
        <v>79.2</v>
      </c>
      <c r="T73" s="65">
        <f t="shared" si="31"/>
        <v>88</v>
      </c>
      <c r="U73" s="65">
        <f t="shared" si="31"/>
        <v>105.6</v>
      </c>
      <c r="V73" s="65">
        <f t="shared" si="31"/>
        <v>132</v>
      </c>
      <c r="W73" s="65">
        <f t="shared" si="31"/>
        <v>176</v>
      </c>
      <c r="X73" s="65">
        <f t="shared" si="31"/>
        <v>264</v>
      </c>
      <c r="Y73" s="66">
        <f t="shared" si="31"/>
        <v>308</v>
      </c>
      <c r="Z73" s="67"/>
      <c r="AA73" s="68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48" t="str">
        <f t="shared" si="32"/>
        <v>巴西雷亞爾</v>
      </c>
      <c r="D74" s="48" t="str">
        <f t="shared" si="32"/>
        <v/>
      </c>
      <c r="E74" s="64">
        <f t="shared" si="32"/>
        <v>0.002</v>
      </c>
      <c r="F74" s="65">
        <f t="shared" ref="F74:Y74" si="33">HLOOKUP(F21,$F$1:$AI$2,2) * $D$1 * $E74</f>
        <v>0.176</v>
      </c>
      <c r="G74" s="65">
        <f t="shared" si="33"/>
        <v>0.352</v>
      </c>
      <c r="H74" s="65">
        <f t="shared" si="33"/>
        <v>0.88</v>
      </c>
      <c r="I74" s="65">
        <f t="shared" si="33"/>
        <v>1.76</v>
      </c>
      <c r="J74" s="65">
        <f t="shared" si="33"/>
        <v>2.64</v>
      </c>
      <c r="K74" s="65">
        <f t="shared" si="33"/>
        <v>3.52</v>
      </c>
      <c r="L74" s="65">
        <f t="shared" si="33"/>
        <v>5.28</v>
      </c>
      <c r="M74" s="65">
        <f t="shared" si="33"/>
        <v>7.04</v>
      </c>
      <c r="N74" s="65">
        <f t="shared" si="33"/>
        <v>8.8</v>
      </c>
      <c r="O74" s="65">
        <f t="shared" si="33"/>
        <v>10.56</v>
      </c>
      <c r="P74" s="65">
        <f t="shared" si="33"/>
        <v>17.6</v>
      </c>
      <c r="Q74" s="65">
        <f t="shared" si="33"/>
        <v>26.4</v>
      </c>
      <c r="R74" s="65">
        <f t="shared" si="33"/>
        <v>35.2</v>
      </c>
      <c r="S74" s="65">
        <f t="shared" si="33"/>
        <v>52.8</v>
      </c>
      <c r="T74" s="65">
        <f t="shared" si="33"/>
        <v>70.4</v>
      </c>
      <c r="U74" s="65">
        <f t="shared" si="33"/>
        <v>79.2</v>
      </c>
      <c r="V74" s="65">
        <f t="shared" si="33"/>
        <v>88</v>
      </c>
      <c r="W74" s="65">
        <f t="shared" si="33"/>
        <v>105.6</v>
      </c>
      <c r="X74" s="65">
        <f t="shared" si="33"/>
        <v>132</v>
      </c>
      <c r="Y74" s="66">
        <f t="shared" si="33"/>
        <v>176</v>
      </c>
      <c r="Z74" s="67"/>
      <c r="AA74" s="68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48" t="str">
        <f t="shared" si="34"/>
        <v>澳洲元</v>
      </c>
      <c r="D75" s="48" t="str">
        <f t="shared" si="34"/>
        <v/>
      </c>
      <c r="E75" s="64">
        <f t="shared" si="34"/>
        <v>0.002</v>
      </c>
      <c r="F75" s="65">
        <f t="shared" ref="F75:Y75" si="35">HLOOKUP(F22,$F$1:$AI$2,2) * $D$1 * $E75</f>
        <v>0.176</v>
      </c>
      <c r="G75" s="65">
        <f t="shared" si="35"/>
        <v>0.352</v>
      </c>
      <c r="H75" s="65">
        <f t="shared" si="35"/>
        <v>0.88</v>
      </c>
      <c r="I75" s="65">
        <f t="shared" si="35"/>
        <v>1.76</v>
      </c>
      <c r="J75" s="65">
        <f t="shared" si="35"/>
        <v>2.64</v>
      </c>
      <c r="K75" s="65">
        <f t="shared" si="35"/>
        <v>3.52</v>
      </c>
      <c r="L75" s="65">
        <f t="shared" si="35"/>
        <v>5.28</v>
      </c>
      <c r="M75" s="65">
        <f t="shared" si="35"/>
        <v>7.04</v>
      </c>
      <c r="N75" s="65">
        <f t="shared" si="35"/>
        <v>8.8</v>
      </c>
      <c r="O75" s="65">
        <f t="shared" si="35"/>
        <v>10.56</v>
      </c>
      <c r="P75" s="65">
        <f t="shared" si="35"/>
        <v>17.6</v>
      </c>
      <c r="Q75" s="65">
        <f t="shared" si="35"/>
        <v>21.12</v>
      </c>
      <c r="R75" s="65">
        <f t="shared" si="35"/>
        <v>26.4</v>
      </c>
      <c r="S75" s="65">
        <f t="shared" si="35"/>
        <v>35.2</v>
      </c>
      <c r="T75" s="65">
        <f t="shared" si="35"/>
        <v>44</v>
      </c>
      <c r="U75" s="65">
        <f t="shared" si="35"/>
        <v>52.8</v>
      </c>
      <c r="V75" s="65">
        <f t="shared" si="35"/>
        <v>70.4</v>
      </c>
      <c r="W75" s="65">
        <f t="shared" si="35"/>
        <v>79.2</v>
      </c>
      <c r="X75" s="65">
        <f t="shared" si="35"/>
        <v>88</v>
      </c>
      <c r="Y75" s="66">
        <f t="shared" si="35"/>
        <v>105.6</v>
      </c>
      <c r="Z75" s="67"/>
      <c r="AA75" s="68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48" t="str">
        <f t="shared" si="36"/>
        <v>日圓</v>
      </c>
      <c r="D76" s="48" t="str">
        <f t="shared" si="36"/>
        <v/>
      </c>
      <c r="E76" s="64">
        <f t="shared" si="36"/>
        <v>0.004</v>
      </c>
      <c r="F76" s="65">
        <f t="shared" ref="F76:Y76" si="37">HLOOKUP(F23,$F$1:$AI$2,2) * $D$1 * $E76</f>
        <v>3.52</v>
      </c>
      <c r="G76" s="65">
        <f t="shared" si="37"/>
        <v>7.04</v>
      </c>
      <c r="H76" s="65">
        <f t="shared" si="37"/>
        <v>10.56</v>
      </c>
      <c r="I76" s="65">
        <f t="shared" si="37"/>
        <v>17.6</v>
      </c>
      <c r="J76" s="65">
        <f t="shared" si="37"/>
        <v>35.2</v>
      </c>
      <c r="K76" s="65">
        <f t="shared" si="37"/>
        <v>52.8</v>
      </c>
      <c r="L76" s="65">
        <f t="shared" si="37"/>
        <v>70.4</v>
      </c>
      <c r="M76" s="65">
        <f t="shared" si="37"/>
        <v>105.6</v>
      </c>
      <c r="N76" s="65">
        <f t="shared" si="37"/>
        <v>140.8</v>
      </c>
      <c r="O76" s="65">
        <f t="shared" si="37"/>
        <v>158.4</v>
      </c>
      <c r="P76" s="65">
        <f t="shared" si="37"/>
        <v>176</v>
      </c>
      <c r="Q76" s="65">
        <f t="shared" si="37"/>
        <v>211.2</v>
      </c>
      <c r="R76" s="65">
        <f t="shared" si="37"/>
        <v>264</v>
      </c>
      <c r="S76" s="65">
        <f t="shared" si="37"/>
        <v>352</v>
      </c>
      <c r="T76" s="65">
        <f t="shared" si="37"/>
        <v>528</v>
      </c>
      <c r="U76" s="65">
        <f t="shared" si="37"/>
        <v>616</v>
      </c>
      <c r="V76" s="65">
        <f t="shared" si="37"/>
        <v>704</v>
      </c>
      <c r="W76" s="65">
        <f t="shared" si="37"/>
        <v>1056</v>
      </c>
      <c r="X76" s="65">
        <f t="shared" si="37"/>
        <v>1408</v>
      </c>
      <c r="Y76" s="66">
        <f t="shared" si="37"/>
        <v>1760</v>
      </c>
      <c r="Z76" s="67"/>
      <c r="AA76" s="68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48" t="str">
        <f t="shared" si="38"/>
        <v>韓圓</v>
      </c>
      <c r="D77" s="48" t="str">
        <f t="shared" si="38"/>
        <v/>
      </c>
      <c r="E77" s="64">
        <f t="shared" si="38"/>
        <v>0.02</v>
      </c>
      <c r="F77" s="65">
        <f t="shared" ref="F77:Y77" si="39">HLOOKUP(F24,$F$1:$AI$2,2) * $D$1 * $E77</f>
        <v>52.8</v>
      </c>
      <c r="G77" s="65">
        <f t="shared" si="39"/>
        <v>88</v>
      </c>
      <c r="H77" s="65">
        <f t="shared" si="39"/>
        <v>176</v>
      </c>
      <c r="I77" s="65">
        <f t="shared" si="39"/>
        <v>352</v>
      </c>
      <c r="J77" s="65">
        <f t="shared" si="39"/>
        <v>440</v>
      </c>
      <c r="K77" s="65">
        <f t="shared" si="39"/>
        <v>528</v>
      </c>
      <c r="L77" s="65">
        <f t="shared" si="39"/>
        <v>616</v>
      </c>
      <c r="M77" s="65">
        <f t="shared" si="39"/>
        <v>704</v>
      </c>
      <c r="N77" s="65">
        <f t="shared" si="39"/>
        <v>792</v>
      </c>
      <c r="O77" s="65">
        <f t="shared" si="39"/>
        <v>880</v>
      </c>
      <c r="P77" s="65">
        <f t="shared" si="39"/>
        <v>1056</v>
      </c>
      <c r="Q77" s="65">
        <f t="shared" si="39"/>
        <v>1320</v>
      </c>
      <c r="R77" s="65">
        <f t="shared" si="39"/>
        <v>1760</v>
      </c>
      <c r="S77" s="65">
        <f t="shared" si="39"/>
        <v>2640</v>
      </c>
      <c r="T77" s="65">
        <f t="shared" si="39"/>
        <v>3080</v>
      </c>
      <c r="U77" s="65">
        <f t="shared" si="39"/>
        <v>3520</v>
      </c>
      <c r="V77" s="65">
        <f t="shared" si="39"/>
        <v>5280</v>
      </c>
      <c r="W77" s="65">
        <f t="shared" si="39"/>
        <v>7040</v>
      </c>
      <c r="X77" s="65">
        <f t="shared" si="39"/>
        <v>8800</v>
      </c>
      <c r="Y77" s="66">
        <f t="shared" si="39"/>
        <v>10560</v>
      </c>
      <c r="Z77" s="67"/>
      <c r="AA77" s="68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48" t="str">
        <f t="shared" si="40"/>
        <v>智利披索</v>
      </c>
      <c r="D78" s="48" t="str">
        <f t="shared" si="40"/>
        <v/>
      </c>
      <c r="E78" s="64">
        <f t="shared" si="40"/>
        <v>0.03</v>
      </c>
      <c r="F78" s="65">
        <f t="shared" ref="F78:Y78" si="41">HLOOKUP(F25,$F$1:$AI$2,2) * $D$1 * $E78</f>
        <v>13.2</v>
      </c>
      <c r="G78" s="65">
        <f t="shared" si="41"/>
        <v>26.4</v>
      </c>
      <c r="H78" s="65">
        <f t="shared" si="41"/>
        <v>52.8</v>
      </c>
      <c r="I78" s="65">
        <f t="shared" si="41"/>
        <v>79.2</v>
      </c>
      <c r="J78" s="65">
        <f t="shared" si="41"/>
        <v>132</v>
      </c>
      <c r="K78" s="65">
        <f t="shared" si="41"/>
        <v>264</v>
      </c>
      <c r="L78" s="65">
        <f t="shared" si="41"/>
        <v>396</v>
      </c>
      <c r="M78" s="65">
        <f t="shared" si="41"/>
        <v>528</v>
      </c>
      <c r="N78" s="65">
        <f t="shared" si="41"/>
        <v>792</v>
      </c>
      <c r="O78" s="65">
        <f t="shared" si="41"/>
        <v>1056</v>
      </c>
      <c r="P78" s="65">
        <f t="shared" si="41"/>
        <v>1188</v>
      </c>
      <c r="Q78" s="65">
        <f t="shared" si="41"/>
        <v>1320</v>
      </c>
      <c r="R78" s="65">
        <f t="shared" si="41"/>
        <v>1584</v>
      </c>
      <c r="S78" s="65">
        <f t="shared" si="41"/>
        <v>1980</v>
      </c>
      <c r="T78" s="65">
        <f t="shared" si="41"/>
        <v>2640</v>
      </c>
      <c r="U78" s="65">
        <f t="shared" si="41"/>
        <v>3960</v>
      </c>
      <c r="V78" s="65">
        <f t="shared" si="41"/>
        <v>4620</v>
      </c>
      <c r="W78" s="65">
        <f t="shared" si="41"/>
        <v>5280</v>
      </c>
      <c r="X78" s="65">
        <f t="shared" si="41"/>
        <v>7920</v>
      </c>
      <c r="Y78" s="66">
        <f t="shared" si="41"/>
        <v>10560</v>
      </c>
      <c r="Z78" s="67"/>
      <c r="AA78" s="68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48" t="str">
        <f t="shared" si="42"/>
        <v>緬甸元</v>
      </c>
      <c r="D79" s="48" t="str">
        <f t="shared" si="42"/>
        <v/>
      </c>
      <c r="E79" s="64">
        <f t="shared" si="42"/>
        <v>0.05</v>
      </c>
      <c r="F79" s="65">
        <f t="shared" ref="F79:Y79" si="43">HLOOKUP(F26,$F$1:$AI$2,2) * $D$1 * $E79</f>
        <v>44</v>
      </c>
      <c r="G79" s="65">
        <f t="shared" si="43"/>
        <v>88</v>
      </c>
      <c r="H79" s="65">
        <f t="shared" si="43"/>
        <v>132</v>
      </c>
      <c r="I79" s="65">
        <f t="shared" si="43"/>
        <v>220</v>
      </c>
      <c r="J79" s="65">
        <f t="shared" si="43"/>
        <v>440</v>
      </c>
      <c r="K79" s="65">
        <f t="shared" si="43"/>
        <v>660</v>
      </c>
      <c r="L79" s="65">
        <f t="shared" si="43"/>
        <v>880</v>
      </c>
      <c r="M79" s="65">
        <f t="shared" si="43"/>
        <v>1320</v>
      </c>
      <c r="N79" s="65">
        <f t="shared" si="43"/>
        <v>1760</v>
      </c>
      <c r="O79" s="65">
        <f t="shared" si="43"/>
        <v>1980</v>
      </c>
      <c r="P79" s="65">
        <f t="shared" si="43"/>
        <v>2200</v>
      </c>
      <c r="Q79" s="65">
        <f t="shared" si="43"/>
        <v>2640</v>
      </c>
      <c r="R79" s="65">
        <f t="shared" si="43"/>
        <v>3300</v>
      </c>
      <c r="S79" s="65">
        <f t="shared" si="43"/>
        <v>4400</v>
      </c>
      <c r="T79" s="65">
        <f t="shared" si="43"/>
        <v>6600</v>
      </c>
      <c r="U79" s="65">
        <f t="shared" si="43"/>
        <v>7700</v>
      </c>
      <c r="V79" s="65">
        <f t="shared" si="43"/>
        <v>8800</v>
      </c>
      <c r="W79" s="65">
        <f t="shared" si="43"/>
        <v>13200</v>
      </c>
      <c r="X79" s="65">
        <f t="shared" si="43"/>
        <v>17600</v>
      </c>
      <c r="Y79" s="66">
        <f t="shared" si="43"/>
        <v>22000</v>
      </c>
      <c r="Z79" s="67"/>
      <c r="AA79" s="68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48" t="str">
        <f t="shared" si="44"/>
        <v>印尼盧比</v>
      </c>
      <c r="D80" s="48" t="str">
        <f t="shared" si="44"/>
        <v/>
      </c>
      <c r="E80" s="64">
        <f t="shared" si="44"/>
        <v>0.5</v>
      </c>
      <c r="F80" s="65">
        <f t="shared" ref="F80:Y80" si="45">HLOOKUP(F27,$F$1:$AI$2,2) * $D$1 * $E80</f>
        <v>88</v>
      </c>
      <c r="G80" s="65">
        <f t="shared" si="45"/>
        <v>440</v>
      </c>
      <c r="H80" s="65">
        <f t="shared" si="45"/>
        <v>880</v>
      </c>
      <c r="I80" s="65">
        <f t="shared" si="45"/>
        <v>1320</v>
      </c>
      <c r="J80" s="65">
        <f t="shared" si="45"/>
        <v>2200</v>
      </c>
      <c r="K80" s="65">
        <f t="shared" si="45"/>
        <v>4400</v>
      </c>
      <c r="L80" s="65">
        <f t="shared" si="45"/>
        <v>6600</v>
      </c>
      <c r="M80" s="65">
        <f t="shared" si="45"/>
        <v>8800</v>
      </c>
      <c r="N80" s="65">
        <f t="shared" si="45"/>
        <v>13200</v>
      </c>
      <c r="O80" s="65">
        <f t="shared" si="45"/>
        <v>17600</v>
      </c>
      <c r="P80" s="65">
        <f t="shared" si="45"/>
        <v>19800</v>
      </c>
      <c r="Q80" s="65">
        <f t="shared" si="45"/>
        <v>22000</v>
      </c>
      <c r="R80" s="65">
        <f t="shared" si="45"/>
        <v>26400</v>
      </c>
      <c r="S80" s="65">
        <f t="shared" si="45"/>
        <v>33000</v>
      </c>
      <c r="T80" s="65">
        <f t="shared" si="45"/>
        <v>44000</v>
      </c>
      <c r="U80" s="65">
        <f t="shared" si="45"/>
        <v>66000</v>
      </c>
      <c r="V80" s="65">
        <f t="shared" si="45"/>
        <v>77000</v>
      </c>
      <c r="W80" s="65">
        <f t="shared" si="45"/>
        <v>88000</v>
      </c>
      <c r="X80" s="65">
        <f t="shared" si="45"/>
        <v>132000</v>
      </c>
      <c r="Y80" s="66">
        <f t="shared" si="45"/>
        <v>176000</v>
      </c>
      <c r="Z80" s="67"/>
      <c r="AA80" s="68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48" t="str">
        <f t="shared" si="46"/>
        <v>盧布</v>
      </c>
      <c r="D81" s="48" t="str">
        <f t="shared" si="46"/>
        <v/>
      </c>
      <c r="E81" s="64">
        <f t="shared" si="46"/>
        <v>0.002</v>
      </c>
      <c r="F81" s="65">
        <f t="shared" ref="F81:Y81" si="47">HLOOKUP(F28,$F$1:$AI$2,2) * $D$1 * $E81</f>
        <v>1.76</v>
      </c>
      <c r="G81" s="65">
        <f t="shared" si="47"/>
        <v>3.52</v>
      </c>
      <c r="H81" s="65">
        <f t="shared" si="47"/>
        <v>5.28</v>
      </c>
      <c r="I81" s="65">
        <f t="shared" si="47"/>
        <v>8.8</v>
      </c>
      <c r="J81" s="65">
        <f t="shared" si="47"/>
        <v>17.6</v>
      </c>
      <c r="K81" s="65">
        <f t="shared" si="47"/>
        <v>26.4</v>
      </c>
      <c r="L81" s="65">
        <f t="shared" si="47"/>
        <v>35.2</v>
      </c>
      <c r="M81" s="65">
        <f t="shared" si="47"/>
        <v>52.8</v>
      </c>
      <c r="N81" s="65">
        <f t="shared" si="47"/>
        <v>70.4</v>
      </c>
      <c r="O81" s="65">
        <f t="shared" si="47"/>
        <v>79.2</v>
      </c>
      <c r="P81" s="65">
        <f t="shared" si="47"/>
        <v>88</v>
      </c>
      <c r="Q81" s="65">
        <f t="shared" si="47"/>
        <v>105.6</v>
      </c>
      <c r="R81" s="65">
        <f t="shared" si="47"/>
        <v>132</v>
      </c>
      <c r="S81" s="65">
        <f t="shared" si="47"/>
        <v>176</v>
      </c>
      <c r="T81" s="65">
        <f t="shared" si="47"/>
        <v>264</v>
      </c>
      <c r="U81" s="65">
        <f t="shared" si="47"/>
        <v>308</v>
      </c>
      <c r="V81" s="65">
        <f t="shared" si="47"/>
        <v>352</v>
      </c>
      <c r="W81" s="65">
        <f t="shared" si="47"/>
        <v>528</v>
      </c>
      <c r="X81" s="65">
        <f t="shared" si="47"/>
        <v>704</v>
      </c>
      <c r="Y81" s="66">
        <f t="shared" si="47"/>
        <v>880</v>
      </c>
      <c r="Z81" s="67"/>
      <c r="AA81" s="68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48" t="str">
        <f t="shared" si="48"/>
        <v>斯里蘭卡盧比</v>
      </c>
      <c r="D82" s="48" t="str">
        <f t="shared" si="48"/>
        <v/>
      </c>
      <c r="E82" s="64">
        <f t="shared" si="48"/>
        <v>0.01</v>
      </c>
      <c r="F82" s="65">
        <f t="shared" ref="F82:Y82" si="49">HLOOKUP(F29,$F$1:$AI$2,2) * $D$1 * $E82</f>
        <v>4.4</v>
      </c>
      <c r="G82" s="65">
        <f t="shared" si="49"/>
        <v>8.8</v>
      </c>
      <c r="H82" s="65">
        <f t="shared" si="49"/>
        <v>17.6</v>
      </c>
      <c r="I82" s="65">
        <f t="shared" si="49"/>
        <v>26.4</v>
      </c>
      <c r="J82" s="65">
        <f t="shared" si="49"/>
        <v>44</v>
      </c>
      <c r="K82" s="65">
        <f t="shared" si="49"/>
        <v>88</v>
      </c>
      <c r="L82" s="65">
        <f t="shared" si="49"/>
        <v>132</v>
      </c>
      <c r="M82" s="65">
        <f t="shared" si="49"/>
        <v>176</v>
      </c>
      <c r="N82" s="65">
        <f t="shared" si="49"/>
        <v>264</v>
      </c>
      <c r="O82" s="65">
        <f t="shared" si="49"/>
        <v>352</v>
      </c>
      <c r="P82" s="65">
        <f t="shared" si="49"/>
        <v>396</v>
      </c>
      <c r="Q82" s="65">
        <f t="shared" si="49"/>
        <v>440</v>
      </c>
      <c r="R82" s="65">
        <f t="shared" si="49"/>
        <v>528</v>
      </c>
      <c r="S82" s="65">
        <f t="shared" si="49"/>
        <v>660</v>
      </c>
      <c r="T82" s="65">
        <f t="shared" si="49"/>
        <v>880</v>
      </c>
      <c r="U82" s="65">
        <f t="shared" si="49"/>
        <v>1320</v>
      </c>
      <c r="V82" s="65">
        <f t="shared" si="49"/>
        <v>1540</v>
      </c>
      <c r="W82" s="65">
        <f t="shared" si="49"/>
        <v>1760</v>
      </c>
      <c r="X82" s="65">
        <f t="shared" si="49"/>
        <v>2640</v>
      </c>
      <c r="Y82" s="66">
        <f t="shared" si="49"/>
        <v>3520</v>
      </c>
      <c r="Z82" s="67"/>
      <c r="AA82" s="68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48" t="str">
        <f t="shared" si="50"/>
        <v>衣索比亞比爾</v>
      </c>
      <c r="D83" s="48" t="str">
        <f t="shared" si="50"/>
        <v/>
      </c>
      <c r="E83" s="64">
        <f t="shared" si="50"/>
        <v>0.002</v>
      </c>
      <c r="F83" s="65">
        <f t="shared" ref="F83:Y83" si="51">HLOOKUP(F30,$F$1:$AI$2,2) * $D$1 * $E83</f>
        <v>0.88</v>
      </c>
      <c r="G83" s="65">
        <f t="shared" si="51"/>
        <v>1.76</v>
      </c>
      <c r="H83" s="65">
        <f t="shared" si="51"/>
        <v>3.52</v>
      </c>
      <c r="I83" s="65">
        <f t="shared" si="51"/>
        <v>5.28</v>
      </c>
      <c r="J83" s="65">
        <f t="shared" si="51"/>
        <v>8.8</v>
      </c>
      <c r="K83" s="65">
        <f t="shared" si="51"/>
        <v>17.6</v>
      </c>
      <c r="L83" s="65">
        <f t="shared" si="51"/>
        <v>26.4</v>
      </c>
      <c r="M83" s="65">
        <f t="shared" si="51"/>
        <v>35.2</v>
      </c>
      <c r="N83" s="65">
        <f t="shared" si="51"/>
        <v>52.8</v>
      </c>
      <c r="O83" s="65">
        <f t="shared" si="51"/>
        <v>70.4</v>
      </c>
      <c r="P83" s="65">
        <f t="shared" si="51"/>
        <v>79.2</v>
      </c>
      <c r="Q83" s="65">
        <f t="shared" si="51"/>
        <v>88</v>
      </c>
      <c r="R83" s="65">
        <f t="shared" si="51"/>
        <v>105.6</v>
      </c>
      <c r="S83" s="65">
        <f t="shared" si="51"/>
        <v>132</v>
      </c>
      <c r="T83" s="65">
        <f t="shared" si="51"/>
        <v>176</v>
      </c>
      <c r="U83" s="65">
        <f t="shared" si="51"/>
        <v>264</v>
      </c>
      <c r="V83" s="65">
        <f t="shared" si="51"/>
        <v>308</v>
      </c>
      <c r="W83" s="65">
        <f t="shared" si="51"/>
        <v>352</v>
      </c>
      <c r="X83" s="65">
        <f t="shared" si="51"/>
        <v>528</v>
      </c>
      <c r="Y83" s="66">
        <f t="shared" si="51"/>
        <v>704</v>
      </c>
      <c r="Z83" s="67"/>
      <c r="AA83" s="68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48" t="str">
        <f t="shared" si="52"/>
        <v>烏干達先令</v>
      </c>
      <c r="D84" s="48" t="str">
        <f t="shared" si="52"/>
        <v/>
      </c>
      <c r="E84" s="64">
        <f t="shared" si="52"/>
        <v>0.1</v>
      </c>
      <c r="F84" s="65">
        <f t="shared" ref="F84:Y84" si="53">HLOOKUP(F31,$F$1:$AI$2,2) * $D$1 * $E84</f>
        <v>88</v>
      </c>
      <c r="G84" s="65">
        <f t="shared" si="53"/>
        <v>176</v>
      </c>
      <c r="H84" s="65">
        <f t="shared" si="53"/>
        <v>264</v>
      </c>
      <c r="I84" s="65">
        <f t="shared" si="53"/>
        <v>440</v>
      </c>
      <c r="J84" s="65">
        <f t="shared" si="53"/>
        <v>880</v>
      </c>
      <c r="K84" s="65">
        <f t="shared" si="53"/>
        <v>1320</v>
      </c>
      <c r="L84" s="65">
        <f t="shared" si="53"/>
        <v>1760</v>
      </c>
      <c r="M84" s="65">
        <f t="shared" si="53"/>
        <v>2640</v>
      </c>
      <c r="N84" s="65">
        <f t="shared" si="53"/>
        <v>3520</v>
      </c>
      <c r="O84" s="65">
        <f t="shared" si="53"/>
        <v>3960</v>
      </c>
      <c r="P84" s="65">
        <f t="shared" si="53"/>
        <v>4400</v>
      </c>
      <c r="Q84" s="65">
        <f t="shared" si="53"/>
        <v>5280</v>
      </c>
      <c r="R84" s="65">
        <f t="shared" si="53"/>
        <v>6600</v>
      </c>
      <c r="S84" s="65">
        <f t="shared" si="53"/>
        <v>8800</v>
      </c>
      <c r="T84" s="65">
        <f t="shared" si="53"/>
        <v>13200</v>
      </c>
      <c r="U84" s="65">
        <f t="shared" si="53"/>
        <v>15400</v>
      </c>
      <c r="V84" s="65">
        <f t="shared" si="53"/>
        <v>17600</v>
      </c>
      <c r="W84" s="65">
        <f t="shared" si="53"/>
        <v>26400</v>
      </c>
      <c r="X84" s="65">
        <f t="shared" si="53"/>
        <v>35200</v>
      </c>
      <c r="Y84" s="66">
        <f t="shared" si="53"/>
        <v>44000</v>
      </c>
      <c r="Z84" s="67"/>
      <c r="AA84" s="68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48" t="str">
        <f t="shared" si="54"/>
        <v>歐元</v>
      </c>
      <c r="D85" s="48" t="str">
        <f t="shared" si="54"/>
        <v/>
      </c>
      <c r="E85" s="64">
        <f t="shared" si="54"/>
        <v>0.002</v>
      </c>
      <c r="F85" s="65">
        <f t="shared" ref="F85:Y85" si="55">HLOOKUP(F32,$F$1:$AI$2,2) * $D$1 * $E85</f>
        <v>0.176</v>
      </c>
      <c r="G85" s="65">
        <f t="shared" si="55"/>
        <v>0.352</v>
      </c>
      <c r="H85" s="65">
        <f t="shared" si="55"/>
        <v>0.88</v>
      </c>
      <c r="I85" s="65">
        <f t="shared" si="55"/>
        <v>1.76</v>
      </c>
      <c r="J85" s="65">
        <f t="shared" si="55"/>
        <v>2.64</v>
      </c>
      <c r="K85" s="65">
        <f t="shared" si="55"/>
        <v>3.52</v>
      </c>
      <c r="L85" s="65">
        <f t="shared" si="55"/>
        <v>5.28</v>
      </c>
      <c r="M85" s="65">
        <f t="shared" si="55"/>
        <v>7.04</v>
      </c>
      <c r="N85" s="65">
        <f t="shared" si="55"/>
        <v>8.8</v>
      </c>
      <c r="O85" s="65">
        <f t="shared" si="55"/>
        <v>10.56</v>
      </c>
      <c r="P85" s="65">
        <f t="shared" si="55"/>
        <v>17.6</v>
      </c>
      <c r="Q85" s="65">
        <f t="shared" si="55"/>
        <v>21.12</v>
      </c>
      <c r="R85" s="65">
        <f t="shared" si="55"/>
        <v>26.4</v>
      </c>
      <c r="S85" s="65">
        <f t="shared" si="55"/>
        <v>35.2</v>
      </c>
      <c r="T85" s="65">
        <f t="shared" si="55"/>
        <v>44</v>
      </c>
      <c r="U85" s="65">
        <f t="shared" si="55"/>
        <v>52.8</v>
      </c>
      <c r="V85" s="65">
        <f t="shared" si="55"/>
        <v>61.6</v>
      </c>
      <c r="W85" s="65">
        <f t="shared" si="55"/>
        <v>70.4</v>
      </c>
      <c r="X85" s="65">
        <f t="shared" si="55"/>
        <v>79.2</v>
      </c>
      <c r="Y85" s="66">
        <f t="shared" si="55"/>
        <v>88</v>
      </c>
      <c r="Z85" s="67"/>
      <c r="AA85" s="68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48" t="str">
        <f t="shared" si="56"/>
        <v>阿根廷披索</v>
      </c>
      <c r="D86" s="48" t="str">
        <f t="shared" si="56"/>
        <v/>
      </c>
      <c r="E86" s="64">
        <f t="shared" si="56"/>
        <v>0.02</v>
      </c>
      <c r="F86" s="65">
        <f t="shared" ref="F86:Y86" si="57">HLOOKUP(F33,$F$1:$AI$2,2) * $D$1 * $E86</f>
        <v>17.6</v>
      </c>
      <c r="G86" s="65">
        <f t="shared" si="57"/>
        <v>35.2</v>
      </c>
      <c r="H86" s="65">
        <f t="shared" si="57"/>
        <v>52.8</v>
      </c>
      <c r="I86" s="65">
        <f t="shared" si="57"/>
        <v>88</v>
      </c>
      <c r="J86" s="65">
        <f t="shared" si="57"/>
        <v>176</v>
      </c>
      <c r="K86" s="65">
        <f t="shared" si="57"/>
        <v>264</v>
      </c>
      <c r="L86" s="65">
        <f t="shared" si="57"/>
        <v>352</v>
      </c>
      <c r="M86" s="65">
        <f t="shared" si="57"/>
        <v>528</v>
      </c>
      <c r="N86" s="65">
        <f t="shared" si="57"/>
        <v>704</v>
      </c>
      <c r="O86" s="65">
        <f t="shared" si="57"/>
        <v>792</v>
      </c>
      <c r="P86" s="65">
        <f t="shared" si="57"/>
        <v>880</v>
      </c>
      <c r="Q86" s="65">
        <f t="shared" si="57"/>
        <v>1056</v>
      </c>
      <c r="R86" s="65">
        <f t="shared" si="57"/>
        <v>1320</v>
      </c>
      <c r="S86" s="65">
        <f t="shared" si="57"/>
        <v>1760</v>
      </c>
      <c r="T86" s="65">
        <f t="shared" si="57"/>
        <v>2640</v>
      </c>
      <c r="U86" s="65">
        <f t="shared" si="57"/>
        <v>3080</v>
      </c>
      <c r="V86" s="65">
        <f t="shared" si="57"/>
        <v>3520</v>
      </c>
      <c r="W86" s="65">
        <f t="shared" si="57"/>
        <v>5280</v>
      </c>
      <c r="X86" s="65">
        <f t="shared" si="57"/>
        <v>7040</v>
      </c>
      <c r="Y86" s="66">
        <f t="shared" si="57"/>
        <v>8800</v>
      </c>
      <c r="Z86" s="67"/>
      <c r="AA86" s="68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48" t="str">
        <f t="shared" si="58"/>
        <v>奈及利亞奈拉</v>
      </c>
      <c r="D87" s="48" t="str">
        <f t="shared" si="58"/>
        <v/>
      </c>
      <c r="E87" s="64">
        <f t="shared" si="58"/>
        <v>0.02</v>
      </c>
      <c r="F87" s="65">
        <f t="shared" ref="F87:Y87" si="59">HLOOKUP(F34,$F$1:$AI$2,2) * $D$1 * $E87</f>
        <v>8.8</v>
      </c>
      <c r="G87" s="65">
        <f t="shared" si="59"/>
        <v>17.6</v>
      </c>
      <c r="H87" s="65">
        <f t="shared" si="59"/>
        <v>35.2</v>
      </c>
      <c r="I87" s="65">
        <f t="shared" si="59"/>
        <v>52.8</v>
      </c>
      <c r="J87" s="65">
        <f t="shared" si="59"/>
        <v>88</v>
      </c>
      <c r="K87" s="65">
        <f t="shared" si="59"/>
        <v>176</v>
      </c>
      <c r="L87" s="65">
        <f t="shared" si="59"/>
        <v>352</v>
      </c>
      <c r="M87" s="65">
        <f t="shared" si="59"/>
        <v>528</v>
      </c>
      <c r="N87" s="65">
        <f t="shared" si="59"/>
        <v>704</v>
      </c>
      <c r="O87" s="65">
        <f t="shared" si="59"/>
        <v>792</v>
      </c>
      <c r="P87" s="65">
        <f t="shared" si="59"/>
        <v>880</v>
      </c>
      <c r="Q87" s="65">
        <f t="shared" si="59"/>
        <v>1056</v>
      </c>
      <c r="R87" s="65">
        <f t="shared" si="59"/>
        <v>1320</v>
      </c>
      <c r="S87" s="65">
        <f t="shared" si="59"/>
        <v>1760</v>
      </c>
      <c r="T87" s="65">
        <f t="shared" si="59"/>
        <v>2640</v>
      </c>
      <c r="U87" s="65">
        <f t="shared" si="59"/>
        <v>3080</v>
      </c>
      <c r="V87" s="65">
        <f t="shared" si="59"/>
        <v>3520</v>
      </c>
      <c r="W87" s="65">
        <f t="shared" si="59"/>
        <v>5280</v>
      </c>
      <c r="X87" s="65">
        <f t="shared" si="59"/>
        <v>7040</v>
      </c>
      <c r="Y87" s="66">
        <f t="shared" si="59"/>
        <v>8800</v>
      </c>
      <c r="Z87" s="67"/>
      <c r="AA87" s="68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48" t="str">
        <f t="shared" si="60"/>
        <v>肯亞先令</v>
      </c>
      <c r="D88" s="48" t="str">
        <f t="shared" si="60"/>
        <v/>
      </c>
      <c r="E88" s="64">
        <f t="shared" si="60"/>
        <v>0.002</v>
      </c>
      <c r="F88" s="65">
        <f t="shared" ref="F88:Y88" si="61">HLOOKUP(F35,$F$1:$AI$2,2) * $D$1 * $E88</f>
        <v>5.28</v>
      </c>
      <c r="G88" s="65">
        <f t="shared" si="61"/>
        <v>8.8</v>
      </c>
      <c r="H88" s="65">
        <f t="shared" si="61"/>
        <v>17.6</v>
      </c>
      <c r="I88" s="65">
        <f t="shared" si="61"/>
        <v>35.2</v>
      </c>
      <c r="J88" s="65">
        <f t="shared" si="61"/>
        <v>44</v>
      </c>
      <c r="K88" s="65">
        <f t="shared" si="61"/>
        <v>52.8</v>
      </c>
      <c r="L88" s="65">
        <f t="shared" si="61"/>
        <v>61.6</v>
      </c>
      <c r="M88" s="65">
        <f t="shared" si="61"/>
        <v>70.4</v>
      </c>
      <c r="N88" s="65">
        <f t="shared" si="61"/>
        <v>79.2</v>
      </c>
      <c r="O88" s="65">
        <f t="shared" si="61"/>
        <v>88</v>
      </c>
      <c r="P88" s="65">
        <f t="shared" si="61"/>
        <v>105.6</v>
      </c>
      <c r="Q88" s="65">
        <f t="shared" si="61"/>
        <v>132</v>
      </c>
      <c r="R88" s="65">
        <f t="shared" si="61"/>
        <v>176</v>
      </c>
      <c r="S88" s="65">
        <f t="shared" si="61"/>
        <v>264</v>
      </c>
      <c r="T88" s="65">
        <f t="shared" si="61"/>
        <v>308</v>
      </c>
      <c r="U88" s="65">
        <f t="shared" si="61"/>
        <v>352</v>
      </c>
      <c r="V88" s="65">
        <f t="shared" si="61"/>
        <v>528</v>
      </c>
      <c r="W88" s="65">
        <f t="shared" si="61"/>
        <v>704</v>
      </c>
      <c r="X88" s="65">
        <f t="shared" si="61"/>
        <v>880</v>
      </c>
      <c r="Y88" s="66">
        <f t="shared" si="61"/>
        <v>1056</v>
      </c>
      <c r="Z88" s="67"/>
      <c r="AA88" s="68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48" t="str">
        <f t="shared" si="62"/>
        <v>南非鍰</v>
      </c>
      <c r="D89" s="48" t="str">
        <f t="shared" si="62"/>
        <v/>
      </c>
      <c r="E89" s="64">
        <f t="shared" si="62"/>
        <v>0.002</v>
      </c>
      <c r="F89" s="65">
        <f t="shared" ref="F89:Y89" si="63">HLOOKUP(F36,$F$1:$AI$2,2) * $D$1 * $E89</f>
        <v>0.352</v>
      </c>
      <c r="G89" s="65">
        <f t="shared" si="63"/>
        <v>0.88</v>
      </c>
      <c r="H89" s="65">
        <f t="shared" si="63"/>
        <v>1.76</v>
      </c>
      <c r="I89" s="65">
        <f t="shared" si="63"/>
        <v>2.64</v>
      </c>
      <c r="J89" s="65">
        <f t="shared" si="63"/>
        <v>3.52</v>
      </c>
      <c r="K89" s="65">
        <f t="shared" si="63"/>
        <v>5.28</v>
      </c>
      <c r="L89" s="65">
        <f t="shared" si="63"/>
        <v>7.04</v>
      </c>
      <c r="M89" s="65">
        <f t="shared" si="63"/>
        <v>8.8</v>
      </c>
      <c r="N89" s="65">
        <f t="shared" si="63"/>
        <v>17.6</v>
      </c>
      <c r="O89" s="65">
        <f t="shared" si="63"/>
        <v>26.4</v>
      </c>
      <c r="P89" s="65">
        <f t="shared" si="63"/>
        <v>35.2</v>
      </c>
      <c r="Q89" s="65">
        <f t="shared" si="63"/>
        <v>52.8</v>
      </c>
      <c r="R89" s="65">
        <f t="shared" si="63"/>
        <v>70.4</v>
      </c>
      <c r="S89" s="65">
        <f t="shared" si="63"/>
        <v>79.2</v>
      </c>
      <c r="T89" s="65">
        <f t="shared" si="63"/>
        <v>88</v>
      </c>
      <c r="U89" s="65">
        <f t="shared" si="63"/>
        <v>105.6</v>
      </c>
      <c r="V89" s="65">
        <f t="shared" si="63"/>
        <v>132</v>
      </c>
      <c r="W89" s="65">
        <f t="shared" si="63"/>
        <v>176</v>
      </c>
      <c r="X89" s="65">
        <f t="shared" si="63"/>
        <v>264</v>
      </c>
      <c r="Y89" s="66">
        <f t="shared" si="63"/>
        <v>308</v>
      </c>
      <c r="Z89" s="67"/>
      <c r="AA89" s="68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48" t="str">
        <f t="shared" si="64"/>
        <v>土耳其里拉</v>
      </c>
      <c r="D90" s="48" t="str">
        <f t="shared" si="64"/>
        <v/>
      </c>
      <c r="E90" s="64">
        <f t="shared" si="64"/>
        <v>0.002</v>
      </c>
      <c r="F90" s="65">
        <f t="shared" ref="F90:Y90" si="65">HLOOKUP(F37,$F$1:$AI$2,2) * $D$1 * $E90</f>
        <v>0.88</v>
      </c>
      <c r="G90" s="65">
        <f t="shared" si="65"/>
        <v>1.76</v>
      </c>
      <c r="H90" s="65">
        <f t="shared" si="65"/>
        <v>2.64</v>
      </c>
      <c r="I90" s="65">
        <f t="shared" si="65"/>
        <v>3.52</v>
      </c>
      <c r="J90" s="65">
        <f t="shared" si="65"/>
        <v>5.28</v>
      </c>
      <c r="K90" s="65">
        <f t="shared" si="65"/>
        <v>7.04</v>
      </c>
      <c r="L90" s="65">
        <f t="shared" si="65"/>
        <v>8.8</v>
      </c>
      <c r="M90" s="65">
        <f t="shared" si="65"/>
        <v>17.6</v>
      </c>
      <c r="N90" s="65">
        <f t="shared" si="65"/>
        <v>26.4</v>
      </c>
      <c r="O90" s="65">
        <f t="shared" si="65"/>
        <v>35.2</v>
      </c>
      <c r="P90" s="65">
        <f t="shared" si="65"/>
        <v>52.8</v>
      </c>
      <c r="Q90" s="65">
        <f t="shared" si="65"/>
        <v>70.4</v>
      </c>
      <c r="R90" s="65">
        <f t="shared" si="65"/>
        <v>79.2</v>
      </c>
      <c r="S90" s="65">
        <f t="shared" si="65"/>
        <v>88</v>
      </c>
      <c r="T90" s="65">
        <f t="shared" si="65"/>
        <v>105.6</v>
      </c>
      <c r="U90" s="65">
        <f t="shared" si="65"/>
        <v>132</v>
      </c>
      <c r="V90" s="65">
        <f t="shared" si="65"/>
        <v>176</v>
      </c>
      <c r="W90" s="65">
        <f t="shared" si="65"/>
        <v>264</v>
      </c>
      <c r="X90" s="65">
        <f t="shared" si="65"/>
        <v>308</v>
      </c>
      <c r="Y90" s="66">
        <f t="shared" si="65"/>
        <v>352</v>
      </c>
      <c r="Z90" s="67"/>
      <c r="AA90" s="68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48" t="str">
        <f t="shared" si="66"/>
        <v>英鎊</v>
      </c>
      <c r="D91" s="48" t="str">
        <f t="shared" si="66"/>
        <v/>
      </c>
      <c r="E91" s="64">
        <f t="shared" si="66"/>
        <v>0.002</v>
      </c>
      <c r="F91" s="65">
        <f t="shared" ref="F91:Y91" si="67">HLOOKUP(F38,$F$1:$AI$2,2) * $D$1 * $E91</f>
        <v>0.176</v>
      </c>
      <c r="G91" s="65">
        <f t="shared" si="67"/>
        <v>0.352</v>
      </c>
      <c r="H91" s="65">
        <f t="shared" si="67"/>
        <v>0.88</v>
      </c>
      <c r="I91" s="65">
        <f t="shared" si="67"/>
        <v>1.76</v>
      </c>
      <c r="J91" s="65">
        <f t="shared" si="67"/>
        <v>2.64</v>
      </c>
      <c r="K91" s="65">
        <f t="shared" si="67"/>
        <v>3.52</v>
      </c>
      <c r="L91" s="65">
        <f t="shared" si="67"/>
        <v>5.28</v>
      </c>
      <c r="M91" s="65">
        <f t="shared" si="67"/>
        <v>7.04</v>
      </c>
      <c r="N91" s="65">
        <f t="shared" si="67"/>
        <v>8.8</v>
      </c>
      <c r="O91" s="65">
        <f t="shared" si="67"/>
        <v>10.56</v>
      </c>
      <c r="P91" s="65">
        <f t="shared" si="67"/>
        <v>17.6</v>
      </c>
      <c r="Q91" s="65">
        <f t="shared" si="67"/>
        <v>21.12</v>
      </c>
      <c r="R91" s="65">
        <f t="shared" si="67"/>
        <v>26.4</v>
      </c>
      <c r="S91" s="65">
        <f t="shared" si="67"/>
        <v>35.2</v>
      </c>
      <c r="T91" s="65">
        <f t="shared" si="67"/>
        <v>44</v>
      </c>
      <c r="U91" s="65">
        <f t="shared" si="67"/>
        <v>52.8</v>
      </c>
      <c r="V91" s="65">
        <f t="shared" si="67"/>
        <v>61.6</v>
      </c>
      <c r="W91" s="65">
        <f t="shared" si="67"/>
        <v>70.4</v>
      </c>
      <c r="X91" s="65">
        <f t="shared" si="67"/>
        <v>79.2</v>
      </c>
      <c r="Y91" s="66">
        <f t="shared" si="67"/>
        <v>88</v>
      </c>
      <c r="Z91" s="67"/>
      <c r="AA91" s="68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48" t="str">
        <f t="shared" si="68"/>
        <v>尼泊爾盧比</v>
      </c>
      <c r="D92" s="48" t="str">
        <f t="shared" si="68"/>
        <v/>
      </c>
      <c r="E92" s="64">
        <f t="shared" si="68"/>
        <v>0.002</v>
      </c>
      <c r="F92" s="65">
        <f t="shared" ref="F92:Y92" si="69">HLOOKUP(F39,$F$1:$AI$2,2) * $D$1 * $E92</f>
        <v>5.28</v>
      </c>
      <c r="G92" s="65">
        <f t="shared" si="69"/>
        <v>8.8</v>
      </c>
      <c r="H92" s="65">
        <f t="shared" si="69"/>
        <v>17.6</v>
      </c>
      <c r="I92" s="65">
        <f t="shared" si="69"/>
        <v>35.2</v>
      </c>
      <c r="J92" s="65">
        <f t="shared" si="69"/>
        <v>44</v>
      </c>
      <c r="K92" s="65">
        <f t="shared" si="69"/>
        <v>52.8</v>
      </c>
      <c r="L92" s="65">
        <f t="shared" si="69"/>
        <v>61.6</v>
      </c>
      <c r="M92" s="65">
        <f t="shared" si="69"/>
        <v>70.4</v>
      </c>
      <c r="N92" s="65">
        <f t="shared" si="69"/>
        <v>79.2</v>
      </c>
      <c r="O92" s="65">
        <f t="shared" si="69"/>
        <v>88</v>
      </c>
      <c r="P92" s="65">
        <f t="shared" si="69"/>
        <v>105.6</v>
      </c>
      <c r="Q92" s="65">
        <f t="shared" si="69"/>
        <v>132</v>
      </c>
      <c r="R92" s="65">
        <f t="shared" si="69"/>
        <v>176</v>
      </c>
      <c r="S92" s="65">
        <f t="shared" si="69"/>
        <v>264</v>
      </c>
      <c r="T92" s="65">
        <f t="shared" si="69"/>
        <v>308</v>
      </c>
      <c r="U92" s="65">
        <f t="shared" si="69"/>
        <v>352</v>
      </c>
      <c r="V92" s="65">
        <f t="shared" si="69"/>
        <v>528</v>
      </c>
      <c r="W92" s="65">
        <f t="shared" si="69"/>
        <v>704</v>
      </c>
      <c r="X92" s="65">
        <f t="shared" si="69"/>
        <v>880</v>
      </c>
      <c r="Y92" s="66">
        <f t="shared" si="69"/>
        <v>1056</v>
      </c>
      <c r="Z92" s="67"/>
      <c r="AA92" s="68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48" t="str">
        <f t="shared" si="70"/>
        <v>瑞士法郎</v>
      </c>
      <c r="D93" s="48" t="str">
        <f t="shared" si="70"/>
        <v/>
      </c>
      <c r="E93" s="64">
        <f t="shared" si="70"/>
        <v>0.002</v>
      </c>
      <c r="F93" s="65">
        <f t="shared" ref="F93:Y93" si="71">HLOOKUP(F40,$F$1:$AI$2,2) * $D$1 * $E93</f>
        <v>0.176</v>
      </c>
      <c r="G93" s="65">
        <f t="shared" si="71"/>
        <v>0.352</v>
      </c>
      <c r="H93" s="65">
        <f t="shared" si="71"/>
        <v>0.88</v>
      </c>
      <c r="I93" s="65">
        <f t="shared" si="71"/>
        <v>1.76</v>
      </c>
      <c r="J93" s="65">
        <f t="shared" si="71"/>
        <v>2.64</v>
      </c>
      <c r="K93" s="65">
        <f t="shared" si="71"/>
        <v>3.52</v>
      </c>
      <c r="L93" s="65">
        <f t="shared" si="71"/>
        <v>5.28</v>
      </c>
      <c r="M93" s="65">
        <f t="shared" si="71"/>
        <v>7.04</v>
      </c>
      <c r="N93" s="65">
        <f t="shared" si="71"/>
        <v>8.8</v>
      </c>
      <c r="O93" s="65">
        <f t="shared" si="71"/>
        <v>10.56</v>
      </c>
      <c r="P93" s="65">
        <f t="shared" si="71"/>
        <v>17.6</v>
      </c>
      <c r="Q93" s="65">
        <f t="shared" si="71"/>
        <v>21.12</v>
      </c>
      <c r="R93" s="65">
        <f t="shared" si="71"/>
        <v>26.4</v>
      </c>
      <c r="S93" s="65">
        <f t="shared" si="71"/>
        <v>35.2</v>
      </c>
      <c r="T93" s="65">
        <f t="shared" si="71"/>
        <v>44</v>
      </c>
      <c r="U93" s="65">
        <f t="shared" si="71"/>
        <v>52.8</v>
      </c>
      <c r="V93" s="65">
        <f t="shared" si="71"/>
        <v>61.6</v>
      </c>
      <c r="W93" s="65">
        <f t="shared" si="71"/>
        <v>70.4</v>
      </c>
      <c r="X93" s="65">
        <f t="shared" si="71"/>
        <v>79.2</v>
      </c>
      <c r="Y93" s="66">
        <f t="shared" si="71"/>
        <v>88</v>
      </c>
      <c r="Z93" s="67"/>
      <c r="AA93" s="68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48" t="str">
        <f t="shared" si="72"/>
        <v>加幣</v>
      </c>
      <c r="D94" s="48" t="str">
        <f t="shared" si="72"/>
        <v/>
      </c>
      <c r="E94" s="64">
        <f t="shared" si="72"/>
        <v>0.002</v>
      </c>
      <c r="F94" s="65">
        <f t="shared" ref="F94:Y94" si="73">HLOOKUP(F41,$F$1:$AI$2,2) * $D$1 * $E94</f>
        <v>0.176</v>
      </c>
      <c r="G94" s="65">
        <f t="shared" si="73"/>
        <v>0.352</v>
      </c>
      <c r="H94" s="65">
        <f t="shared" si="73"/>
        <v>0.88</v>
      </c>
      <c r="I94" s="65">
        <f t="shared" si="73"/>
        <v>1.76</v>
      </c>
      <c r="J94" s="65">
        <f t="shared" si="73"/>
        <v>2.64</v>
      </c>
      <c r="K94" s="65">
        <f t="shared" si="73"/>
        <v>3.52</v>
      </c>
      <c r="L94" s="65">
        <f t="shared" si="73"/>
        <v>5.28</v>
      </c>
      <c r="M94" s="65">
        <f t="shared" si="73"/>
        <v>7.04</v>
      </c>
      <c r="N94" s="65">
        <f t="shared" si="73"/>
        <v>8.8</v>
      </c>
      <c r="O94" s="65">
        <f t="shared" si="73"/>
        <v>10.56</v>
      </c>
      <c r="P94" s="65">
        <f t="shared" si="73"/>
        <v>17.6</v>
      </c>
      <c r="Q94" s="65">
        <f t="shared" si="73"/>
        <v>21.12</v>
      </c>
      <c r="R94" s="65">
        <f t="shared" si="73"/>
        <v>26.4</v>
      </c>
      <c r="S94" s="65">
        <f t="shared" si="73"/>
        <v>35.2</v>
      </c>
      <c r="T94" s="65">
        <f t="shared" si="73"/>
        <v>44</v>
      </c>
      <c r="U94" s="65">
        <f t="shared" si="73"/>
        <v>52.8</v>
      </c>
      <c r="V94" s="65">
        <f t="shared" si="73"/>
        <v>61.6</v>
      </c>
      <c r="W94" s="65">
        <f t="shared" si="73"/>
        <v>70.4</v>
      </c>
      <c r="X94" s="65">
        <f t="shared" si="73"/>
        <v>79.2</v>
      </c>
      <c r="Y94" s="66">
        <f t="shared" si="73"/>
        <v>88</v>
      </c>
      <c r="Z94" s="67"/>
      <c r="AA94" s="68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48" t="str">
        <f t="shared" si="74"/>
        <v>秘魯新索爾</v>
      </c>
      <c r="D95" s="48" t="str">
        <f t="shared" si="74"/>
        <v/>
      </c>
      <c r="E95" s="64">
        <f t="shared" si="74"/>
        <v>0.002</v>
      </c>
      <c r="F95" s="65">
        <f t="shared" ref="F95:Y95" si="75">HLOOKUP(F42,$F$1:$AI$2,2) * $D$1 * $E95</f>
        <v>0.176</v>
      </c>
      <c r="G95" s="65">
        <f t="shared" si="75"/>
        <v>0.352</v>
      </c>
      <c r="H95" s="65">
        <f t="shared" si="75"/>
        <v>0.88</v>
      </c>
      <c r="I95" s="65">
        <f t="shared" si="75"/>
        <v>1.76</v>
      </c>
      <c r="J95" s="65">
        <f t="shared" si="75"/>
        <v>2.64</v>
      </c>
      <c r="K95" s="65">
        <f t="shared" si="75"/>
        <v>3.52</v>
      </c>
      <c r="L95" s="65">
        <f t="shared" si="75"/>
        <v>5.28</v>
      </c>
      <c r="M95" s="65">
        <f t="shared" si="75"/>
        <v>7.04</v>
      </c>
      <c r="N95" s="65">
        <f t="shared" si="75"/>
        <v>8.8</v>
      </c>
      <c r="O95" s="65">
        <f t="shared" si="75"/>
        <v>10.56</v>
      </c>
      <c r="P95" s="65">
        <f t="shared" si="75"/>
        <v>17.6</v>
      </c>
      <c r="Q95" s="65">
        <f t="shared" si="75"/>
        <v>26.4</v>
      </c>
      <c r="R95" s="65">
        <f t="shared" si="75"/>
        <v>35.2</v>
      </c>
      <c r="S95" s="65">
        <f t="shared" si="75"/>
        <v>52.8</v>
      </c>
      <c r="T95" s="65">
        <f t="shared" si="75"/>
        <v>61.6</v>
      </c>
      <c r="U95" s="65">
        <f t="shared" si="75"/>
        <v>70.4</v>
      </c>
      <c r="V95" s="65">
        <f t="shared" si="75"/>
        <v>79.2</v>
      </c>
      <c r="W95" s="65">
        <f t="shared" si="75"/>
        <v>88</v>
      </c>
      <c r="X95" s="65">
        <f t="shared" si="75"/>
        <v>105.6</v>
      </c>
      <c r="Y95" s="66">
        <f t="shared" si="75"/>
        <v>132</v>
      </c>
      <c r="Z95" s="67"/>
      <c r="AA95" s="68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48" t="str">
        <f t="shared" si="76"/>
        <v>阿聯迪拉姆</v>
      </c>
      <c r="D96" s="48" t="str">
        <f t="shared" si="76"/>
        <v/>
      </c>
      <c r="E96" s="64">
        <f t="shared" si="76"/>
        <v>0.002</v>
      </c>
      <c r="F96" s="65">
        <f t="shared" ref="F96:Y96" si="77">HLOOKUP(F43,$F$1:$AI$2,2) * $D$1 * $E96</f>
        <v>0.176</v>
      </c>
      <c r="G96" s="65">
        <f t="shared" si="77"/>
        <v>0.352</v>
      </c>
      <c r="H96" s="65">
        <f t="shared" si="77"/>
        <v>0.88</v>
      </c>
      <c r="I96" s="65">
        <f t="shared" si="77"/>
        <v>1.76</v>
      </c>
      <c r="J96" s="65">
        <f t="shared" si="77"/>
        <v>2.64</v>
      </c>
      <c r="K96" s="65">
        <f t="shared" si="77"/>
        <v>3.52</v>
      </c>
      <c r="L96" s="65">
        <f t="shared" si="77"/>
        <v>5.28</v>
      </c>
      <c r="M96" s="65">
        <f t="shared" si="77"/>
        <v>7.04</v>
      </c>
      <c r="N96" s="65">
        <f t="shared" si="77"/>
        <v>8.8</v>
      </c>
      <c r="O96" s="65">
        <f t="shared" si="77"/>
        <v>10.56</v>
      </c>
      <c r="P96" s="65">
        <f t="shared" si="77"/>
        <v>17.6</v>
      </c>
      <c r="Q96" s="65">
        <f t="shared" si="77"/>
        <v>26.4</v>
      </c>
      <c r="R96" s="65">
        <f t="shared" si="77"/>
        <v>35.2</v>
      </c>
      <c r="S96" s="65">
        <f t="shared" si="77"/>
        <v>52.8</v>
      </c>
      <c r="T96" s="65">
        <f t="shared" si="77"/>
        <v>61.6</v>
      </c>
      <c r="U96" s="65">
        <f t="shared" si="77"/>
        <v>70.4</v>
      </c>
      <c r="V96" s="65">
        <f t="shared" si="77"/>
        <v>79.2</v>
      </c>
      <c r="W96" s="65">
        <f t="shared" si="77"/>
        <v>88</v>
      </c>
      <c r="X96" s="65">
        <f t="shared" si="77"/>
        <v>105.6</v>
      </c>
      <c r="Y96" s="66">
        <f t="shared" si="77"/>
        <v>132</v>
      </c>
      <c r="Z96" s="67"/>
      <c r="AA96" s="68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48" t="str">
        <f t="shared" si="78"/>
        <v>汶萊幣</v>
      </c>
      <c r="D97" s="48" t="str">
        <f t="shared" si="78"/>
        <v/>
      </c>
      <c r="E97" s="64">
        <f t="shared" si="78"/>
        <v>0.002</v>
      </c>
      <c r="F97" s="65">
        <f t="shared" ref="F97:Y97" si="79">HLOOKUP(F44,$F$1:$AI$2,2) * $D$1 * $E97</f>
        <v>0.176</v>
      </c>
      <c r="G97" s="65">
        <f t="shared" si="79"/>
        <v>0.352</v>
      </c>
      <c r="H97" s="65">
        <f t="shared" si="79"/>
        <v>0.88</v>
      </c>
      <c r="I97" s="65">
        <f t="shared" si="79"/>
        <v>1.76</v>
      </c>
      <c r="J97" s="65">
        <f t="shared" si="79"/>
        <v>2.64</v>
      </c>
      <c r="K97" s="65">
        <f t="shared" si="79"/>
        <v>3.52</v>
      </c>
      <c r="L97" s="65">
        <f t="shared" si="79"/>
        <v>5.28</v>
      </c>
      <c r="M97" s="65">
        <f t="shared" si="79"/>
        <v>7.04</v>
      </c>
      <c r="N97" s="65">
        <f t="shared" si="79"/>
        <v>8.8</v>
      </c>
      <c r="O97" s="65">
        <f t="shared" si="79"/>
        <v>10.56</v>
      </c>
      <c r="P97" s="65">
        <f t="shared" si="79"/>
        <v>17.6</v>
      </c>
      <c r="Q97" s="65">
        <f t="shared" si="79"/>
        <v>21.12</v>
      </c>
      <c r="R97" s="65">
        <f t="shared" si="79"/>
        <v>26.4</v>
      </c>
      <c r="S97" s="65">
        <f t="shared" si="79"/>
        <v>35.2</v>
      </c>
      <c r="T97" s="65">
        <f t="shared" si="79"/>
        <v>44</v>
      </c>
      <c r="U97" s="65">
        <f t="shared" si="79"/>
        <v>52.8</v>
      </c>
      <c r="V97" s="65">
        <f t="shared" si="79"/>
        <v>70.4</v>
      </c>
      <c r="W97" s="65">
        <f t="shared" si="79"/>
        <v>79.2</v>
      </c>
      <c r="X97" s="65">
        <f t="shared" si="79"/>
        <v>88</v>
      </c>
      <c r="Y97" s="66">
        <f t="shared" si="79"/>
        <v>105.6</v>
      </c>
      <c r="Z97" s="67"/>
      <c r="AA97" s="68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48" t="str">
        <f t="shared" si="80"/>
        <v>哥倫比亞披索</v>
      </c>
      <c r="D98" s="48" t="str">
        <f t="shared" si="80"/>
        <v/>
      </c>
      <c r="E98" s="64">
        <f t="shared" si="80"/>
        <v>0.1</v>
      </c>
      <c r="F98" s="65">
        <f t="shared" ref="F98:Y98" si="81">HLOOKUP(F45,$F$1:$AI$2,2) * $D$1 * $E98</f>
        <v>88</v>
      </c>
      <c r="G98" s="65">
        <f t="shared" si="81"/>
        <v>176</v>
      </c>
      <c r="H98" s="65">
        <f t="shared" si="81"/>
        <v>264</v>
      </c>
      <c r="I98" s="65">
        <f t="shared" si="81"/>
        <v>440</v>
      </c>
      <c r="J98" s="65">
        <f t="shared" si="81"/>
        <v>880</v>
      </c>
      <c r="K98" s="65">
        <f t="shared" si="81"/>
        <v>1320</v>
      </c>
      <c r="L98" s="65">
        <f t="shared" si="81"/>
        <v>1760</v>
      </c>
      <c r="M98" s="65">
        <f t="shared" si="81"/>
        <v>2640</v>
      </c>
      <c r="N98" s="65">
        <f t="shared" si="81"/>
        <v>3520</v>
      </c>
      <c r="O98" s="65">
        <f t="shared" si="81"/>
        <v>3960</v>
      </c>
      <c r="P98" s="65">
        <f t="shared" si="81"/>
        <v>4400</v>
      </c>
      <c r="Q98" s="65">
        <f t="shared" si="81"/>
        <v>5280</v>
      </c>
      <c r="R98" s="65">
        <f t="shared" si="81"/>
        <v>6600</v>
      </c>
      <c r="S98" s="65">
        <f t="shared" si="81"/>
        <v>8800</v>
      </c>
      <c r="T98" s="65">
        <f t="shared" si="81"/>
        <v>13200</v>
      </c>
      <c r="U98" s="65">
        <f t="shared" si="81"/>
        <v>15400</v>
      </c>
      <c r="V98" s="65">
        <f t="shared" si="81"/>
        <v>17600</v>
      </c>
      <c r="W98" s="65">
        <f t="shared" si="81"/>
        <v>26400</v>
      </c>
      <c r="X98" s="65">
        <f t="shared" si="81"/>
        <v>35200</v>
      </c>
      <c r="Y98" s="66">
        <f t="shared" si="81"/>
        <v>44000</v>
      </c>
      <c r="Z98" s="67"/>
      <c r="AA98" s="68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48" t="str">
        <f t="shared" si="82"/>
        <v>越南盾</v>
      </c>
      <c r="D99" s="48" t="str">
        <f t="shared" si="82"/>
        <v/>
      </c>
      <c r="E99" s="64">
        <f t="shared" si="82"/>
        <v>0.5</v>
      </c>
      <c r="F99" s="65">
        <f t="shared" ref="F99:Y99" si="83">HLOOKUP(F46,$F$1:$AI$2,2) * $D$1 * $E99</f>
        <v>440</v>
      </c>
      <c r="G99" s="65">
        <f t="shared" si="83"/>
        <v>880</v>
      </c>
      <c r="H99" s="65">
        <f t="shared" si="83"/>
        <v>1320</v>
      </c>
      <c r="I99" s="65">
        <f t="shared" si="83"/>
        <v>2200</v>
      </c>
      <c r="J99" s="65">
        <f t="shared" si="83"/>
        <v>4400</v>
      </c>
      <c r="K99" s="65">
        <f t="shared" si="83"/>
        <v>6600</v>
      </c>
      <c r="L99" s="65">
        <f t="shared" si="83"/>
        <v>8800</v>
      </c>
      <c r="M99" s="65">
        <f t="shared" si="83"/>
        <v>13200</v>
      </c>
      <c r="N99" s="65">
        <f t="shared" si="83"/>
        <v>17600</v>
      </c>
      <c r="O99" s="65">
        <f t="shared" si="83"/>
        <v>19800</v>
      </c>
      <c r="P99" s="65">
        <f t="shared" si="83"/>
        <v>22000</v>
      </c>
      <c r="Q99" s="65">
        <f t="shared" si="83"/>
        <v>26400</v>
      </c>
      <c r="R99" s="65">
        <f t="shared" si="83"/>
        <v>33000</v>
      </c>
      <c r="S99" s="65">
        <f t="shared" si="83"/>
        <v>44000</v>
      </c>
      <c r="T99" s="65">
        <f t="shared" si="83"/>
        <v>66000</v>
      </c>
      <c r="U99" s="65">
        <f t="shared" si="83"/>
        <v>77000</v>
      </c>
      <c r="V99" s="65">
        <f t="shared" si="83"/>
        <v>88000</v>
      </c>
      <c r="W99" s="65">
        <f t="shared" si="83"/>
        <v>132000</v>
      </c>
      <c r="X99" s="65">
        <f t="shared" si="83"/>
        <v>176000</v>
      </c>
      <c r="Y99" s="66">
        <f t="shared" si="83"/>
        <v>220000</v>
      </c>
      <c r="Z99" s="67"/>
      <c r="AA99" s="68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48" t="str">
        <f t="shared" si="84"/>
        <v>馬來西亞令吉</v>
      </c>
      <c r="D100" s="48">
        <f t="shared" si="84"/>
        <v>0.01</v>
      </c>
      <c r="E100" s="64">
        <f t="shared" si="84"/>
        <v>0.01</v>
      </c>
      <c r="F100" s="65">
        <f t="shared" ref="F100:Y100" si="85">HLOOKUP(F47,$F$1:$AI$2,2) * $D$1 * $E100</f>
        <v>8.8</v>
      </c>
      <c r="G100" s="65">
        <f t="shared" si="85"/>
        <v>17.6</v>
      </c>
      <c r="H100" s="65">
        <f t="shared" si="85"/>
        <v>26.4</v>
      </c>
      <c r="I100" s="65">
        <f t="shared" si="85"/>
        <v>44</v>
      </c>
      <c r="J100" s="65">
        <f t="shared" si="85"/>
        <v>88</v>
      </c>
      <c r="K100" s="65">
        <f t="shared" si="85"/>
        <v>132</v>
      </c>
      <c r="L100" s="65">
        <f t="shared" si="85"/>
        <v>176</v>
      </c>
      <c r="M100" s="65">
        <f t="shared" si="85"/>
        <v>264</v>
      </c>
      <c r="N100" s="65">
        <f t="shared" si="85"/>
        <v>352</v>
      </c>
      <c r="O100" s="65">
        <f t="shared" si="85"/>
        <v>396</v>
      </c>
      <c r="P100" s="65">
        <f t="shared" si="85"/>
        <v>440</v>
      </c>
      <c r="Q100" s="65">
        <f t="shared" si="85"/>
        <v>528</v>
      </c>
      <c r="R100" s="65">
        <f t="shared" si="85"/>
        <v>660</v>
      </c>
      <c r="S100" s="65">
        <f t="shared" si="85"/>
        <v>880</v>
      </c>
      <c r="T100" s="65">
        <f t="shared" si="85"/>
        <v>1320</v>
      </c>
      <c r="U100" s="65">
        <f t="shared" si="85"/>
        <v>1540</v>
      </c>
      <c r="V100" s="65">
        <f t="shared" si="85"/>
        <v>1760</v>
      </c>
      <c r="W100" s="65">
        <f t="shared" si="85"/>
        <v>2640</v>
      </c>
      <c r="X100" s="65">
        <f t="shared" si="85"/>
        <v>3520</v>
      </c>
      <c r="Y100" s="66">
        <f t="shared" si="85"/>
        <v>4400</v>
      </c>
      <c r="Z100" s="67"/>
      <c r="AA100" s="69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48" t="str">
        <f t="shared" si="86"/>
        <v>星幣</v>
      </c>
      <c r="D101" s="48" t="str">
        <f t="shared" si="86"/>
        <v/>
      </c>
      <c r="E101" s="64">
        <f t="shared" si="86"/>
        <v>1</v>
      </c>
      <c r="F101" s="65">
        <f t="shared" ref="F101:Y101" si="87">HLOOKUP(F48,$F$1:$AI$2,2) * $D$1 * $E101</f>
        <v>88</v>
      </c>
      <c r="G101" s="65">
        <f t="shared" si="87"/>
        <v>176</v>
      </c>
      <c r="H101" s="65">
        <f t="shared" si="87"/>
        <v>440</v>
      </c>
      <c r="I101" s="65">
        <f t="shared" si="87"/>
        <v>880</v>
      </c>
      <c r="J101" s="65">
        <f t="shared" si="87"/>
        <v>1320</v>
      </c>
      <c r="K101" s="65">
        <f t="shared" si="87"/>
        <v>1760</v>
      </c>
      <c r="L101" s="65">
        <f t="shared" si="87"/>
        <v>2640</v>
      </c>
      <c r="M101" s="65">
        <f t="shared" si="87"/>
        <v>3520</v>
      </c>
      <c r="N101" s="65">
        <f t="shared" si="87"/>
        <v>4400</v>
      </c>
      <c r="O101" s="65">
        <f t="shared" si="87"/>
        <v>5280</v>
      </c>
      <c r="P101" s="65">
        <f t="shared" si="87"/>
        <v>8800</v>
      </c>
      <c r="Q101" s="65">
        <f t="shared" si="87"/>
        <v>13200</v>
      </c>
      <c r="R101" s="65">
        <f t="shared" si="87"/>
        <v>17600</v>
      </c>
      <c r="S101" s="65">
        <f t="shared" si="87"/>
        <v>26400</v>
      </c>
      <c r="T101" s="65">
        <f t="shared" si="87"/>
        <v>30800</v>
      </c>
      <c r="U101" s="65">
        <f t="shared" si="87"/>
        <v>35200</v>
      </c>
      <c r="V101" s="65">
        <f t="shared" si="87"/>
        <v>39600</v>
      </c>
      <c r="W101" s="65">
        <f t="shared" si="87"/>
        <v>44000</v>
      </c>
      <c r="X101" s="65">
        <f t="shared" si="87"/>
        <v>52800</v>
      </c>
      <c r="Y101" s="65">
        <f t="shared" si="87"/>
        <v>66000</v>
      </c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48" t="str">
        <f t="shared" si="88"/>
        <v>阿爾及利亞第納爾</v>
      </c>
      <c r="D102" s="48" t="str">
        <f t="shared" si="88"/>
        <v/>
      </c>
      <c r="E102" s="64">
        <f t="shared" si="88"/>
        <v>0.002</v>
      </c>
      <c r="F102" s="65">
        <f t="shared" ref="F102:Y102" si="89">HLOOKUP(F49,$F$1:$AI$2,2) * $D$1 * $E102</f>
        <v>5.28</v>
      </c>
      <c r="G102" s="65">
        <f t="shared" si="89"/>
        <v>8.8</v>
      </c>
      <c r="H102" s="65">
        <f t="shared" si="89"/>
        <v>17.6</v>
      </c>
      <c r="I102" s="65">
        <f t="shared" si="89"/>
        <v>35.2</v>
      </c>
      <c r="J102" s="65">
        <f t="shared" si="89"/>
        <v>44</v>
      </c>
      <c r="K102" s="65">
        <f t="shared" si="89"/>
        <v>52.8</v>
      </c>
      <c r="L102" s="65">
        <f t="shared" si="89"/>
        <v>61.6</v>
      </c>
      <c r="M102" s="65">
        <f t="shared" si="89"/>
        <v>70.4</v>
      </c>
      <c r="N102" s="65">
        <f t="shared" si="89"/>
        <v>79.2</v>
      </c>
      <c r="O102" s="65">
        <f t="shared" si="89"/>
        <v>88</v>
      </c>
      <c r="P102" s="65">
        <f t="shared" si="89"/>
        <v>105.6</v>
      </c>
      <c r="Q102" s="65">
        <f t="shared" si="89"/>
        <v>132</v>
      </c>
      <c r="R102" s="65">
        <f t="shared" si="89"/>
        <v>176</v>
      </c>
      <c r="S102" s="65">
        <f t="shared" si="89"/>
        <v>264</v>
      </c>
      <c r="T102" s="65">
        <f t="shared" si="89"/>
        <v>308</v>
      </c>
      <c r="U102" s="65">
        <f t="shared" si="89"/>
        <v>352</v>
      </c>
      <c r="V102" s="65">
        <f t="shared" si="89"/>
        <v>528</v>
      </c>
      <c r="W102" s="65">
        <f t="shared" si="89"/>
        <v>704</v>
      </c>
      <c r="X102" s="65">
        <f t="shared" si="89"/>
        <v>880</v>
      </c>
      <c r="Y102" s="65">
        <f t="shared" si="89"/>
        <v>1056</v>
      </c>
      <c r="Z102" s="70"/>
      <c r="AA102" s="70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48" t="str">
        <f t="shared" si="90"/>
        <v>摩洛哥迪拉姆</v>
      </c>
      <c r="D103" s="48" t="str">
        <f t="shared" si="90"/>
        <v/>
      </c>
      <c r="E103" s="64">
        <f t="shared" si="90"/>
        <v>0.002</v>
      </c>
      <c r="F103" s="65">
        <f t="shared" ref="F103:Y103" si="91">HLOOKUP(F50,$F$1:$AI$2,2) * $D$1 * $E103</f>
        <v>0.176</v>
      </c>
      <c r="G103" s="65">
        <f t="shared" si="91"/>
        <v>0.352</v>
      </c>
      <c r="H103" s="65">
        <f t="shared" si="91"/>
        <v>0.88</v>
      </c>
      <c r="I103" s="65">
        <f t="shared" si="91"/>
        <v>1.76</v>
      </c>
      <c r="J103" s="65">
        <f t="shared" si="91"/>
        <v>2.64</v>
      </c>
      <c r="K103" s="65">
        <f t="shared" si="91"/>
        <v>3.52</v>
      </c>
      <c r="L103" s="65">
        <f t="shared" si="91"/>
        <v>5.28</v>
      </c>
      <c r="M103" s="65">
        <f t="shared" si="91"/>
        <v>7.04</v>
      </c>
      <c r="N103" s="65">
        <f t="shared" si="91"/>
        <v>8.8</v>
      </c>
      <c r="O103" s="65">
        <f t="shared" si="91"/>
        <v>17.6</v>
      </c>
      <c r="P103" s="65">
        <f t="shared" si="91"/>
        <v>26.4</v>
      </c>
      <c r="Q103" s="65">
        <f t="shared" si="91"/>
        <v>35.2</v>
      </c>
      <c r="R103" s="65">
        <f t="shared" si="91"/>
        <v>52.8</v>
      </c>
      <c r="S103" s="65">
        <f t="shared" si="91"/>
        <v>70.4</v>
      </c>
      <c r="T103" s="65">
        <f t="shared" si="91"/>
        <v>79.2</v>
      </c>
      <c r="U103" s="65">
        <f t="shared" si="91"/>
        <v>88</v>
      </c>
      <c r="V103" s="65">
        <f t="shared" si="91"/>
        <v>105.6</v>
      </c>
      <c r="W103" s="65">
        <f t="shared" si="91"/>
        <v>132</v>
      </c>
      <c r="X103" s="65">
        <f t="shared" si="91"/>
        <v>176</v>
      </c>
      <c r="Y103" s="65">
        <f t="shared" si="91"/>
        <v>264</v>
      </c>
      <c r="Z103" s="70"/>
      <c r="AA103" s="70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48" t="str">
        <f t="shared" si="92"/>
        <v>法國法郎</v>
      </c>
      <c r="D104" s="48" t="str">
        <f t="shared" si="92"/>
        <v/>
      </c>
      <c r="E104" s="64">
        <f t="shared" si="92"/>
        <v>0.002</v>
      </c>
      <c r="F104" s="65">
        <f t="shared" ref="F104:Y104" si="93">HLOOKUP(F51,$F$1:$AI$2,2) * $D$1 * $E104</f>
        <v>0.176</v>
      </c>
      <c r="G104" s="65">
        <f t="shared" si="93"/>
        <v>0.352</v>
      </c>
      <c r="H104" s="65">
        <f t="shared" si="93"/>
        <v>0.88</v>
      </c>
      <c r="I104" s="65">
        <f t="shared" si="93"/>
        <v>1.76</v>
      </c>
      <c r="J104" s="65">
        <f t="shared" si="93"/>
        <v>2.64</v>
      </c>
      <c r="K104" s="65">
        <f t="shared" si="93"/>
        <v>3.52</v>
      </c>
      <c r="L104" s="65">
        <f t="shared" si="93"/>
        <v>5.28</v>
      </c>
      <c r="M104" s="65">
        <f t="shared" si="93"/>
        <v>7.04</v>
      </c>
      <c r="N104" s="65">
        <f t="shared" si="93"/>
        <v>8.8</v>
      </c>
      <c r="O104" s="65">
        <f t="shared" si="93"/>
        <v>17.6</v>
      </c>
      <c r="P104" s="65">
        <f t="shared" si="93"/>
        <v>26.4</v>
      </c>
      <c r="Q104" s="65">
        <f t="shared" si="93"/>
        <v>35.2</v>
      </c>
      <c r="R104" s="65">
        <f t="shared" si="93"/>
        <v>52.8</v>
      </c>
      <c r="S104" s="65">
        <f t="shared" si="93"/>
        <v>70.4</v>
      </c>
      <c r="T104" s="65">
        <f t="shared" si="93"/>
        <v>79.2</v>
      </c>
      <c r="U104" s="65">
        <f t="shared" si="93"/>
        <v>88</v>
      </c>
      <c r="V104" s="65">
        <f t="shared" si="93"/>
        <v>105.6</v>
      </c>
      <c r="W104" s="65">
        <f t="shared" si="93"/>
        <v>132</v>
      </c>
      <c r="X104" s="65">
        <f t="shared" si="93"/>
        <v>176</v>
      </c>
      <c r="Y104" s="65">
        <f t="shared" si="93"/>
        <v>264</v>
      </c>
      <c r="Z104" s="70"/>
      <c r="AA104" s="70"/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48" t="str">
        <f t="shared" si="94"/>
        <v>迦納塞地</v>
      </c>
      <c r="D105" s="48" t="str">
        <f t="shared" si="94"/>
        <v/>
      </c>
      <c r="E105" s="64">
        <f t="shared" si="94"/>
        <v>0.002</v>
      </c>
      <c r="F105" s="65">
        <f t="shared" ref="F105:Y105" si="95">HLOOKUP(F52,$F$1:$AI$2,2) * $D$1 * $E105</f>
        <v>0.352</v>
      </c>
      <c r="G105" s="65">
        <f t="shared" si="95"/>
        <v>0.88</v>
      </c>
      <c r="H105" s="65">
        <f t="shared" si="95"/>
        <v>1.76</v>
      </c>
      <c r="I105" s="65">
        <f t="shared" si="95"/>
        <v>2.64</v>
      </c>
      <c r="J105" s="65">
        <f t="shared" si="95"/>
        <v>3.52</v>
      </c>
      <c r="K105" s="65">
        <f t="shared" si="95"/>
        <v>5.28</v>
      </c>
      <c r="L105" s="65">
        <f t="shared" si="95"/>
        <v>7.04</v>
      </c>
      <c r="M105" s="65">
        <f t="shared" si="95"/>
        <v>8.8</v>
      </c>
      <c r="N105" s="65">
        <f t="shared" si="95"/>
        <v>17.6</v>
      </c>
      <c r="O105" s="65">
        <f t="shared" si="95"/>
        <v>26.4</v>
      </c>
      <c r="P105" s="65">
        <f t="shared" si="95"/>
        <v>35.2</v>
      </c>
      <c r="Q105" s="65">
        <f t="shared" si="95"/>
        <v>52.8</v>
      </c>
      <c r="R105" s="65">
        <f t="shared" si="95"/>
        <v>70.4</v>
      </c>
      <c r="S105" s="65">
        <f t="shared" si="95"/>
        <v>79.2</v>
      </c>
      <c r="T105" s="65">
        <f t="shared" si="95"/>
        <v>88</v>
      </c>
      <c r="U105" s="65">
        <f t="shared" si="95"/>
        <v>105.6</v>
      </c>
      <c r="V105" s="65">
        <f t="shared" si="95"/>
        <v>132</v>
      </c>
      <c r="W105" s="65">
        <f t="shared" si="95"/>
        <v>176</v>
      </c>
      <c r="X105" s="65">
        <f t="shared" si="95"/>
        <v>264</v>
      </c>
      <c r="Y105" s="65">
        <f t="shared" si="95"/>
        <v>308</v>
      </c>
      <c r="Z105" s="70"/>
      <c r="AA105" s="70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48" t="str">
        <f t="shared" si="96"/>
        <v>RCC幣</v>
      </c>
      <c r="D106" s="48" t="str">
        <f t="shared" si="96"/>
        <v/>
      </c>
      <c r="E106" s="64">
        <f t="shared" si="96"/>
        <v>0.002</v>
      </c>
      <c r="F106" s="65">
        <f t="shared" ref="F106:Y106" si="97">HLOOKUP(F53,$F$1:$AI$2,2) * $D$1 * $E106</f>
        <v>0.176</v>
      </c>
      <c r="G106" s="65">
        <f t="shared" si="97"/>
        <v>0.352</v>
      </c>
      <c r="H106" s="65">
        <f t="shared" si="97"/>
        <v>0.88</v>
      </c>
      <c r="I106" s="65">
        <f t="shared" si="97"/>
        <v>1.76</v>
      </c>
      <c r="J106" s="65">
        <f t="shared" si="97"/>
        <v>2.64</v>
      </c>
      <c r="K106" s="65">
        <f t="shared" si="97"/>
        <v>3.52</v>
      </c>
      <c r="L106" s="65">
        <f t="shared" si="97"/>
        <v>5.28</v>
      </c>
      <c r="M106" s="65">
        <f t="shared" si="97"/>
        <v>7.04</v>
      </c>
      <c r="N106" s="65">
        <f t="shared" si="97"/>
        <v>8.8</v>
      </c>
      <c r="O106" s="65">
        <f t="shared" si="97"/>
        <v>10.56</v>
      </c>
      <c r="P106" s="65">
        <f t="shared" si="97"/>
        <v>17.6</v>
      </c>
      <c r="Q106" s="65">
        <f t="shared" si="97"/>
        <v>21.12</v>
      </c>
      <c r="R106" s="65">
        <f t="shared" si="97"/>
        <v>26.4</v>
      </c>
      <c r="S106" s="65">
        <f t="shared" si="97"/>
        <v>35.2</v>
      </c>
      <c r="T106" s="65">
        <f t="shared" si="97"/>
        <v>44</v>
      </c>
      <c r="U106" s="65">
        <f t="shared" si="97"/>
        <v>52.8</v>
      </c>
      <c r="V106" s="65">
        <f t="shared" si="97"/>
        <v>61.6</v>
      </c>
      <c r="W106" s="65">
        <f t="shared" si="97"/>
        <v>70.4</v>
      </c>
      <c r="X106" s="65">
        <f t="shared" si="97"/>
        <v>79.2</v>
      </c>
      <c r="Y106" s="65">
        <f t="shared" si="97"/>
        <v>88</v>
      </c>
      <c r="Z106" s="70"/>
      <c r="AA106" s="70"/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48" t="str">
        <f t="shared" si="98"/>
        <v>爸幣</v>
      </c>
      <c r="D107" s="48" t="str">
        <f t="shared" si="98"/>
        <v/>
      </c>
      <c r="E107" s="64">
        <f t="shared" si="98"/>
        <v>0.01</v>
      </c>
      <c r="F107" s="65">
        <f t="shared" ref="F107:Y107" si="99">HLOOKUP(F54,$F$1:$AI$2,2) * $D$1 * $E107</f>
        <v>8.8</v>
      </c>
      <c r="G107" s="65">
        <f t="shared" si="99"/>
        <v>17.6</v>
      </c>
      <c r="H107" s="65">
        <f t="shared" si="99"/>
        <v>26.4</v>
      </c>
      <c r="I107" s="65">
        <f t="shared" si="99"/>
        <v>35.2</v>
      </c>
      <c r="J107" s="65">
        <f t="shared" si="99"/>
        <v>44</v>
      </c>
      <c r="K107" s="65">
        <f t="shared" si="99"/>
        <v>52.8</v>
      </c>
      <c r="L107" s="65">
        <f t="shared" si="99"/>
        <v>88</v>
      </c>
      <c r="M107" s="65">
        <f t="shared" si="99"/>
        <v>132</v>
      </c>
      <c r="N107" s="65">
        <f t="shared" si="99"/>
        <v>176</v>
      </c>
      <c r="O107" s="65">
        <f t="shared" si="99"/>
        <v>264</v>
      </c>
      <c r="P107" s="65">
        <f t="shared" si="99"/>
        <v>352</v>
      </c>
      <c r="Q107" s="65">
        <f t="shared" si="99"/>
        <v>440</v>
      </c>
      <c r="R107" s="65">
        <f t="shared" si="99"/>
        <v>528</v>
      </c>
      <c r="S107" s="65">
        <f t="shared" si="99"/>
        <v>880</v>
      </c>
      <c r="T107" s="65">
        <f t="shared" si="99"/>
        <v>1320</v>
      </c>
      <c r="U107" s="65">
        <f t="shared" si="99"/>
        <v>1760</v>
      </c>
      <c r="V107" s="65">
        <f t="shared" si="99"/>
        <v>2640</v>
      </c>
      <c r="W107" s="65">
        <f t="shared" si="99"/>
        <v>3520</v>
      </c>
      <c r="X107" s="65">
        <f t="shared" si="99"/>
        <v>4400</v>
      </c>
      <c r="Y107" s="65">
        <f t="shared" si="99"/>
        <v>5280</v>
      </c>
      <c r="Z107" s="70"/>
      <c r="AA107" s="70"/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48" t="str">
        <f t="shared" si="100"/>
        <v>星城馬來西亞</v>
      </c>
      <c r="D108" s="48" t="str">
        <f t="shared" si="100"/>
        <v/>
      </c>
      <c r="E108" s="64">
        <f t="shared" si="100"/>
        <v>1</v>
      </c>
      <c r="F108" s="65">
        <f t="shared" ref="F108:Y108" si="101">HLOOKUP(F55,$F$1:$AI$2,2) * $D$1 * $E108</f>
        <v>88</v>
      </c>
      <c r="G108" s="65">
        <f t="shared" si="101"/>
        <v>176</v>
      </c>
      <c r="H108" s="65">
        <f t="shared" si="101"/>
        <v>440</v>
      </c>
      <c r="I108" s="65">
        <f t="shared" si="101"/>
        <v>880</v>
      </c>
      <c r="J108" s="65">
        <f t="shared" si="101"/>
        <v>1320</v>
      </c>
      <c r="K108" s="65">
        <f t="shared" si="101"/>
        <v>1760</v>
      </c>
      <c r="L108" s="65">
        <f t="shared" si="101"/>
        <v>2640</v>
      </c>
      <c r="M108" s="65">
        <f t="shared" si="101"/>
        <v>3520</v>
      </c>
      <c r="N108" s="65">
        <f t="shared" si="101"/>
        <v>4400</v>
      </c>
      <c r="O108" s="65">
        <f t="shared" si="101"/>
        <v>5280</v>
      </c>
      <c r="P108" s="65">
        <f t="shared" si="101"/>
        <v>8800</v>
      </c>
      <c r="Q108" s="65">
        <f t="shared" si="101"/>
        <v>13200</v>
      </c>
      <c r="R108" s="65">
        <f t="shared" si="101"/>
        <v>17600</v>
      </c>
      <c r="S108" s="65">
        <f t="shared" si="101"/>
        <v>26400</v>
      </c>
      <c r="T108" s="65">
        <f t="shared" si="101"/>
        <v>30800</v>
      </c>
      <c r="U108" s="65">
        <f t="shared" si="101"/>
        <v>35200</v>
      </c>
      <c r="V108" s="65">
        <f t="shared" si="101"/>
        <v>39600</v>
      </c>
      <c r="W108" s="65">
        <f t="shared" si="101"/>
        <v>44000</v>
      </c>
      <c r="X108" s="65">
        <f t="shared" si="101"/>
        <v>52800</v>
      </c>
      <c r="Y108" s="65">
        <f t="shared" si="101"/>
        <v>66000</v>
      </c>
      <c r="Z108" s="70"/>
      <c r="AA108" s="70"/>
    </row>
    <row r="109" ht="16.5" customHeight="1">
      <c r="C109" s="22"/>
      <c r="E109" s="71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</row>
    <row r="110" ht="16.5" customHeight="1">
      <c r="C110" s="22"/>
      <c r="E110" s="71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ht="16.5" customHeight="1">
      <c r="C111" s="22"/>
      <c r="E111" s="71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ht="16.5" customHeight="1">
      <c r="C112" s="22"/>
      <c r="E112" s="71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ht="16.5" customHeight="1">
      <c r="C113" s="22"/>
      <c r="E113" s="71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ht="16.5" customHeight="1">
      <c r="C114" s="22"/>
      <c r="E114" s="71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ht="16.5" customHeight="1">
      <c r="C115" s="22"/>
      <c r="E115" s="71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</row>
    <row r="116" ht="16.5" customHeight="1">
      <c r="C116" s="22"/>
      <c r="E116" s="71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ht="16.5" customHeight="1">
      <c r="C117" s="22"/>
      <c r="E117" s="71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ht="16.5" customHeight="1">
      <c r="C118" s="22"/>
      <c r="E118" s="71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ht="16.5" customHeight="1">
      <c r="C119" s="22"/>
      <c r="E119" s="71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ht="16.5" customHeight="1">
      <c r="C120" s="22"/>
      <c r="E120" s="71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ht="16.5" customHeight="1">
      <c r="C121" s="22"/>
      <c r="E121" s="71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ht="16.5" customHeight="1">
      <c r="C122" s="22"/>
      <c r="E122" s="71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ht="16.5" customHeight="1">
      <c r="C123" s="22"/>
      <c r="E123" s="71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ht="16.5" customHeight="1">
      <c r="C124" s="22"/>
      <c r="E124" s="71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ht="16.5" customHeight="1">
      <c r="C125" s="22"/>
      <c r="E125" s="71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ht="16.5" customHeight="1">
      <c r="C126" s="22"/>
      <c r="E126" s="71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ht="16.5" customHeight="1">
      <c r="C127" s="22"/>
      <c r="E127" s="71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ht="16.5" customHeight="1">
      <c r="C128" s="22"/>
      <c r="E128" s="71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ht="16.5" customHeight="1">
      <c r="C129" s="22"/>
      <c r="E129" s="71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</row>
    <row r="130" ht="16.5" customHeight="1">
      <c r="C130" s="22"/>
      <c r="E130" s="71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ht="16.5" customHeight="1">
      <c r="C131" s="22"/>
      <c r="E131" s="71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ht="16.5" customHeight="1">
      <c r="C132" s="22"/>
      <c r="E132" s="71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ht="16.5" customHeight="1">
      <c r="C133" s="22"/>
      <c r="E133" s="71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ht="16.5" customHeight="1">
      <c r="C134" s="22"/>
      <c r="E134" s="71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ht="16.5" customHeight="1">
      <c r="C135" s="22"/>
      <c r="E135" s="71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ht="16.5" customHeight="1">
      <c r="C136" s="22"/>
      <c r="E136" s="71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ht="16.5" customHeight="1">
      <c r="C137" s="22"/>
      <c r="E137" s="71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ht="16.5" customHeight="1">
      <c r="C138" s="22"/>
      <c r="E138" s="71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ht="16.5" customHeight="1">
      <c r="C139" s="22"/>
      <c r="E139" s="71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ht="16.5" customHeight="1">
      <c r="C140" s="22"/>
      <c r="E140" s="71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ht="16.5" customHeight="1">
      <c r="C141" s="22"/>
      <c r="E141" s="71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ht="16.5" customHeight="1">
      <c r="C142" s="22"/>
      <c r="E142" s="71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ht="16.5" customHeight="1">
      <c r="C143" s="22"/>
      <c r="E143" s="71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</sheetData>
  <mergeCells count="7">
    <mergeCell ref="A1:A2"/>
    <mergeCell ref="B1:B2"/>
    <mergeCell ref="C1:C2"/>
    <mergeCell ref="D1:D2"/>
    <mergeCell ref="E1:E2"/>
    <mergeCell ref="AA5:AA47"/>
    <mergeCell ref="AA58:AA100"/>
  </mergeCells>
  <conditionalFormatting sqref="Z59:Z100">
    <cfRule type="cellIs" dxfId="0" priority="1" operator="lessThan">
      <formula>0.2</formula>
    </cfRule>
  </conditionalFormatting>
  <conditionalFormatting sqref="AE6:AE47 AE53:AE55">
    <cfRule type="cellIs" dxfId="0" priority="2" operator="lessThan">
      <formula>20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5.0</v>
      </c>
      <c r="H2" s="37">
        <v>10.0</v>
      </c>
      <c r="I2" s="37">
        <v>50.0</v>
      </c>
      <c r="J2" s="37">
        <v>100.0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8"/>
      <c r="AI2" s="38"/>
    </row>
    <row r="3" ht="16.5" customHeight="1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C3" s="39"/>
      <c r="AD3" s="39"/>
      <c r="AE3" s="39"/>
      <c r="AF3" s="39"/>
      <c r="AG3" s="39"/>
      <c r="AH3" s="39"/>
      <c r="AI3" s="39"/>
    </row>
    <row r="4" ht="16.5" customHeigh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ht="16.5" customHeight="1">
      <c r="A5" s="43" t="s">
        <v>45</v>
      </c>
      <c r="B5" s="44" t="s">
        <v>46</v>
      </c>
      <c r="C5" s="44" t="s">
        <v>47</v>
      </c>
      <c r="D5" s="44" t="s">
        <v>48</v>
      </c>
      <c r="E5" s="44" t="s">
        <v>49</v>
      </c>
      <c r="F5" s="44" t="s">
        <v>50</v>
      </c>
      <c r="G5" s="44" t="s">
        <v>51</v>
      </c>
      <c r="H5" s="44" t="s">
        <v>52</v>
      </c>
      <c r="I5" s="44" t="s">
        <v>53</v>
      </c>
      <c r="J5" s="44" t="s">
        <v>54</v>
      </c>
      <c r="K5" s="44" t="s">
        <v>55</v>
      </c>
      <c r="L5" s="44" t="s">
        <v>56</v>
      </c>
      <c r="M5" s="44" t="s">
        <v>57</v>
      </c>
      <c r="N5" s="44" t="s">
        <v>58</v>
      </c>
      <c r="O5" s="44" t="s">
        <v>59</v>
      </c>
      <c r="P5" s="44" t="s">
        <v>60</v>
      </c>
      <c r="Q5" s="44" t="s">
        <v>61</v>
      </c>
      <c r="R5" s="44" t="s">
        <v>62</v>
      </c>
      <c r="S5" s="44" t="s">
        <v>63</v>
      </c>
      <c r="T5" s="44" t="s">
        <v>64</v>
      </c>
      <c r="U5" s="44" t="s">
        <v>65</v>
      </c>
      <c r="V5" s="44" t="s">
        <v>66</v>
      </c>
      <c r="W5" s="44" t="s">
        <v>67</v>
      </c>
      <c r="X5" s="44" t="s">
        <v>68</v>
      </c>
      <c r="Y5" s="44" t="s">
        <v>69</v>
      </c>
      <c r="Z5" s="45"/>
      <c r="AA5" s="46" t="s">
        <v>70</v>
      </c>
      <c r="AI5" s="47"/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49">
        <v>1.0</v>
      </c>
      <c r="F6" s="50">
        <v>1.0</v>
      </c>
      <c r="G6" s="50">
        <v>2.0</v>
      </c>
      <c r="H6" s="50">
        <v>3.0</v>
      </c>
      <c r="I6" s="50">
        <v>4.0</v>
      </c>
      <c r="J6" s="50">
        <v>5.0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1"/>
      <c r="AA6" s="52"/>
      <c r="AH6" s="2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49">
        <v>1.0</v>
      </c>
      <c r="F7" s="50">
        <v>1.0</v>
      </c>
      <c r="G7" s="50">
        <v>2.0</v>
      </c>
      <c r="H7" s="50">
        <v>3.0</v>
      </c>
      <c r="I7" s="50">
        <v>4.0</v>
      </c>
      <c r="J7" s="50">
        <v>5.0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2"/>
      <c r="AG7" s="2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49">
        <v>1.0</v>
      </c>
      <c r="F8" s="50">
        <v>1.0</v>
      </c>
      <c r="G8" s="50">
        <v>2.0</v>
      </c>
      <c r="H8" s="50">
        <v>3.0</v>
      </c>
      <c r="I8" s="50">
        <v>4.0</v>
      </c>
      <c r="J8" s="50">
        <v>5.0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  <c r="AA8" s="52"/>
      <c r="AG8" s="2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49">
        <v>1.0</v>
      </c>
      <c r="F9" s="50">
        <v>1.0</v>
      </c>
      <c r="G9" s="50">
        <v>2.0</v>
      </c>
      <c r="H9" s="50">
        <v>3.0</v>
      </c>
      <c r="I9" s="50">
        <v>4.0</v>
      </c>
      <c r="J9" s="50">
        <v>5.0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52"/>
      <c r="AG9" s="2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49">
        <v>1.0</v>
      </c>
      <c r="F10" s="50">
        <v>1.0</v>
      </c>
      <c r="G10" s="50">
        <v>2.0</v>
      </c>
      <c r="H10" s="50">
        <v>3.0</v>
      </c>
      <c r="I10" s="50">
        <v>4.0</v>
      </c>
      <c r="J10" s="50">
        <v>5.0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52"/>
      <c r="AG10" s="22"/>
      <c r="AH10" s="2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49">
        <v>1.0</v>
      </c>
      <c r="F11" s="50">
        <v>1.0</v>
      </c>
      <c r="G11" s="50">
        <v>2.0</v>
      </c>
      <c r="H11" s="50">
        <v>3.0</v>
      </c>
      <c r="I11" s="50">
        <v>4.0</v>
      </c>
      <c r="J11" s="50">
        <v>5.0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52"/>
      <c r="AG11" s="2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49">
        <v>1.0</v>
      </c>
      <c r="F12" s="50">
        <v>1.0</v>
      </c>
      <c r="G12" s="50">
        <v>2.0</v>
      </c>
      <c r="H12" s="50">
        <v>3.0</v>
      </c>
      <c r="I12" s="50">
        <v>4.0</v>
      </c>
      <c r="J12" s="50">
        <v>5.0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49">
        <v>1.0</v>
      </c>
      <c r="F13" s="50">
        <v>1.0</v>
      </c>
      <c r="G13" s="50">
        <v>2.0</v>
      </c>
      <c r="H13" s="50">
        <v>3.0</v>
      </c>
      <c r="I13" s="50">
        <v>4.0</v>
      </c>
      <c r="J13" s="50">
        <v>5.0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49">
        <v>1.0</v>
      </c>
      <c r="F14" s="50">
        <v>1.0</v>
      </c>
      <c r="G14" s="50">
        <v>2.0</v>
      </c>
      <c r="H14" s="50">
        <v>3.0</v>
      </c>
      <c r="I14" s="50">
        <v>4.0</v>
      </c>
      <c r="J14" s="50">
        <v>5.0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49">
        <v>1.0</v>
      </c>
      <c r="F15" s="50">
        <v>1.0</v>
      </c>
      <c r="G15" s="50">
        <v>2.0</v>
      </c>
      <c r="H15" s="50">
        <v>3.0</v>
      </c>
      <c r="I15" s="50">
        <v>4.0</v>
      </c>
      <c r="J15" s="50">
        <v>5.0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49">
        <v>1.0</v>
      </c>
      <c r="F16" s="50">
        <v>1.0</v>
      </c>
      <c r="G16" s="50">
        <v>2.0</v>
      </c>
      <c r="H16" s="50">
        <v>3.0</v>
      </c>
      <c r="I16" s="50">
        <v>4.0</v>
      </c>
      <c r="J16" s="50">
        <v>5.0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49">
        <v>1.0</v>
      </c>
      <c r="F17" s="50">
        <v>1.0</v>
      </c>
      <c r="G17" s="50">
        <v>2.0</v>
      </c>
      <c r="H17" s="50">
        <v>3.0</v>
      </c>
      <c r="I17" s="50">
        <v>4.0</v>
      </c>
      <c r="J17" s="50">
        <v>5.0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49">
        <v>1.0</v>
      </c>
      <c r="F18" s="50">
        <v>1.0</v>
      </c>
      <c r="G18" s="50">
        <v>2.0</v>
      </c>
      <c r="H18" s="50">
        <v>3.0</v>
      </c>
      <c r="I18" s="50">
        <v>4.0</v>
      </c>
      <c r="J18" s="50">
        <v>5.0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49">
        <v>1.0</v>
      </c>
      <c r="F19" s="50">
        <v>1.0</v>
      </c>
      <c r="G19" s="50">
        <v>2.0</v>
      </c>
      <c r="H19" s="50">
        <v>3.0</v>
      </c>
      <c r="I19" s="50">
        <v>4.0</v>
      </c>
      <c r="J19" s="50">
        <v>5.0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49">
        <v>1.0</v>
      </c>
      <c r="F20" s="50">
        <v>1.0</v>
      </c>
      <c r="G20" s="50">
        <v>2.0</v>
      </c>
      <c r="H20" s="50">
        <v>3.0</v>
      </c>
      <c r="I20" s="50">
        <v>4.0</v>
      </c>
      <c r="J20" s="50">
        <v>5.0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49">
        <v>1.0</v>
      </c>
      <c r="F21" s="50">
        <v>1.0</v>
      </c>
      <c r="G21" s="50">
        <v>2.0</v>
      </c>
      <c r="H21" s="50">
        <v>3.0</v>
      </c>
      <c r="I21" s="50">
        <v>4.0</v>
      </c>
      <c r="J21" s="50">
        <v>5.0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49">
        <v>1.0</v>
      </c>
      <c r="F22" s="50">
        <v>1.0</v>
      </c>
      <c r="G22" s="50">
        <v>2.0</v>
      </c>
      <c r="H22" s="50">
        <v>3.0</v>
      </c>
      <c r="I22" s="50">
        <v>4.0</v>
      </c>
      <c r="J22" s="50">
        <v>5.0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49">
        <v>1.0</v>
      </c>
      <c r="F23" s="50">
        <v>1.0</v>
      </c>
      <c r="G23" s="50">
        <v>2.0</v>
      </c>
      <c r="H23" s="50">
        <v>3.0</v>
      </c>
      <c r="I23" s="50">
        <v>4.0</v>
      </c>
      <c r="J23" s="50">
        <v>5.0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49">
        <v>1.0</v>
      </c>
      <c r="F24" s="50">
        <v>1.0</v>
      </c>
      <c r="G24" s="50">
        <v>2.0</v>
      </c>
      <c r="H24" s="50">
        <v>3.0</v>
      </c>
      <c r="I24" s="50">
        <v>4.0</v>
      </c>
      <c r="J24" s="50">
        <v>5.0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49">
        <v>1.0</v>
      </c>
      <c r="F25" s="50">
        <v>1.0</v>
      </c>
      <c r="G25" s="50">
        <v>2.0</v>
      </c>
      <c r="H25" s="50">
        <v>3.0</v>
      </c>
      <c r="I25" s="50">
        <v>4.0</v>
      </c>
      <c r="J25" s="50">
        <v>5.0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49">
        <v>1.0</v>
      </c>
      <c r="F26" s="50">
        <v>1.0</v>
      </c>
      <c r="G26" s="50">
        <v>2.0</v>
      </c>
      <c r="H26" s="50">
        <v>3.0</v>
      </c>
      <c r="I26" s="50">
        <v>4.0</v>
      </c>
      <c r="J26" s="50">
        <v>5.0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49">
        <v>1.0</v>
      </c>
      <c r="F27" s="50">
        <v>1.0</v>
      </c>
      <c r="G27" s="50">
        <v>2.0</v>
      </c>
      <c r="H27" s="50">
        <v>3.0</v>
      </c>
      <c r="I27" s="50">
        <v>4.0</v>
      </c>
      <c r="J27" s="50">
        <v>5.0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49">
        <v>1.0</v>
      </c>
      <c r="F28" s="50">
        <v>1.0</v>
      </c>
      <c r="G28" s="50">
        <v>2.0</v>
      </c>
      <c r="H28" s="50">
        <v>3.0</v>
      </c>
      <c r="I28" s="50">
        <v>4.0</v>
      </c>
      <c r="J28" s="50">
        <v>5.0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49">
        <v>1.0</v>
      </c>
      <c r="F29" s="50">
        <v>1.0</v>
      </c>
      <c r="G29" s="50">
        <v>2.0</v>
      </c>
      <c r="H29" s="50">
        <v>3.0</v>
      </c>
      <c r="I29" s="50">
        <v>4.0</v>
      </c>
      <c r="J29" s="50">
        <v>5.0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49">
        <v>1.0</v>
      </c>
      <c r="F30" s="50">
        <v>1.0</v>
      </c>
      <c r="G30" s="50">
        <v>2.0</v>
      </c>
      <c r="H30" s="50">
        <v>3.0</v>
      </c>
      <c r="I30" s="50">
        <v>4.0</v>
      </c>
      <c r="J30" s="50">
        <v>5.0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49">
        <v>1.0</v>
      </c>
      <c r="F31" s="50">
        <v>1.0</v>
      </c>
      <c r="G31" s="50">
        <v>2.0</v>
      </c>
      <c r="H31" s="50">
        <v>3.0</v>
      </c>
      <c r="I31" s="50">
        <v>4.0</v>
      </c>
      <c r="J31" s="50">
        <v>5.0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49">
        <v>1.0</v>
      </c>
      <c r="F32" s="50">
        <v>1.0</v>
      </c>
      <c r="G32" s="50">
        <v>2.0</v>
      </c>
      <c r="H32" s="50">
        <v>3.0</v>
      </c>
      <c r="I32" s="50">
        <v>4.0</v>
      </c>
      <c r="J32" s="50">
        <v>5.0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49">
        <v>1.0</v>
      </c>
      <c r="F33" s="50">
        <v>1.0</v>
      </c>
      <c r="G33" s="50">
        <v>2.0</v>
      </c>
      <c r="H33" s="50">
        <v>3.0</v>
      </c>
      <c r="I33" s="50">
        <v>4.0</v>
      </c>
      <c r="J33" s="50">
        <v>5.0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49">
        <v>1.0</v>
      </c>
      <c r="F34" s="50">
        <v>1.0</v>
      </c>
      <c r="G34" s="50">
        <v>2.0</v>
      </c>
      <c r="H34" s="50">
        <v>3.0</v>
      </c>
      <c r="I34" s="50">
        <v>4.0</v>
      </c>
      <c r="J34" s="50">
        <v>5.0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49">
        <v>1.0</v>
      </c>
      <c r="F35" s="50">
        <v>1.0</v>
      </c>
      <c r="G35" s="50">
        <v>2.0</v>
      </c>
      <c r="H35" s="50">
        <v>3.0</v>
      </c>
      <c r="I35" s="50">
        <v>4.0</v>
      </c>
      <c r="J35" s="50">
        <v>5.0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49">
        <v>1.0</v>
      </c>
      <c r="F36" s="50">
        <v>1.0</v>
      </c>
      <c r="G36" s="50">
        <v>2.0</v>
      </c>
      <c r="H36" s="50">
        <v>3.0</v>
      </c>
      <c r="I36" s="50">
        <v>4.0</v>
      </c>
      <c r="J36" s="50">
        <v>5.0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49">
        <v>1.0</v>
      </c>
      <c r="F37" s="50">
        <v>1.0</v>
      </c>
      <c r="G37" s="50">
        <v>2.0</v>
      </c>
      <c r="H37" s="50">
        <v>3.0</v>
      </c>
      <c r="I37" s="50">
        <v>4.0</v>
      </c>
      <c r="J37" s="50">
        <v>5.0</v>
      </c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49">
        <v>1.0</v>
      </c>
      <c r="F38" s="50">
        <v>1.0</v>
      </c>
      <c r="G38" s="50">
        <v>2.0</v>
      </c>
      <c r="H38" s="50">
        <v>3.0</v>
      </c>
      <c r="I38" s="50">
        <v>4.0</v>
      </c>
      <c r="J38" s="50">
        <v>5.0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49">
        <v>1.0</v>
      </c>
      <c r="F39" s="50">
        <v>1.0</v>
      </c>
      <c r="G39" s="50">
        <v>2.0</v>
      </c>
      <c r="H39" s="50">
        <v>3.0</v>
      </c>
      <c r="I39" s="50">
        <v>4.0</v>
      </c>
      <c r="J39" s="50">
        <v>5.0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49">
        <v>1.0</v>
      </c>
      <c r="F40" s="50">
        <v>1.0</v>
      </c>
      <c r="G40" s="50">
        <v>2.0</v>
      </c>
      <c r="H40" s="50">
        <v>3.0</v>
      </c>
      <c r="I40" s="50">
        <v>4.0</v>
      </c>
      <c r="J40" s="50">
        <v>5.0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49">
        <v>1.0</v>
      </c>
      <c r="F41" s="50">
        <v>1.0</v>
      </c>
      <c r="G41" s="50">
        <v>2.0</v>
      </c>
      <c r="H41" s="50">
        <v>3.0</v>
      </c>
      <c r="I41" s="50">
        <v>4.0</v>
      </c>
      <c r="J41" s="50">
        <v>5.0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49">
        <v>1.0</v>
      </c>
      <c r="F42" s="50">
        <v>1.0</v>
      </c>
      <c r="G42" s="50">
        <v>2.0</v>
      </c>
      <c r="H42" s="50">
        <v>3.0</v>
      </c>
      <c r="I42" s="50">
        <v>4.0</v>
      </c>
      <c r="J42" s="50">
        <v>5.0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49">
        <v>1.0</v>
      </c>
      <c r="F43" s="50">
        <v>1.0</v>
      </c>
      <c r="G43" s="50">
        <v>2.0</v>
      </c>
      <c r="H43" s="50">
        <v>3.0</v>
      </c>
      <c r="I43" s="50">
        <v>4.0</v>
      </c>
      <c r="J43" s="50">
        <v>5.0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49">
        <v>1.0</v>
      </c>
      <c r="F44" s="50">
        <v>1.0</v>
      </c>
      <c r="G44" s="50">
        <v>2.0</v>
      </c>
      <c r="H44" s="50">
        <v>3.0</v>
      </c>
      <c r="I44" s="50">
        <v>4.0</v>
      </c>
      <c r="J44" s="50">
        <v>5.0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49">
        <v>1.0</v>
      </c>
      <c r="F45" s="50">
        <v>1.0</v>
      </c>
      <c r="G45" s="50">
        <v>2.0</v>
      </c>
      <c r="H45" s="50">
        <v>3.0</v>
      </c>
      <c r="I45" s="50">
        <v>4.0</v>
      </c>
      <c r="J45" s="50">
        <v>5.0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49">
        <v>1.0</v>
      </c>
      <c r="F46" s="50">
        <v>1.0</v>
      </c>
      <c r="G46" s="50">
        <v>2.0</v>
      </c>
      <c r="H46" s="50">
        <v>3.0</v>
      </c>
      <c r="I46" s="50">
        <v>4.0</v>
      </c>
      <c r="J46" s="50">
        <v>5.0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49">
        <v>1.0</v>
      </c>
      <c r="F47" s="50">
        <v>1.0</v>
      </c>
      <c r="G47" s="50">
        <v>2.0</v>
      </c>
      <c r="H47" s="50">
        <v>3.0</v>
      </c>
      <c r="I47" s="50">
        <v>4.0</v>
      </c>
      <c r="J47" s="50">
        <v>5.0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49">
        <v>1.0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3"/>
    </row>
    <row r="49" ht="23.25" customHeight="1">
      <c r="A49" s="54" t="str">
        <f>'試算-SLOT'!A49</f>
        <v>DZD</v>
      </c>
      <c r="B49" s="54" t="str">
        <f>'試算-SLOT'!B49</f>
        <v>دج</v>
      </c>
      <c r="C49" s="54" t="str">
        <f>'試算-SLOT'!C49</f>
        <v>阿爾及利亞第納爾</v>
      </c>
      <c r="D49" s="54" t="str">
        <f>IF('試算-SLOT'!D49=1,"",'試算-SLOT'!D49)</f>
        <v/>
      </c>
      <c r="E49" s="55">
        <v>1.0</v>
      </c>
      <c r="F49" s="50">
        <v>1.0</v>
      </c>
      <c r="G49" s="50">
        <v>2.0</v>
      </c>
      <c r="H49" s="50">
        <v>3.0</v>
      </c>
      <c r="I49" s="50">
        <v>4.0</v>
      </c>
      <c r="J49" s="50">
        <v>5.0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3"/>
      <c r="AA49" s="22"/>
      <c r="AB49" s="22"/>
      <c r="AC49" s="22"/>
      <c r="AD49" s="22"/>
      <c r="AE49" s="22"/>
      <c r="AF49" s="22"/>
      <c r="AG49" s="22"/>
      <c r="AH49" s="22"/>
      <c r="AI49" s="22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49">
        <v>1.0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3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49">
        <v>1.0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3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49">
        <v>1.0</v>
      </c>
      <c r="F52" s="50">
        <v>1.0</v>
      </c>
      <c r="G52" s="50">
        <v>2.0</v>
      </c>
      <c r="H52" s="50">
        <v>3.0</v>
      </c>
      <c r="I52" s="50">
        <v>4.0</v>
      </c>
      <c r="J52" s="50">
        <v>5.0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3"/>
    </row>
    <row r="53" ht="16.5" customHeight="1">
      <c r="A53" s="48" t="str">
        <f>'試算-SLOT'!A53</f>
        <v>RCC</v>
      </c>
      <c r="B53" s="48" t="str">
        <f>'試算-SLOT'!B53</f>
        <v/>
      </c>
      <c r="C53" s="48" t="str">
        <f>'試算-SLOT'!C53</f>
        <v>RCC幣</v>
      </c>
      <c r="D53" s="48" t="str">
        <f>IF('試算-SLOT'!D53=1,"",'試算-SLOT'!D53)</f>
        <v/>
      </c>
      <c r="E53" s="49">
        <v>1.0</v>
      </c>
      <c r="F53" s="50">
        <v>1.0</v>
      </c>
      <c r="G53" s="50">
        <v>2.0</v>
      </c>
      <c r="H53" s="50">
        <v>3.0</v>
      </c>
      <c r="I53" s="50">
        <v>4.0</v>
      </c>
      <c r="J53" s="50">
        <v>5.0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</row>
    <row r="54" ht="16.5" customHeight="1">
      <c r="A54" s="48" t="str">
        <f>'試算-SLOT'!A54</f>
        <v>KBB</v>
      </c>
      <c r="B54" s="48" t="str">
        <f>'試算-SLOT'!B54</f>
        <v/>
      </c>
      <c r="C54" s="48" t="str">
        <f>'試算-SLOT'!C54</f>
        <v>爸幣</v>
      </c>
      <c r="D54" s="48" t="str">
        <f>IF('試算-SLOT'!D54=1,"",'試算-SLOT'!D54)</f>
        <v/>
      </c>
      <c r="E54" s="49">
        <v>5.0</v>
      </c>
      <c r="F54" s="50">
        <v>1.0</v>
      </c>
      <c r="G54" s="50">
        <v>2.0</v>
      </c>
      <c r="H54" s="50">
        <v>3.0</v>
      </c>
      <c r="I54" s="50">
        <v>4.0</v>
      </c>
      <c r="J54" s="50">
        <v>5.0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7"/>
    </row>
    <row r="55" ht="16.5" customHeight="1">
      <c r="A55" s="48" t="str">
        <f>'試算-SLOT'!A55</f>
        <v>XSMY</v>
      </c>
      <c r="B55" s="48" t="str">
        <f>'試算-SLOT'!B55</f>
        <v/>
      </c>
      <c r="C55" s="48" t="str">
        <f>'試算-SLOT'!C55</f>
        <v>星城馬來西亞</v>
      </c>
      <c r="D55" s="48" t="str">
        <f>IF('試算-SLOT'!D55=1,"",'試算-SLOT'!D55)</f>
        <v/>
      </c>
      <c r="E55" s="49">
        <v>1.0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7"/>
    </row>
    <row r="56" ht="16.5" customHeight="1">
      <c r="A56" s="57"/>
      <c r="B56" s="57"/>
      <c r="C56" s="57"/>
      <c r="D56" s="57"/>
      <c r="E56" s="58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3"/>
    </row>
    <row r="57" ht="16.5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60"/>
      <c r="AA57" s="42"/>
    </row>
    <row r="58" ht="16.5" customHeight="1">
      <c r="A58" s="43" t="str">
        <f t="shared" ref="A58:Y58" si="1">A5</f>
        <v>貨幣簡稱</v>
      </c>
      <c r="B58" s="44" t="str">
        <f t="shared" si="1"/>
        <v>貨幣符號</v>
      </c>
      <c r="C58" s="44" t="str">
        <f t="shared" si="1"/>
        <v>中文名稱</v>
      </c>
      <c r="D58" s="44" t="str">
        <f t="shared" si="1"/>
        <v>貨幣轉換</v>
      </c>
      <c r="E58" s="44" t="str">
        <f t="shared" si="1"/>
        <v>Denom</v>
      </c>
      <c r="F58" s="44" t="str">
        <f t="shared" si="1"/>
        <v>第 1 組</v>
      </c>
      <c r="G58" s="44" t="str">
        <f t="shared" si="1"/>
        <v>第 2 組</v>
      </c>
      <c r="H58" s="44" t="str">
        <f t="shared" si="1"/>
        <v>第 3 組</v>
      </c>
      <c r="I58" s="44" t="str">
        <f t="shared" si="1"/>
        <v>第 4 組</v>
      </c>
      <c r="J58" s="44" t="str">
        <f t="shared" si="1"/>
        <v>第 5 組</v>
      </c>
      <c r="K58" s="44" t="str">
        <f t="shared" si="1"/>
        <v>第 6 組</v>
      </c>
      <c r="L58" s="44" t="str">
        <f t="shared" si="1"/>
        <v>第 7 組</v>
      </c>
      <c r="M58" s="44" t="str">
        <f t="shared" si="1"/>
        <v>第 8 組</v>
      </c>
      <c r="N58" s="44" t="str">
        <f t="shared" si="1"/>
        <v>第 9 組</v>
      </c>
      <c r="O58" s="44" t="str">
        <f t="shared" si="1"/>
        <v>第 10 組</v>
      </c>
      <c r="P58" s="44" t="str">
        <f t="shared" si="1"/>
        <v>第 11 組</v>
      </c>
      <c r="Q58" s="44" t="str">
        <f t="shared" si="1"/>
        <v>第 12 組</v>
      </c>
      <c r="R58" s="44" t="str">
        <f t="shared" si="1"/>
        <v>第 13 組</v>
      </c>
      <c r="S58" s="44" t="str">
        <f t="shared" si="1"/>
        <v>第 14 組</v>
      </c>
      <c r="T58" s="44" t="str">
        <f t="shared" si="1"/>
        <v>第 15 組</v>
      </c>
      <c r="U58" s="44" t="str">
        <f t="shared" si="1"/>
        <v>第 16 組</v>
      </c>
      <c r="V58" s="44" t="str">
        <f t="shared" si="1"/>
        <v>第 17 組</v>
      </c>
      <c r="W58" s="44" t="str">
        <f t="shared" si="1"/>
        <v>第 18 組</v>
      </c>
      <c r="X58" s="44" t="str">
        <f t="shared" si="1"/>
        <v>第 19 組</v>
      </c>
      <c r="Y58" s="61" t="str">
        <f t="shared" si="1"/>
        <v>第 20 組</v>
      </c>
      <c r="Z58" s="62"/>
      <c r="AA58" s="63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48" t="str">
        <f t="shared" si="2"/>
        <v>泰銖</v>
      </c>
      <c r="D59" s="48" t="str">
        <f t="shared" si="2"/>
        <v/>
      </c>
      <c r="E59" s="64">
        <f t="shared" si="2"/>
        <v>1</v>
      </c>
      <c r="F59" s="65">
        <f t="shared" ref="F59:J59" si="3">HLOOKUP(F6,$F$1:$AI$2,2) * $D$1 * $E59</f>
        <v>1</v>
      </c>
      <c r="G59" s="65">
        <f t="shared" si="3"/>
        <v>5</v>
      </c>
      <c r="H59" s="65">
        <f t="shared" si="3"/>
        <v>10</v>
      </c>
      <c r="I59" s="65">
        <f t="shared" si="3"/>
        <v>50</v>
      </c>
      <c r="J59" s="65">
        <f t="shared" si="3"/>
        <v>100</v>
      </c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6"/>
      <c r="Z59" s="67"/>
      <c r="AA59" s="68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48" t="str">
        <f t="shared" si="4"/>
        <v>港幣</v>
      </c>
      <c r="D60" s="48" t="str">
        <f t="shared" si="4"/>
        <v/>
      </c>
      <c r="E60" s="64">
        <f t="shared" si="4"/>
        <v>1</v>
      </c>
      <c r="F60" s="65">
        <f t="shared" ref="F60:J60" si="5">HLOOKUP(F7,$F$1:$AI$2,2) * $D$1 * $E60</f>
        <v>1</v>
      </c>
      <c r="G60" s="65">
        <f t="shared" si="5"/>
        <v>5</v>
      </c>
      <c r="H60" s="65">
        <f t="shared" si="5"/>
        <v>10</v>
      </c>
      <c r="I60" s="65">
        <f t="shared" si="5"/>
        <v>50</v>
      </c>
      <c r="J60" s="65">
        <f t="shared" si="5"/>
        <v>100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6"/>
      <c r="Z60" s="67"/>
      <c r="AA60" s="68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48" t="str">
        <f t="shared" si="6"/>
        <v>印度盧比</v>
      </c>
      <c r="D61" s="48" t="str">
        <f t="shared" si="6"/>
        <v/>
      </c>
      <c r="E61" s="64">
        <f t="shared" si="6"/>
        <v>1</v>
      </c>
      <c r="F61" s="65">
        <f t="shared" ref="F61:J61" si="7">HLOOKUP(F8,$F$1:$AI$2,2) * $D$1 * $E61</f>
        <v>1</v>
      </c>
      <c r="G61" s="65">
        <f t="shared" si="7"/>
        <v>5</v>
      </c>
      <c r="H61" s="65">
        <f t="shared" si="7"/>
        <v>10</v>
      </c>
      <c r="I61" s="65">
        <f t="shared" si="7"/>
        <v>50</v>
      </c>
      <c r="J61" s="65">
        <f t="shared" si="7"/>
        <v>100</v>
      </c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6"/>
      <c r="Z61" s="67"/>
      <c r="AA61" s="68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48" t="str">
        <f t="shared" si="8"/>
        <v>印尼盧比(K)</v>
      </c>
      <c r="D62" s="48">
        <f t="shared" si="8"/>
        <v>1000</v>
      </c>
      <c r="E62" s="64">
        <f t="shared" si="8"/>
        <v>1</v>
      </c>
      <c r="F62" s="65">
        <f t="shared" ref="F62:J62" si="9">HLOOKUP(F9,$F$1:$AI$2,2) * $D$1 * $E62</f>
        <v>1</v>
      </c>
      <c r="G62" s="65">
        <f t="shared" si="9"/>
        <v>5</v>
      </c>
      <c r="H62" s="65">
        <f t="shared" si="9"/>
        <v>10</v>
      </c>
      <c r="I62" s="65">
        <f t="shared" si="9"/>
        <v>50</v>
      </c>
      <c r="J62" s="65">
        <f t="shared" si="9"/>
        <v>100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6"/>
      <c r="Z62" s="67"/>
      <c r="AA62" s="68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48" t="str">
        <f t="shared" si="10"/>
        <v>越南盾(K)</v>
      </c>
      <c r="D63" s="48">
        <f t="shared" si="10"/>
        <v>1000</v>
      </c>
      <c r="E63" s="64">
        <f t="shared" si="10"/>
        <v>1</v>
      </c>
      <c r="F63" s="65">
        <f t="shared" ref="F63:J63" si="11">HLOOKUP(F10,$F$1:$AI$2,2) * $D$1 * $E63</f>
        <v>1</v>
      </c>
      <c r="G63" s="65">
        <f t="shared" si="11"/>
        <v>5</v>
      </c>
      <c r="H63" s="65">
        <f t="shared" si="11"/>
        <v>10</v>
      </c>
      <c r="I63" s="65">
        <f t="shared" si="11"/>
        <v>50</v>
      </c>
      <c r="J63" s="65">
        <f t="shared" si="11"/>
        <v>100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6"/>
      <c r="Z63" s="67"/>
      <c r="AA63" s="68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48" t="str">
        <f t="shared" si="12"/>
        <v>馬來西亞令吉</v>
      </c>
      <c r="D64" s="48" t="str">
        <f t="shared" si="12"/>
        <v/>
      </c>
      <c r="E64" s="64">
        <f t="shared" si="12"/>
        <v>1</v>
      </c>
      <c r="F64" s="65">
        <f t="shared" ref="F64:J64" si="13">HLOOKUP(F11,$F$1:$AI$2,2) * $D$1 * $E64</f>
        <v>1</v>
      </c>
      <c r="G64" s="65">
        <f t="shared" si="13"/>
        <v>5</v>
      </c>
      <c r="H64" s="65">
        <f t="shared" si="13"/>
        <v>10</v>
      </c>
      <c r="I64" s="65">
        <f t="shared" si="13"/>
        <v>50</v>
      </c>
      <c r="J64" s="65">
        <f t="shared" si="13"/>
        <v>100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6"/>
      <c r="Z64" s="67"/>
      <c r="AA64" s="68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48" t="str">
        <f t="shared" si="14"/>
        <v>新加坡幣</v>
      </c>
      <c r="D65" s="48" t="str">
        <f t="shared" si="14"/>
        <v/>
      </c>
      <c r="E65" s="64">
        <f t="shared" si="14"/>
        <v>1</v>
      </c>
      <c r="F65" s="65">
        <f t="shared" ref="F65:J65" si="15">HLOOKUP(F12,$F$1:$AI$2,2) * $D$1 * $E65</f>
        <v>1</v>
      </c>
      <c r="G65" s="65">
        <f t="shared" si="15"/>
        <v>5</v>
      </c>
      <c r="H65" s="65">
        <f t="shared" si="15"/>
        <v>10</v>
      </c>
      <c r="I65" s="65">
        <f t="shared" si="15"/>
        <v>50</v>
      </c>
      <c r="J65" s="65">
        <f t="shared" si="15"/>
        <v>100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6"/>
      <c r="Z65" s="67"/>
      <c r="AA65" s="68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48" t="str">
        <f t="shared" si="16"/>
        <v>美元</v>
      </c>
      <c r="D66" s="48" t="str">
        <f t="shared" si="16"/>
        <v/>
      </c>
      <c r="E66" s="64">
        <f t="shared" si="16"/>
        <v>1</v>
      </c>
      <c r="F66" s="65">
        <f t="shared" ref="F66:J66" si="17">HLOOKUP(F13,$F$1:$AI$2,2) * $D$1 * $E66</f>
        <v>1</v>
      </c>
      <c r="G66" s="65">
        <f t="shared" si="17"/>
        <v>5</v>
      </c>
      <c r="H66" s="65">
        <f t="shared" si="17"/>
        <v>10</v>
      </c>
      <c r="I66" s="65">
        <f t="shared" si="17"/>
        <v>50</v>
      </c>
      <c r="J66" s="65">
        <f t="shared" si="17"/>
        <v>100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6"/>
      <c r="Z66" s="67"/>
      <c r="AA66" s="68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48" t="str">
        <f t="shared" si="18"/>
        <v>孟加拉塔卡</v>
      </c>
      <c r="D67" s="48" t="str">
        <f t="shared" si="18"/>
        <v/>
      </c>
      <c r="E67" s="64">
        <f t="shared" si="18"/>
        <v>1</v>
      </c>
      <c r="F67" s="65">
        <f t="shared" ref="F67:J67" si="19">HLOOKUP(F14,$F$1:$AI$2,2) * $D$1 * $E67</f>
        <v>1</v>
      </c>
      <c r="G67" s="65">
        <f t="shared" si="19"/>
        <v>5</v>
      </c>
      <c r="H67" s="65">
        <f t="shared" si="19"/>
        <v>10</v>
      </c>
      <c r="I67" s="65">
        <f t="shared" si="19"/>
        <v>50</v>
      </c>
      <c r="J67" s="65">
        <f t="shared" si="19"/>
        <v>100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6"/>
      <c r="Z67" s="67"/>
      <c r="AA67" s="68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48" t="str">
        <f t="shared" si="20"/>
        <v>巴基斯坦盧比</v>
      </c>
      <c r="D68" s="48" t="str">
        <f t="shared" si="20"/>
        <v/>
      </c>
      <c r="E68" s="64">
        <f t="shared" si="20"/>
        <v>1</v>
      </c>
      <c r="F68" s="65">
        <f t="shared" ref="F68:J68" si="21">HLOOKUP(F15,$F$1:$AI$2,2) * $D$1 * $E68</f>
        <v>1</v>
      </c>
      <c r="G68" s="65">
        <f t="shared" si="21"/>
        <v>5</v>
      </c>
      <c r="H68" s="65">
        <f t="shared" si="21"/>
        <v>10</v>
      </c>
      <c r="I68" s="65">
        <f t="shared" si="21"/>
        <v>50</v>
      </c>
      <c r="J68" s="65">
        <f t="shared" si="21"/>
        <v>100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6"/>
      <c r="Z68" s="67"/>
      <c r="AA68" s="68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48" t="str">
        <f t="shared" si="22"/>
        <v>緬甸元(K)</v>
      </c>
      <c r="D69" s="48">
        <f t="shared" si="22"/>
        <v>1000</v>
      </c>
      <c r="E69" s="64">
        <f t="shared" si="22"/>
        <v>1</v>
      </c>
      <c r="F69" s="65">
        <f t="shared" ref="F69:J69" si="23">HLOOKUP(F16,$F$1:$AI$2,2) * $D$1 * $E69</f>
        <v>1</v>
      </c>
      <c r="G69" s="65">
        <f t="shared" si="23"/>
        <v>5</v>
      </c>
      <c r="H69" s="65">
        <f t="shared" si="23"/>
        <v>10</v>
      </c>
      <c r="I69" s="65">
        <f t="shared" si="23"/>
        <v>50</v>
      </c>
      <c r="J69" s="65">
        <f t="shared" si="23"/>
        <v>100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6"/>
      <c r="Z69" s="67"/>
      <c r="AA69" s="68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48" t="str">
        <f t="shared" si="24"/>
        <v>緬甸元(H)</v>
      </c>
      <c r="D70" s="48">
        <f t="shared" si="24"/>
        <v>100</v>
      </c>
      <c r="E70" s="64">
        <f t="shared" si="24"/>
        <v>1</v>
      </c>
      <c r="F70" s="65">
        <f t="shared" ref="F70:J70" si="25">HLOOKUP(F17,$F$1:$AI$2,2) * $D$1 * $E70</f>
        <v>1</v>
      </c>
      <c r="G70" s="65">
        <f t="shared" si="25"/>
        <v>5</v>
      </c>
      <c r="H70" s="65">
        <f t="shared" si="25"/>
        <v>10</v>
      </c>
      <c r="I70" s="65">
        <f t="shared" si="25"/>
        <v>50</v>
      </c>
      <c r="J70" s="65">
        <f t="shared" si="25"/>
        <v>100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6"/>
      <c r="Z70" s="67"/>
      <c r="AA70" s="68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48" t="str">
        <f t="shared" si="26"/>
        <v>菲律賓披索</v>
      </c>
      <c r="D71" s="48" t="str">
        <f t="shared" si="26"/>
        <v/>
      </c>
      <c r="E71" s="64">
        <f t="shared" si="26"/>
        <v>1</v>
      </c>
      <c r="F71" s="65">
        <f t="shared" ref="F71:J71" si="27">HLOOKUP(F18,$F$1:$AI$2,2) * $D$1 * $E71</f>
        <v>1</v>
      </c>
      <c r="G71" s="65">
        <f t="shared" si="27"/>
        <v>5</v>
      </c>
      <c r="H71" s="65">
        <f t="shared" si="27"/>
        <v>10</v>
      </c>
      <c r="I71" s="65">
        <f t="shared" si="27"/>
        <v>50</v>
      </c>
      <c r="J71" s="65">
        <f t="shared" si="27"/>
        <v>100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6"/>
      <c r="Z71" s="67"/>
      <c r="AA71" s="68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48" t="str">
        <f t="shared" si="28"/>
        <v>人民幣</v>
      </c>
      <c r="D72" s="48" t="str">
        <f t="shared" si="28"/>
        <v/>
      </c>
      <c r="E72" s="64">
        <f t="shared" si="28"/>
        <v>1</v>
      </c>
      <c r="F72" s="65">
        <f t="shared" ref="F72:J72" si="29">HLOOKUP(F19,$F$1:$AI$2,2) * $D$1 * $E72</f>
        <v>1</v>
      </c>
      <c r="G72" s="65">
        <f t="shared" si="29"/>
        <v>5</v>
      </c>
      <c r="H72" s="65">
        <f t="shared" si="29"/>
        <v>10</v>
      </c>
      <c r="I72" s="65">
        <f t="shared" si="29"/>
        <v>50</v>
      </c>
      <c r="J72" s="65">
        <f t="shared" si="29"/>
        <v>100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6"/>
      <c r="Z72" s="67"/>
      <c r="AA72" s="68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48" t="str">
        <f t="shared" si="30"/>
        <v>墨⻄哥披索</v>
      </c>
      <c r="D73" s="48" t="str">
        <f t="shared" si="30"/>
        <v/>
      </c>
      <c r="E73" s="64">
        <f t="shared" si="30"/>
        <v>1</v>
      </c>
      <c r="F73" s="65">
        <f t="shared" ref="F73:J73" si="31">HLOOKUP(F20,$F$1:$AI$2,2) * $D$1 * $E73</f>
        <v>1</v>
      </c>
      <c r="G73" s="65">
        <f t="shared" si="31"/>
        <v>5</v>
      </c>
      <c r="H73" s="65">
        <f t="shared" si="31"/>
        <v>10</v>
      </c>
      <c r="I73" s="65">
        <f t="shared" si="31"/>
        <v>50</v>
      </c>
      <c r="J73" s="65">
        <f t="shared" si="31"/>
        <v>100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6"/>
      <c r="Z73" s="67"/>
      <c r="AA73" s="68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48" t="str">
        <f t="shared" si="32"/>
        <v>巴西雷亞爾</v>
      </c>
      <c r="D74" s="48" t="str">
        <f t="shared" si="32"/>
        <v/>
      </c>
      <c r="E74" s="64">
        <f t="shared" si="32"/>
        <v>1</v>
      </c>
      <c r="F74" s="65">
        <f t="shared" ref="F74:J74" si="33">HLOOKUP(F21,$F$1:$AI$2,2) * $D$1 * $E74</f>
        <v>1</v>
      </c>
      <c r="G74" s="65">
        <f t="shared" si="33"/>
        <v>5</v>
      </c>
      <c r="H74" s="65">
        <f t="shared" si="33"/>
        <v>10</v>
      </c>
      <c r="I74" s="65">
        <f t="shared" si="33"/>
        <v>50</v>
      </c>
      <c r="J74" s="65">
        <f t="shared" si="33"/>
        <v>100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6"/>
      <c r="Z74" s="67"/>
      <c r="AA74" s="68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48" t="str">
        <f t="shared" si="34"/>
        <v>澳洲元</v>
      </c>
      <c r="D75" s="48" t="str">
        <f t="shared" si="34"/>
        <v/>
      </c>
      <c r="E75" s="64">
        <f t="shared" si="34"/>
        <v>1</v>
      </c>
      <c r="F75" s="65">
        <f t="shared" ref="F75:J75" si="35">HLOOKUP(F22,$F$1:$AI$2,2) * $D$1 * $E75</f>
        <v>1</v>
      </c>
      <c r="G75" s="65">
        <f t="shared" si="35"/>
        <v>5</v>
      </c>
      <c r="H75" s="65">
        <f t="shared" si="35"/>
        <v>10</v>
      </c>
      <c r="I75" s="65">
        <f t="shared" si="35"/>
        <v>50</v>
      </c>
      <c r="J75" s="65">
        <f t="shared" si="35"/>
        <v>100</v>
      </c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6"/>
      <c r="Z75" s="67"/>
      <c r="AA75" s="68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48" t="str">
        <f t="shared" si="36"/>
        <v>日圓</v>
      </c>
      <c r="D76" s="48" t="str">
        <f t="shared" si="36"/>
        <v/>
      </c>
      <c r="E76" s="64">
        <f t="shared" si="36"/>
        <v>1</v>
      </c>
      <c r="F76" s="65">
        <f t="shared" ref="F76:J76" si="37">HLOOKUP(F23,$F$1:$AI$2,2) * $D$1 * $E76</f>
        <v>1</v>
      </c>
      <c r="G76" s="65">
        <f t="shared" si="37"/>
        <v>5</v>
      </c>
      <c r="H76" s="65">
        <f t="shared" si="37"/>
        <v>10</v>
      </c>
      <c r="I76" s="65">
        <f t="shared" si="37"/>
        <v>50</v>
      </c>
      <c r="J76" s="65">
        <f t="shared" si="37"/>
        <v>100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6"/>
      <c r="Z76" s="67"/>
      <c r="AA76" s="68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48" t="str">
        <f t="shared" si="38"/>
        <v>韓圓</v>
      </c>
      <c r="D77" s="48" t="str">
        <f t="shared" si="38"/>
        <v/>
      </c>
      <c r="E77" s="64">
        <f t="shared" si="38"/>
        <v>1</v>
      </c>
      <c r="F77" s="65">
        <f t="shared" ref="F77:J77" si="39">HLOOKUP(F24,$F$1:$AI$2,2) * $D$1 * $E77</f>
        <v>1</v>
      </c>
      <c r="G77" s="65">
        <f t="shared" si="39"/>
        <v>5</v>
      </c>
      <c r="H77" s="65">
        <f t="shared" si="39"/>
        <v>10</v>
      </c>
      <c r="I77" s="65">
        <f t="shared" si="39"/>
        <v>50</v>
      </c>
      <c r="J77" s="65">
        <f t="shared" si="39"/>
        <v>100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6"/>
      <c r="Z77" s="67"/>
      <c r="AA77" s="68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48" t="str">
        <f t="shared" si="40"/>
        <v>智利披索</v>
      </c>
      <c r="D78" s="48" t="str">
        <f t="shared" si="40"/>
        <v/>
      </c>
      <c r="E78" s="64">
        <f t="shared" si="40"/>
        <v>1</v>
      </c>
      <c r="F78" s="65">
        <f t="shared" ref="F78:J78" si="41">HLOOKUP(F25,$F$1:$AI$2,2) * $D$1 * $E78</f>
        <v>1</v>
      </c>
      <c r="G78" s="65">
        <f t="shared" si="41"/>
        <v>5</v>
      </c>
      <c r="H78" s="65">
        <f t="shared" si="41"/>
        <v>10</v>
      </c>
      <c r="I78" s="65">
        <f t="shared" si="41"/>
        <v>50</v>
      </c>
      <c r="J78" s="65">
        <f t="shared" si="41"/>
        <v>100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6"/>
      <c r="Z78" s="67"/>
      <c r="AA78" s="68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48" t="str">
        <f t="shared" si="42"/>
        <v>緬甸元</v>
      </c>
      <c r="D79" s="48" t="str">
        <f t="shared" si="42"/>
        <v/>
      </c>
      <c r="E79" s="64">
        <f t="shared" si="42"/>
        <v>1</v>
      </c>
      <c r="F79" s="65">
        <f t="shared" ref="F79:J79" si="43">HLOOKUP(F26,$F$1:$AI$2,2) * $D$1 * $E79</f>
        <v>1</v>
      </c>
      <c r="G79" s="65">
        <f t="shared" si="43"/>
        <v>5</v>
      </c>
      <c r="H79" s="65">
        <f t="shared" si="43"/>
        <v>10</v>
      </c>
      <c r="I79" s="65">
        <f t="shared" si="43"/>
        <v>50</v>
      </c>
      <c r="J79" s="65">
        <f t="shared" si="43"/>
        <v>100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6"/>
      <c r="Z79" s="67"/>
      <c r="AA79" s="68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48" t="str">
        <f t="shared" si="44"/>
        <v>印尼盧比</v>
      </c>
      <c r="D80" s="48" t="str">
        <f t="shared" si="44"/>
        <v/>
      </c>
      <c r="E80" s="64">
        <f t="shared" si="44"/>
        <v>1</v>
      </c>
      <c r="F80" s="65">
        <f t="shared" ref="F80:J80" si="45">HLOOKUP(F27,$F$1:$AI$2,2) * $D$1 * $E80</f>
        <v>1</v>
      </c>
      <c r="G80" s="65">
        <f t="shared" si="45"/>
        <v>5</v>
      </c>
      <c r="H80" s="65">
        <f t="shared" si="45"/>
        <v>10</v>
      </c>
      <c r="I80" s="65">
        <f t="shared" si="45"/>
        <v>50</v>
      </c>
      <c r="J80" s="65">
        <f t="shared" si="45"/>
        <v>100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6"/>
      <c r="Z80" s="67"/>
      <c r="AA80" s="68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48" t="str">
        <f t="shared" si="46"/>
        <v>盧布</v>
      </c>
      <c r="D81" s="48" t="str">
        <f t="shared" si="46"/>
        <v/>
      </c>
      <c r="E81" s="64">
        <f t="shared" si="46"/>
        <v>1</v>
      </c>
      <c r="F81" s="65">
        <f t="shared" ref="F81:J81" si="47">HLOOKUP(F28,$F$1:$AI$2,2) * $D$1 * $E81</f>
        <v>1</v>
      </c>
      <c r="G81" s="65">
        <f t="shared" si="47"/>
        <v>5</v>
      </c>
      <c r="H81" s="65">
        <f t="shared" si="47"/>
        <v>10</v>
      </c>
      <c r="I81" s="65">
        <f t="shared" si="47"/>
        <v>50</v>
      </c>
      <c r="J81" s="65">
        <f t="shared" si="47"/>
        <v>100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6"/>
      <c r="Z81" s="67"/>
      <c r="AA81" s="68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48" t="str">
        <f t="shared" si="48"/>
        <v>斯里蘭卡盧比</v>
      </c>
      <c r="D82" s="48" t="str">
        <f t="shared" si="48"/>
        <v/>
      </c>
      <c r="E82" s="64">
        <f t="shared" si="48"/>
        <v>1</v>
      </c>
      <c r="F82" s="65">
        <f t="shared" ref="F82:J82" si="49">HLOOKUP(F29,$F$1:$AI$2,2) * $D$1 * $E82</f>
        <v>1</v>
      </c>
      <c r="G82" s="65">
        <f t="shared" si="49"/>
        <v>5</v>
      </c>
      <c r="H82" s="65">
        <f t="shared" si="49"/>
        <v>10</v>
      </c>
      <c r="I82" s="65">
        <f t="shared" si="49"/>
        <v>50</v>
      </c>
      <c r="J82" s="65">
        <f t="shared" si="49"/>
        <v>100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6"/>
      <c r="Z82" s="67"/>
      <c r="AA82" s="68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48" t="str">
        <f t="shared" si="50"/>
        <v>衣索比亞比爾</v>
      </c>
      <c r="D83" s="48" t="str">
        <f t="shared" si="50"/>
        <v/>
      </c>
      <c r="E83" s="64">
        <f t="shared" si="50"/>
        <v>1</v>
      </c>
      <c r="F83" s="65">
        <f t="shared" ref="F83:J83" si="51">HLOOKUP(F30,$F$1:$AI$2,2) * $D$1 * $E83</f>
        <v>1</v>
      </c>
      <c r="G83" s="65">
        <f t="shared" si="51"/>
        <v>5</v>
      </c>
      <c r="H83" s="65">
        <f t="shared" si="51"/>
        <v>10</v>
      </c>
      <c r="I83" s="65">
        <f t="shared" si="51"/>
        <v>50</v>
      </c>
      <c r="J83" s="65">
        <f t="shared" si="51"/>
        <v>100</v>
      </c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6"/>
      <c r="Z83" s="67"/>
      <c r="AA83" s="68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48" t="str">
        <f t="shared" si="52"/>
        <v>烏干達先令</v>
      </c>
      <c r="D84" s="48" t="str">
        <f t="shared" si="52"/>
        <v/>
      </c>
      <c r="E84" s="64">
        <f t="shared" si="52"/>
        <v>1</v>
      </c>
      <c r="F84" s="65">
        <f t="shared" ref="F84:J84" si="53">HLOOKUP(F31,$F$1:$AI$2,2) * $D$1 * $E84</f>
        <v>1</v>
      </c>
      <c r="G84" s="65">
        <f t="shared" si="53"/>
        <v>5</v>
      </c>
      <c r="H84" s="65">
        <f t="shared" si="53"/>
        <v>10</v>
      </c>
      <c r="I84" s="65">
        <f t="shared" si="53"/>
        <v>50</v>
      </c>
      <c r="J84" s="65">
        <f t="shared" si="53"/>
        <v>100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6"/>
      <c r="Z84" s="67"/>
      <c r="AA84" s="68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48" t="str">
        <f t="shared" si="54"/>
        <v>歐元</v>
      </c>
      <c r="D85" s="48" t="str">
        <f t="shared" si="54"/>
        <v/>
      </c>
      <c r="E85" s="64">
        <f t="shared" si="54"/>
        <v>1</v>
      </c>
      <c r="F85" s="65">
        <f t="shared" ref="F85:J85" si="55">HLOOKUP(F32,$F$1:$AI$2,2) * $D$1 * $E85</f>
        <v>1</v>
      </c>
      <c r="G85" s="65">
        <f t="shared" si="55"/>
        <v>5</v>
      </c>
      <c r="H85" s="65">
        <f t="shared" si="55"/>
        <v>10</v>
      </c>
      <c r="I85" s="65">
        <f t="shared" si="55"/>
        <v>50</v>
      </c>
      <c r="J85" s="65">
        <f t="shared" si="55"/>
        <v>100</v>
      </c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6"/>
      <c r="Z85" s="67"/>
      <c r="AA85" s="68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48" t="str">
        <f t="shared" si="56"/>
        <v>阿根廷披索</v>
      </c>
      <c r="D86" s="48" t="str">
        <f t="shared" si="56"/>
        <v/>
      </c>
      <c r="E86" s="64">
        <f t="shared" si="56"/>
        <v>1</v>
      </c>
      <c r="F86" s="65">
        <f t="shared" ref="F86:J86" si="57">HLOOKUP(F33,$F$1:$AI$2,2) * $D$1 * $E86</f>
        <v>1</v>
      </c>
      <c r="G86" s="65">
        <f t="shared" si="57"/>
        <v>5</v>
      </c>
      <c r="H86" s="65">
        <f t="shared" si="57"/>
        <v>10</v>
      </c>
      <c r="I86" s="65">
        <f t="shared" si="57"/>
        <v>50</v>
      </c>
      <c r="J86" s="65">
        <f t="shared" si="57"/>
        <v>100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6"/>
      <c r="Z86" s="67"/>
      <c r="AA86" s="68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48" t="str">
        <f t="shared" si="58"/>
        <v>奈及利亞奈拉</v>
      </c>
      <c r="D87" s="48" t="str">
        <f t="shared" si="58"/>
        <v/>
      </c>
      <c r="E87" s="64">
        <f t="shared" si="58"/>
        <v>1</v>
      </c>
      <c r="F87" s="65">
        <f t="shared" ref="F87:J87" si="59">HLOOKUP(F34,$F$1:$AI$2,2) * $D$1 * $E87</f>
        <v>1</v>
      </c>
      <c r="G87" s="65">
        <f t="shared" si="59"/>
        <v>5</v>
      </c>
      <c r="H87" s="65">
        <f t="shared" si="59"/>
        <v>10</v>
      </c>
      <c r="I87" s="65">
        <f t="shared" si="59"/>
        <v>50</v>
      </c>
      <c r="J87" s="65">
        <f t="shared" si="59"/>
        <v>100</v>
      </c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6"/>
      <c r="Z87" s="67"/>
      <c r="AA87" s="68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48" t="str">
        <f t="shared" si="60"/>
        <v>肯亞先令</v>
      </c>
      <c r="D88" s="48" t="str">
        <f t="shared" si="60"/>
        <v/>
      </c>
      <c r="E88" s="64">
        <f t="shared" si="60"/>
        <v>1</v>
      </c>
      <c r="F88" s="65">
        <f t="shared" ref="F88:J88" si="61">HLOOKUP(F35,$F$1:$AI$2,2) * $D$1 * $E88</f>
        <v>1</v>
      </c>
      <c r="G88" s="65">
        <f t="shared" si="61"/>
        <v>5</v>
      </c>
      <c r="H88" s="65">
        <f t="shared" si="61"/>
        <v>10</v>
      </c>
      <c r="I88" s="65">
        <f t="shared" si="61"/>
        <v>50</v>
      </c>
      <c r="J88" s="65">
        <f t="shared" si="61"/>
        <v>100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6"/>
      <c r="Z88" s="67"/>
      <c r="AA88" s="68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48" t="str">
        <f t="shared" si="62"/>
        <v>南非鍰</v>
      </c>
      <c r="D89" s="48" t="str">
        <f t="shared" si="62"/>
        <v/>
      </c>
      <c r="E89" s="64">
        <f t="shared" si="62"/>
        <v>1</v>
      </c>
      <c r="F89" s="65">
        <f t="shared" ref="F89:J89" si="63">HLOOKUP(F36,$F$1:$AI$2,2) * $D$1 * $E89</f>
        <v>1</v>
      </c>
      <c r="G89" s="65">
        <f t="shared" si="63"/>
        <v>5</v>
      </c>
      <c r="H89" s="65">
        <f t="shared" si="63"/>
        <v>10</v>
      </c>
      <c r="I89" s="65">
        <f t="shared" si="63"/>
        <v>50</v>
      </c>
      <c r="J89" s="65">
        <f t="shared" si="63"/>
        <v>100</v>
      </c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6"/>
      <c r="Z89" s="67"/>
      <c r="AA89" s="68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48" t="str">
        <f t="shared" si="64"/>
        <v>土耳其里拉</v>
      </c>
      <c r="D90" s="48" t="str">
        <f t="shared" si="64"/>
        <v/>
      </c>
      <c r="E90" s="64">
        <f t="shared" si="64"/>
        <v>1</v>
      </c>
      <c r="F90" s="65">
        <f t="shared" ref="F90:J90" si="65">HLOOKUP(F37,$F$1:$AI$2,2) * $D$1 * $E90</f>
        <v>1</v>
      </c>
      <c r="G90" s="65">
        <f t="shared" si="65"/>
        <v>5</v>
      </c>
      <c r="H90" s="65">
        <f t="shared" si="65"/>
        <v>10</v>
      </c>
      <c r="I90" s="65">
        <f t="shared" si="65"/>
        <v>50</v>
      </c>
      <c r="J90" s="65">
        <f t="shared" si="65"/>
        <v>100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6"/>
      <c r="Z90" s="67"/>
      <c r="AA90" s="68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48" t="str">
        <f t="shared" si="66"/>
        <v>英鎊</v>
      </c>
      <c r="D91" s="48" t="str">
        <f t="shared" si="66"/>
        <v/>
      </c>
      <c r="E91" s="64">
        <f t="shared" si="66"/>
        <v>1</v>
      </c>
      <c r="F91" s="65">
        <f t="shared" ref="F91:J91" si="67">HLOOKUP(F38,$F$1:$AI$2,2) * $D$1 * $E91</f>
        <v>1</v>
      </c>
      <c r="G91" s="65">
        <f t="shared" si="67"/>
        <v>5</v>
      </c>
      <c r="H91" s="65">
        <f t="shared" si="67"/>
        <v>10</v>
      </c>
      <c r="I91" s="65">
        <f t="shared" si="67"/>
        <v>50</v>
      </c>
      <c r="J91" s="65">
        <f t="shared" si="67"/>
        <v>100</v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6"/>
      <c r="Z91" s="67"/>
      <c r="AA91" s="68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48" t="str">
        <f t="shared" si="68"/>
        <v>尼泊爾盧比</v>
      </c>
      <c r="D92" s="48" t="str">
        <f t="shared" si="68"/>
        <v/>
      </c>
      <c r="E92" s="64">
        <f t="shared" si="68"/>
        <v>1</v>
      </c>
      <c r="F92" s="65">
        <f t="shared" ref="F92:J92" si="69">HLOOKUP(F39,$F$1:$AI$2,2) * $D$1 * $E92</f>
        <v>1</v>
      </c>
      <c r="G92" s="65">
        <f t="shared" si="69"/>
        <v>5</v>
      </c>
      <c r="H92" s="65">
        <f t="shared" si="69"/>
        <v>10</v>
      </c>
      <c r="I92" s="65">
        <f t="shared" si="69"/>
        <v>50</v>
      </c>
      <c r="J92" s="65">
        <f t="shared" si="69"/>
        <v>100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6"/>
      <c r="Z92" s="67"/>
      <c r="AA92" s="68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48" t="str">
        <f t="shared" si="70"/>
        <v>瑞士法郎</v>
      </c>
      <c r="D93" s="48" t="str">
        <f t="shared" si="70"/>
        <v/>
      </c>
      <c r="E93" s="64">
        <f t="shared" si="70"/>
        <v>1</v>
      </c>
      <c r="F93" s="65">
        <f t="shared" ref="F93:J93" si="71">HLOOKUP(F40,$F$1:$AI$2,2) * $D$1 * $E93</f>
        <v>1</v>
      </c>
      <c r="G93" s="65">
        <f t="shared" si="71"/>
        <v>5</v>
      </c>
      <c r="H93" s="65">
        <f t="shared" si="71"/>
        <v>10</v>
      </c>
      <c r="I93" s="65">
        <f t="shared" si="71"/>
        <v>50</v>
      </c>
      <c r="J93" s="65">
        <f t="shared" si="71"/>
        <v>100</v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6"/>
      <c r="Z93" s="67"/>
      <c r="AA93" s="68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48" t="str">
        <f t="shared" si="72"/>
        <v>加幣</v>
      </c>
      <c r="D94" s="48" t="str">
        <f t="shared" si="72"/>
        <v/>
      </c>
      <c r="E94" s="64">
        <f t="shared" si="72"/>
        <v>1</v>
      </c>
      <c r="F94" s="65">
        <f t="shared" ref="F94:J94" si="73">HLOOKUP(F41,$F$1:$AI$2,2) * $D$1 * $E94</f>
        <v>1</v>
      </c>
      <c r="G94" s="65">
        <f t="shared" si="73"/>
        <v>5</v>
      </c>
      <c r="H94" s="65">
        <f t="shared" si="73"/>
        <v>10</v>
      </c>
      <c r="I94" s="65">
        <f t="shared" si="73"/>
        <v>50</v>
      </c>
      <c r="J94" s="65">
        <f t="shared" si="73"/>
        <v>100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6"/>
      <c r="Z94" s="67"/>
      <c r="AA94" s="68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48" t="str">
        <f t="shared" si="74"/>
        <v>秘魯新索爾</v>
      </c>
      <c r="D95" s="48" t="str">
        <f t="shared" si="74"/>
        <v/>
      </c>
      <c r="E95" s="64">
        <f t="shared" si="74"/>
        <v>1</v>
      </c>
      <c r="F95" s="65">
        <f t="shared" ref="F95:J95" si="75">HLOOKUP(F42,$F$1:$AI$2,2) * $D$1 * $E95</f>
        <v>1</v>
      </c>
      <c r="G95" s="65">
        <f t="shared" si="75"/>
        <v>5</v>
      </c>
      <c r="H95" s="65">
        <f t="shared" si="75"/>
        <v>10</v>
      </c>
      <c r="I95" s="65">
        <f t="shared" si="75"/>
        <v>50</v>
      </c>
      <c r="J95" s="65">
        <f t="shared" si="75"/>
        <v>100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6"/>
      <c r="Z95" s="67"/>
      <c r="AA95" s="68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48" t="str">
        <f t="shared" si="76"/>
        <v>阿聯迪拉姆</v>
      </c>
      <c r="D96" s="48" t="str">
        <f t="shared" si="76"/>
        <v/>
      </c>
      <c r="E96" s="64">
        <f t="shared" si="76"/>
        <v>1</v>
      </c>
      <c r="F96" s="65">
        <f t="shared" ref="F96:J96" si="77">HLOOKUP(F43,$F$1:$AI$2,2) * $D$1 * $E96</f>
        <v>1</v>
      </c>
      <c r="G96" s="65">
        <f t="shared" si="77"/>
        <v>5</v>
      </c>
      <c r="H96" s="65">
        <f t="shared" si="77"/>
        <v>10</v>
      </c>
      <c r="I96" s="65">
        <f t="shared" si="77"/>
        <v>50</v>
      </c>
      <c r="J96" s="65">
        <f t="shared" si="77"/>
        <v>100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6"/>
      <c r="Z96" s="67"/>
      <c r="AA96" s="68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48" t="str">
        <f t="shared" si="78"/>
        <v>汶萊幣</v>
      </c>
      <c r="D97" s="48" t="str">
        <f t="shared" si="78"/>
        <v/>
      </c>
      <c r="E97" s="64">
        <f t="shared" si="78"/>
        <v>1</v>
      </c>
      <c r="F97" s="65">
        <f t="shared" ref="F97:J97" si="79">HLOOKUP(F44,$F$1:$AI$2,2) * $D$1 * $E97</f>
        <v>1</v>
      </c>
      <c r="G97" s="65">
        <f t="shared" si="79"/>
        <v>5</v>
      </c>
      <c r="H97" s="65">
        <f t="shared" si="79"/>
        <v>10</v>
      </c>
      <c r="I97" s="65">
        <f t="shared" si="79"/>
        <v>50</v>
      </c>
      <c r="J97" s="65">
        <f t="shared" si="79"/>
        <v>100</v>
      </c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6"/>
      <c r="Z97" s="67"/>
      <c r="AA97" s="68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48" t="str">
        <f t="shared" si="80"/>
        <v>哥倫比亞披索</v>
      </c>
      <c r="D98" s="48" t="str">
        <f t="shared" si="80"/>
        <v/>
      </c>
      <c r="E98" s="64">
        <f t="shared" si="80"/>
        <v>1</v>
      </c>
      <c r="F98" s="65">
        <f t="shared" ref="F98:J98" si="81">HLOOKUP(F45,$F$1:$AI$2,2) * $D$1 * $E98</f>
        <v>1</v>
      </c>
      <c r="G98" s="65">
        <f t="shared" si="81"/>
        <v>5</v>
      </c>
      <c r="H98" s="65">
        <f t="shared" si="81"/>
        <v>10</v>
      </c>
      <c r="I98" s="65">
        <f t="shared" si="81"/>
        <v>50</v>
      </c>
      <c r="J98" s="65">
        <f t="shared" si="81"/>
        <v>100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6"/>
      <c r="Z98" s="67"/>
      <c r="AA98" s="68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48" t="str">
        <f t="shared" si="82"/>
        <v>越南盾</v>
      </c>
      <c r="D99" s="48" t="str">
        <f t="shared" si="82"/>
        <v/>
      </c>
      <c r="E99" s="64">
        <f t="shared" si="82"/>
        <v>1</v>
      </c>
      <c r="F99" s="65">
        <f t="shared" ref="F99:J99" si="83">HLOOKUP(F46,$F$1:$AI$2,2) * $D$1 * $E99</f>
        <v>1</v>
      </c>
      <c r="G99" s="65">
        <f t="shared" si="83"/>
        <v>5</v>
      </c>
      <c r="H99" s="65">
        <f t="shared" si="83"/>
        <v>10</v>
      </c>
      <c r="I99" s="65">
        <f t="shared" si="83"/>
        <v>50</v>
      </c>
      <c r="J99" s="65">
        <f t="shared" si="83"/>
        <v>100</v>
      </c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6"/>
      <c r="Z99" s="67"/>
      <c r="AA99" s="68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48" t="str">
        <f t="shared" si="84"/>
        <v>馬來西亞令吉</v>
      </c>
      <c r="D100" s="48">
        <f t="shared" si="84"/>
        <v>0.01</v>
      </c>
      <c r="E100" s="64">
        <f t="shared" si="84"/>
        <v>1</v>
      </c>
      <c r="F100" s="65">
        <f t="shared" ref="F100:J100" si="85">HLOOKUP(F47,$F$1:$AI$2,2) * $D$1 * $E100</f>
        <v>1</v>
      </c>
      <c r="G100" s="65">
        <f t="shared" si="85"/>
        <v>5</v>
      </c>
      <c r="H100" s="65">
        <f t="shared" si="85"/>
        <v>10</v>
      </c>
      <c r="I100" s="65">
        <f t="shared" si="85"/>
        <v>50</v>
      </c>
      <c r="J100" s="65">
        <f t="shared" si="85"/>
        <v>100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6"/>
      <c r="Z100" s="67"/>
      <c r="AA100" s="69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48" t="str">
        <f t="shared" si="86"/>
        <v>星幣</v>
      </c>
      <c r="D101" s="48" t="str">
        <f t="shared" si="86"/>
        <v/>
      </c>
      <c r="E101" s="64">
        <f t="shared" si="86"/>
        <v>1</v>
      </c>
      <c r="F101" s="65">
        <f t="shared" ref="F101:J101" si="87">HLOOKUP(F48,$F$1:$AI$2,2) * $D$1 * $E101</f>
        <v>1</v>
      </c>
      <c r="G101" s="65">
        <f t="shared" si="87"/>
        <v>5</v>
      </c>
      <c r="H101" s="65">
        <f t="shared" si="87"/>
        <v>10</v>
      </c>
      <c r="I101" s="65">
        <f t="shared" si="87"/>
        <v>50</v>
      </c>
      <c r="J101" s="65">
        <f t="shared" si="87"/>
        <v>100</v>
      </c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48" t="str">
        <f t="shared" si="88"/>
        <v>阿爾及利亞第納爾</v>
      </c>
      <c r="D102" s="48" t="str">
        <f t="shared" si="88"/>
        <v/>
      </c>
      <c r="E102" s="64">
        <f t="shared" si="88"/>
        <v>1</v>
      </c>
      <c r="F102" s="65">
        <f t="shared" ref="F102:J102" si="89">HLOOKUP(F49,$F$1:$AI$2,2) * $D$1 * $E102</f>
        <v>1</v>
      </c>
      <c r="G102" s="65">
        <f t="shared" si="89"/>
        <v>5</v>
      </c>
      <c r="H102" s="65">
        <f t="shared" si="89"/>
        <v>10</v>
      </c>
      <c r="I102" s="65">
        <f t="shared" si="89"/>
        <v>50</v>
      </c>
      <c r="J102" s="65">
        <f t="shared" si="89"/>
        <v>100</v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70"/>
      <c r="AA102" s="70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48" t="str">
        <f t="shared" si="90"/>
        <v>摩洛哥迪拉姆</v>
      </c>
      <c r="D103" s="48" t="str">
        <f t="shared" si="90"/>
        <v/>
      </c>
      <c r="E103" s="64">
        <f t="shared" si="90"/>
        <v>1</v>
      </c>
      <c r="F103" s="65">
        <f t="shared" ref="F103:J103" si="91">HLOOKUP(F50,$F$1:$AI$2,2) * $D$1 * $E103</f>
        <v>1</v>
      </c>
      <c r="G103" s="65">
        <f t="shared" si="91"/>
        <v>5</v>
      </c>
      <c r="H103" s="65">
        <f t="shared" si="91"/>
        <v>10</v>
      </c>
      <c r="I103" s="65">
        <f t="shared" si="91"/>
        <v>50</v>
      </c>
      <c r="J103" s="65">
        <f t="shared" si="91"/>
        <v>100</v>
      </c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70"/>
      <c r="AA103" s="70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48" t="str">
        <f t="shared" si="92"/>
        <v>法國法郎</v>
      </c>
      <c r="D104" s="48" t="str">
        <f t="shared" si="92"/>
        <v/>
      </c>
      <c r="E104" s="64">
        <f t="shared" si="92"/>
        <v>1</v>
      </c>
      <c r="F104" s="65">
        <f t="shared" ref="F104:J104" si="93">HLOOKUP(F51,$F$1:$AI$2,2) * $D$1 * $E104</f>
        <v>1</v>
      </c>
      <c r="G104" s="65">
        <f t="shared" si="93"/>
        <v>5</v>
      </c>
      <c r="H104" s="65">
        <f t="shared" si="93"/>
        <v>10</v>
      </c>
      <c r="I104" s="65">
        <f t="shared" si="93"/>
        <v>50</v>
      </c>
      <c r="J104" s="65">
        <f t="shared" si="93"/>
        <v>100</v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70"/>
      <c r="AA104" s="70"/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48" t="str">
        <f t="shared" si="94"/>
        <v>迦納塞地</v>
      </c>
      <c r="D105" s="48" t="str">
        <f t="shared" si="94"/>
        <v/>
      </c>
      <c r="E105" s="64">
        <f t="shared" si="94"/>
        <v>1</v>
      </c>
      <c r="F105" s="65">
        <f t="shared" ref="F105:J105" si="95">HLOOKUP(F52,$F$1:$AI$2,2) * $D$1 * $E105</f>
        <v>1</v>
      </c>
      <c r="G105" s="65">
        <f t="shared" si="95"/>
        <v>5</v>
      </c>
      <c r="H105" s="65">
        <f t="shared" si="95"/>
        <v>10</v>
      </c>
      <c r="I105" s="65">
        <f t="shared" si="95"/>
        <v>50</v>
      </c>
      <c r="J105" s="65">
        <f t="shared" si="95"/>
        <v>100</v>
      </c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70"/>
      <c r="AA105" s="70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48" t="str">
        <f t="shared" si="96"/>
        <v>RCC幣</v>
      </c>
      <c r="D106" s="48" t="str">
        <f t="shared" si="96"/>
        <v/>
      </c>
      <c r="E106" s="64">
        <f t="shared" si="96"/>
        <v>1</v>
      </c>
      <c r="F106" s="65">
        <f t="shared" ref="F106:J106" si="97">HLOOKUP(F53,$F$1:$AI$2,2) * $D$1 * $E106</f>
        <v>1</v>
      </c>
      <c r="G106" s="65">
        <f t="shared" si="97"/>
        <v>5</v>
      </c>
      <c r="H106" s="65">
        <f t="shared" si="97"/>
        <v>10</v>
      </c>
      <c r="I106" s="65">
        <f t="shared" si="97"/>
        <v>50</v>
      </c>
      <c r="J106" s="65">
        <f t="shared" si="97"/>
        <v>100</v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70"/>
      <c r="AA106" s="70"/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48" t="str">
        <f t="shared" si="98"/>
        <v>爸幣</v>
      </c>
      <c r="D107" s="48" t="str">
        <f t="shared" si="98"/>
        <v/>
      </c>
      <c r="E107" s="64">
        <f t="shared" si="98"/>
        <v>5</v>
      </c>
      <c r="F107" s="65">
        <f t="shared" ref="F107:J107" si="99">HLOOKUP(F54,$F$1:$AI$2,2) * $D$1 * $E107</f>
        <v>5</v>
      </c>
      <c r="G107" s="65">
        <f t="shared" si="99"/>
        <v>25</v>
      </c>
      <c r="H107" s="65">
        <f t="shared" si="99"/>
        <v>50</v>
      </c>
      <c r="I107" s="65">
        <f t="shared" si="99"/>
        <v>250</v>
      </c>
      <c r="J107" s="65">
        <f t="shared" si="99"/>
        <v>500</v>
      </c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70"/>
      <c r="AA107" s="70"/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48" t="str">
        <f t="shared" si="100"/>
        <v>星城馬來西亞</v>
      </c>
      <c r="D108" s="48" t="str">
        <f t="shared" si="100"/>
        <v/>
      </c>
      <c r="E108" s="64">
        <f t="shared" si="100"/>
        <v>1</v>
      </c>
      <c r="F108" s="65">
        <f t="shared" ref="F108:J108" si="101">HLOOKUP(F55,$F$1:$AI$2,2) * $D$1 * $E108</f>
        <v>1</v>
      </c>
      <c r="G108" s="65">
        <f t="shared" si="101"/>
        <v>5</v>
      </c>
      <c r="H108" s="65">
        <f t="shared" si="101"/>
        <v>10</v>
      </c>
      <c r="I108" s="65">
        <f t="shared" si="101"/>
        <v>50</v>
      </c>
      <c r="J108" s="65">
        <f t="shared" si="101"/>
        <v>100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70"/>
      <c r="AA108" s="70"/>
    </row>
    <row r="109" ht="16.5" customHeight="1">
      <c r="C109" s="22"/>
      <c r="E109" s="71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</row>
    <row r="110" ht="16.5" customHeight="1">
      <c r="C110" s="22"/>
      <c r="E110" s="71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ht="16.5" customHeight="1">
      <c r="C111" s="22"/>
      <c r="E111" s="71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ht="16.5" customHeight="1">
      <c r="C112" s="22"/>
      <c r="E112" s="71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ht="16.5" customHeight="1">
      <c r="C113" s="22"/>
      <c r="E113" s="71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ht="16.5" customHeight="1">
      <c r="C114" s="22"/>
      <c r="E114" s="71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ht="16.5" customHeight="1">
      <c r="C115" s="22"/>
      <c r="E115" s="71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</row>
    <row r="116" ht="16.5" customHeight="1">
      <c r="C116" s="22"/>
      <c r="E116" s="71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ht="16.5" customHeight="1">
      <c r="C117" s="22"/>
      <c r="E117" s="71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ht="16.5" customHeight="1">
      <c r="C118" s="22"/>
      <c r="E118" s="71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ht="16.5" customHeight="1">
      <c r="C119" s="22"/>
      <c r="E119" s="71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ht="16.5" customHeight="1">
      <c r="C120" s="22"/>
      <c r="E120" s="71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ht="16.5" customHeight="1">
      <c r="C121" s="22"/>
      <c r="E121" s="71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ht="16.5" customHeight="1">
      <c r="C122" s="22"/>
      <c r="E122" s="71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ht="16.5" customHeight="1">
      <c r="C123" s="22"/>
      <c r="E123" s="71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ht="16.5" customHeight="1">
      <c r="C124" s="22"/>
      <c r="E124" s="71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ht="16.5" customHeight="1">
      <c r="C125" s="22"/>
      <c r="E125" s="71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ht="16.5" customHeight="1">
      <c r="C126" s="22"/>
      <c r="E126" s="71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ht="16.5" customHeight="1">
      <c r="C127" s="22"/>
      <c r="E127" s="71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ht="16.5" customHeight="1">
      <c r="C128" s="22"/>
      <c r="E128" s="71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ht="16.5" customHeight="1">
      <c r="C129" s="22"/>
      <c r="E129" s="71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</row>
    <row r="130" ht="16.5" customHeight="1">
      <c r="C130" s="22"/>
      <c r="E130" s="71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ht="16.5" customHeight="1">
      <c r="C131" s="22"/>
      <c r="E131" s="71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ht="16.5" customHeight="1">
      <c r="C132" s="22"/>
      <c r="E132" s="71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ht="16.5" customHeight="1">
      <c r="C133" s="22"/>
      <c r="E133" s="71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ht="16.5" customHeight="1">
      <c r="C134" s="22"/>
      <c r="E134" s="71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ht="16.5" customHeight="1">
      <c r="C135" s="22"/>
      <c r="E135" s="71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ht="16.5" customHeight="1">
      <c r="C136" s="22"/>
      <c r="E136" s="71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ht="16.5" customHeight="1">
      <c r="C137" s="22"/>
      <c r="E137" s="71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ht="16.5" customHeight="1">
      <c r="C138" s="22"/>
      <c r="E138" s="71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ht="16.5" customHeight="1">
      <c r="C139" s="22"/>
      <c r="E139" s="71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ht="16.5" customHeight="1">
      <c r="C140" s="22"/>
      <c r="E140" s="71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ht="16.5" customHeight="1">
      <c r="C141" s="22"/>
      <c r="E141" s="71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ht="16.5" customHeight="1">
      <c r="C142" s="22"/>
      <c r="E142" s="71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ht="16.5" customHeight="1">
      <c r="C143" s="22"/>
      <c r="E143" s="71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</sheetData>
  <mergeCells count="7">
    <mergeCell ref="A1:A2"/>
    <mergeCell ref="B1:B2"/>
    <mergeCell ref="C1:C2"/>
    <mergeCell ref="D1:D2"/>
    <mergeCell ref="E1:E2"/>
    <mergeCell ref="AA5:AA47"/>
    <mergeCell ref="AA58:AA100"/>
  </mergeCells>
  <conditionalFormatting sqref="Z59:Z100">
    <cfRule type="cellIs" dxfId="0" priority="1" operator="lessThan">
      <formula>0.2</formula>
    </cfRule>
  </conditionalFormatting>
  <conditionalFormatting sqref="AE6:AE47 AE53:AE55">
    <cfRule type="cellIs" dxfId="0" priority="2" operator="lessThan">
      <formula>20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100.0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2.0</v>
      </c>
      <c r="H2" s="37">
        <v>5.0</v>
      </c>
      <c r="I2" s="37">
        <v>10.0</v>
      </c>
      <c r="J2" s="37">
        <v>12.0</v>
      </c>
      <c r="K2" s="37">
        <v>15.0</v>
      </c>
      <c r="L2" s="37">
        <v>20.0</v>
      </c>
      <c r="M2" s="37">
        <v>25.0</v>
      </c>
      <c r="N2" s="37">
        <v>30.0</v>
      </c>
      <c r="O2" s="37">
        <v>35.0</v>
      </c>
      <c r="P2" s="37">
        <v>40.0</v>
      </c>
      <c r="Q2" s="37">
        <v>45.0</v>
      </c>
      <c r="R2" s="37">
        <v>50.0</v>
      </c>
      <c r="S2" s="37">
        <v>60.0</v>
      </c>
      <c r="T2" s="37">
        <v>70.0</v>
      </c>
      <c r="U2" s="37">
        <v>80.0</v>
      </c>
      <c r="V2" s="37">
        <v>90.0</v>
      </c>
      <c r="W2" s="37">
        <v>100.0</v>
      </c>
      <c r="X2" s="37">
        <v>150.0</v>
      </c>
      <c r="Y2" s="37">
        <v>200.0</v>
      </c>
      <c r="Z2" s="37">
        <v>300.0</v>
      </c>
      <c r="AA2" s="37">
        <v>500.0</v>
      </c>
      <c r="AB2" s="37">
        <v>1000.0</v>
      </c>
      <c r="AC2" s="37">
        <v>1500.0</v>
      </c>
      <c r="AD2" s="37">
        <v>3000.0</v>
      </c>
      <c r="AE2" s="37">
        <v>5000.0</v>
      </c>
      <c r="AF2" s="37">
        <v>7500.0</v>
      </c>
      <c r="AG2" s="37">
        <v>10000.0</v>
      </c>
      <c r="AH2" s="38">
        <v>15000.0</v>
      </c>
      <c r="AI2" s="38">
        <v>25000.0</v>
      </c>
    </row>
    <row r="3" ht="16.5" customHeight="1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C3" s="39"/>
      <c r="AD3" s="39"/>
      <c r="AE3" s="39"/>
      <c r="AF3" s="39"/>
      <c r="AG3" s="39"/>
      <c r="AH3" s="39"/>
      <c r="AI3" s="39"/>
    </row>
    <row r="4" ht="16.5" customHeigh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ht="16.5" customHeight="1">
      <c r="A5" s="43" t="s">
        <v>45</v>
      </c>
      <c r="B5" s="44" t="s">
        <v>46</v>
      </c>
      <c r="C5" s="44" t="s">
        <v>47</v>
      </c>
      <c r="D5" s="44" t="s">
        <v>48</v>
      </c>
      <c r="E5" s="44" t="s">
        <v>49</v>
      </c>
      <c r="F5" s="44" t="s">
        <v>50</v>
      </c>
      <c r="G5" s="44" t="s">
        <v>51</v>
      </c>
      <c r="H5" s="44" t="s">
        <v>52</v>
      </c>
      <c r="I5" s="44" t="s">
        <v>53</v>
      </c>
      <c r="J5" s="44" t="s">
        <v>54</v>
      </c>
      <c r="K5" s="44" t="s">
        <v>55</v>
      </c>
      <c r="L5" s="44" t="s">
        <v>56</v>
      </c>
      <c r="M5" s="44" t="s">
        <v>57</v>
      </c>
      <c r="N5" s="44" t="s">
        <v>58</v>
      </c>
      <c r="O5" s="44" t="s">
        <v>59</v>
      </c>
      <c r="P5" s="44" t="s">
        <v>60</v>
      </c>
      <c r="Q5" s="44" t="s">
        <v>61</v>
      </c>
      <c r="R5" s="44" t="s">
        <v>62</v>
      </c>
      <c r="S5" s="44" t="s">
        <v>63</v>
      </c>
      <c r="T5" s="44" t="s">
        <v>64</v>
      </c>
      <c r="U5" s="44" t="s">
        <v>65</v>
      </c>
      <c r="V5" s="44" t="s">
        <v>66</v>
      </c>
      <c r="W5" s="44" t="s">
        <v>67</v>
      </c>
      <c r="X5" s="44" t="s">
        <v>68</v>
      </c>
      <c r="Y5" s="44" t="s">
        <v>69</v>
      </c>
      <c r="Z5" s="45"/>
      <c r="AA5" s="46" t="s">
        <v>70</v>
      </c>
      <c r="AI5" s="47"/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49">
        <f>'試算-SLOT'!G6</f>
        <v>0.002</v>
      </c>
      <c r="F6" s="50">
        <v>3.0</v>
      </c>
      <c r="G6" s="50">
        <v>4.0</v>
      </c>
      <c r="H6" s="50">
        <v>6.0</v>
      </c>
      <c r="I6" s="50">
        <v>7.0</v>
      </c>
      <c r="J6" s="50">
        <v>8.0</v>
      </c>
      <c r="K6" s="50">
        <v>9.0</v>
      </c>
      <c r="L6" s="50">
        <v>11.0</v>
      </c>
      <c r="M6" s="50">
        <v>13.0</v>
      </c>
      <c r="N6" s="50">
        <v>14.0</v>
      </c>
      <c r="O6" s="50">
        <v>16.0</v>
      </c>
      <c r="P6" s="50">
        <v>18.0</v>
      </c>
      <c r="Q6" s="50">
        <v>19.0</v>
      </c>
      <c r="R6" s="50">
        <v>20.0</v>
      </c>
      <c r="S6" s="50">
        <v>21.0</v>
      </c>
      <c r="T6" s="50">
        <v>22.0</v>
      </c>
      <c r="U6" s="50">
        <v>23.0</v>
      </c>
      <c r="V6" s="50">
        <v>24.0</v>
      </c>
      <c r="W6" s="50">
        <v>25.0</v>
      </c>
      <c r="X6" s="50">
        <v>26.0</v>
      </c>
      <c r="Y6" s="50">
        <v>27.0</v>
      </c>
      <c r="Z6" s="51"/>
      <c r="AA6" s="52"/>
      <c r="AH6" s="2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49">
        <f>'試算-SLOT'!G7</f>
        <v>0.002</v>
      </c>
      <c r="F7" s="50">
        <v>1.0</v>
      </c>
      <c r="G7" s="50">
        <v>2.0</v>
      </c>
      <c r="H7" s="50">
        <v>3.0</v>
      </c>
      <c r="I7" s="50">
        <v>4.0</v>
      </c>
      <c r="J7" s="50">
        <v>5.0</v>
      </c>
      <c r="K7" s="50">
        <v>6.0</v>
      </c>
      <c r="L7" s="50">
        <v>7.0</v>
      </c>
      <c r="M7" s="50">
        <v>8.0</v>
      </c>
      <c r="N7" s="50">
        <v>9.0</v>
      </c>
      <c r="O7" s="50">
        <v>11.0</v>
      </c>
      <c r="P7" s="50">
        <v>13.0</v>
      </c>
      <c r="Q7" s="50">
        <v>14.0</v>
      </c>
      <c r="R7" s="50">
        <v>16.0</v>
      </c>
      <c r="S7" s="50">
        <v>18.0</v>
      </c>
      <c r="T7" s="50">
        <v>19.0</v>
      </c>
      <c r="U7" s="50">
        <v>20.0</v>
      </c>
      <c r="V7" s="50">
        <v>21.0</v>
      </c>
      <c r="W7" s="50">
        <v>22.0</v>
      </c>
      <c r="X7" s="50">
        <v>23.0</v>
      </c>
      <c r="Y7" s="50">
        <v>24.0</v>
      </c>
      <c r="Z7" s="51"/>
      <c r="AA7" s="52"/>
      <c r="AG7" s="2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49">
        <f>'試算-SLOT'!G8</f>
        <v>0.002</v>
      </c>
      <c r="F8" s="50">
        <v>4.0</v>
      </c>
      <c r="G8" s="50">
        <v>6.0</v>
      </c>
      <c r="H8" s="50">
        <v>7.0</v>
      </c>
      <c r="I8" s="50">
        <v>9.0</v>
      </c>
      <c r="J8" s="50">
        <v>11.0</v>
      </c>
      <c r="K8" s="50">
        <v>13.0</v>
      </c>
      <c r="L8" s="50">
        <v>14.0</v>
      </c>
      <c r="M8" s="50">
        <v>16.0</v>
      </c>
      <c r="N8" s="50">
        <v>18.0</v>
      </c>
      <c r="O8" s="50">
        <v>19.0</v>
      </c>
      <c r="P8" s="50">
        <v>20.0</v>
      </c>
      <c r="Q8" s="50">
        <v>21.0</v>
      </c>
      <c r="R8" s="50">
        <v>22.0</v>
      </c>
      <c r="S8" s="50">
        <v>23.0</v>
      </c>
      <c r="T8" s="50">
        <v>24.0</v>
      </c>
      <c r="U8" s="50">
        <v>25.0</v>
      </c>
      <c r="V8" s="50">
        <v>26.0</v>
      </c>
      <c r="W8" s="50">
        <v>27.0</v>
      </c>
      <c r="X8" s="50">
        <v>28.0</v>
      </c>
      <c r="Y8" s="50">
        <v>29.0</v>
      </c>
      <c r="Z8" s="51"/>
      <c r="AA8" s="52"/>
      <c r="AG8" s="2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49">
        <f>'試算-SLOT'!G9</f>
        <v>0.002</v>
      </c>
      <c r="F9" s="50">
        <v>2.0</v>
      </c>
      <c r="G9" s="50">
        <v>3.0</v>
      </c>
      <c r="H9" s="50">
        <v>4.0</v>
      </c>
      <c r="I9" s="50">
        <v>5.0</v>
      </c>
      <c r="J9" s="50">
        <v>6.0</v>
      </c>
      <c r="K9" s="50">
        <v>7.0</v>
      </c>
      <c r="L9" s="50">
        <v>8.0</v>
      </c>
      <c r="M9" s="50">
        <v>9.0</v>
      </c>
      <c r="N9" s="50">
        <v>11.0</v>
      </c>
      <c r="O9" s="50">
        <v>13.0</v>
      </c>
      <c r="P9" s="50">
        <v>14.0</v>
      </c>
      <c r="Q9" s="50">
        <v>16.0</v>
      </c>
      <c r="R9" s="50">
        <v>18.0</v>
      </c>
      <c r="S9" s="50">
        <v>19.0</v>
      </c>
      <c r="T9" s="50">
        <v>20.0</v>
      </c>
      <c r="U9" s="50">
        <v>21.0</v>
      </c>
      <c r="V9" s="50">
        <v>22.0</v>
      </c>
      <c r="W9" s="50">
        <v>23.0</v>
      </c>
      <c r="X9" s="50">
        <v>24.0</v>
      </c>
      <c r="Y9" s="50">
        <v>25.0</v>
      </c>
      <c r="Z9" s="51"/>
      <c r="AA9" s="52"/>
      <c r="AG9" s="2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49">
        <f>'試算-SLOT'!G10</f>
        <v>0.002</v>
      </c>
      <c r="F10" s="50">
        <v>3.0</v>
      </c>
      <c r="G10" s="50">
        <v>4.0</v>
      </c>
      <c r="H10" s="50">
        <v>5.0</v>
      </c>
      <c r="I10" s="50">
        <v>6.0</v>
      </c>
      <c r="J10" s="50">
        <v>7.0</v>
      </c>
      <c r="K10" s="50">
        <v>8.0</v>
      </c>
      <c r="L10" s="50">
        <v>9.0</v>
      </c>
      <c r="M10" s="50">
        <v>11.0</v>
      </c>
      <c r="N10" s="50">
        <v>13.0</v>
      </c>
      <c r="O10" s="50">
        <v>14.0</v>
      </c>
      <c r="P10" s="50">
        <v>16.0</v>
      </c>
      <c r="Q10" s="50">
        <v>18.0</v>
      </c>
      <c r="R10" s="50">
        <v>19.0</v>
      </c>
      <c r="S10" s="50">
        <v>20.0</v>
      </c>
      <c r="T10" s="50">
        <v>21.0</v>
      </c>
      <c r="U10" s="50">
        <v>22.0</v>
      </c>
      <c r="V10" s="50">
        <v>23.0</v>
      </c>
      <c r="W10" s="50">
        <v>24.0</v>
      </c>
      <c r="X10" s="50">
        <v>25.0</v>
      </c>
      <c r="Y10" s="50">
        <v>26.0</v>
      </c>
      <c r="Z10" s="51"/>
      <c r="AA10" s="52"/>
      <c r="AG10" s="22"/>
      <c r="AH10" s="2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49">
        <f>'試算-SLOT'!G11</f>
        <v>0.002</v>
      </c>
      <c r="F11" s="50">
        <v>1.0</v>
      </c>
      <c r="G11" s="50">
        <v>2.0</v>
      </c>
      <c r="H11" s="50">
        <v>3.0</v>
      </c>
      <c r="I11" s="50">
        <v>4.0</v>
      </c>
      <c r="J11" s="50">
        <v>5.0</v>
      </c>
      <c r="K11" s="50">
        <v>6.0</v>
      </c>
      <c r="L11" s="50">
        <v>7.0</v>
      </c>
      <c r="M11" s="50">
        <v>8.0</v>
      </c>
      <c r="N11" s="50">
        <v>9.0</v>
      </c>
      <c r="O11" s="50">
        <v>10.0</v>
      </c>
      <c r="P11" s="50">
        <v>11.0</v>
      </c>
      <c r="Q11" s="50">
        <v>13.0</v>
      </c>
      <c r="R11" s="50">
        <v>14.0</v>
      </c>
      <c r="S11" s="50">
        <v>16.0</v>
      </c>
      <c r="T11" s="50">
        <v>18.0</v>
      </c>
      <c r="U11" s="50">
        <v>19.0</v>
      </c>
      <c r="V11" s="50">
        <v>20.0</v>
      </c>
      <c r="W11" s="50">
        <v>21.0</v>
      </c>
      <c r="X11" s="50">
        <v>22.0</v>
      </c>
      <c r="Y11" s="50">
        <v>23.0</v>
      </c>
      <c r="Z11" s="51"/>
      <c r="AA11" s="52"/>
      <c r="AG11" s="2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49">
        <f>'試算-SLOT'!G12</f>
        <v>0.002</v>
      </c>
      <c r="F12" s="50">
        <v>1.0</v>
      </c>
      <c r="G12" s="50">
        <v>2.0</v>
      </c>
      <c r="H12" s="50">
        <v>3.0</v>
      </c>
      <c r="I12" s="50">
        <v>4.0</v>
      </c>
      <c r="J12" s="50">
        <v>5.0</v>
      </c>
      <c r="K12" s="50">
        <v>6.0</v>
      </c>
      <c r="L12" s="50">
        <v>7.0</v>
      </c>
      <c r="M12" s="50">
        <v>8.0</v>
      </c>
      <c r="N12" s="50">
        <v>9.0</v>
      </c>
      <c r="O12" s="50">
        <v>10.0</v>
      </c>
      <c r="P12" s="50">
        <v>11.0</v>
      </c>
      <c r="Q12" s="50">
        <v>12.0</v>
      </c>
      <c r="R12" s="50">
        <v>13.0</v>
      </c>
      <c r="S12" s="50">
        <v>14.0</v>
      </c>
      <c r="T12" s="50">
        <v>15.0</v>
      </c>
      <c r="U12" s="50">
        <v>16.0</v>
      </c>
      <c r="V12" s="50">
        <v>17.0</v>
      </c>
      <c r="W12" s="50">
        <v>18.0</v>
      </c>
      <c r="X12" s="50">
        <v>19.0</v>
      </c>
      <c r="Y12" s="50">
        <v>20.0</v>
      </c>
      <c r="Z12" s="51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49">
        <f>'試算-SLOT'!G13</f>
        <v>0.002</v>
      </c>
      <c r="F13" s="50">
        <v>1.0</v>
      </c>
      <c r="G13" s="50">
        <v>2.0</v>
      </c>
      <c r="H13" s="50">
        <v>3.0</v>
      </c>
      <c r="I13" s="50">
        <v>4.0</v>
      </c>
      <c r="J13" s="50">
        <v>5.0</v>
      </c>
      <c r="K13" s="50">
        <v>6.0</v>
      </c>
      <c r="L13" s="50">
        <v>7.0</v>
      </c>
      <c r="M13" s="50">
        <v>8.0</v>
      </c>
      <c r="N13" s="50">
        <v>9.0</v>
      </c>
      <c r="O13" s="50">
        <v>10.0</v>
      </c>
      <c r="P13" s="50">
        <v>11.0</v>
      </c>
      <c r="Q13" s="50">
        <v>12.0</v>
      </c>
      <c r="R13" s="50">
        <v>13.0</v>
      </c>
      <c r="S13" s="50">
        <v>14.0</v>
      </c>
      <c r="T13" s="50">
        <v>15.0</v>
      </c>
      <c r="U13" s="50">
        <v>16.0</v>
      </c>
      <c r="V13" s="50">
        <v>17.0</v>
      </c>
      <c r="W13" s="50">
        <v>18.0</v>
      </c>
      <c r="X13" s="50">
        <v>19.0</v>
      </c>
      <c r="Y13" s="50">
        <v>20.0</v>
      </c>
      <c r="Z13" s="51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49">
        <f>'試算-SLOT'!G14</f>
        <v>0.002</v>
      </c>
      <c r="F14" s="50">
        <v>4.0</v>
      </c>
      <c r="G14" s="50">
        <v>6.0</v>
      </c>
      <c r="H14" s="50">
        <v>7.0</v>
      </c>
      <c r="I14" s="50">
        <v>9.0</v>
      </c>
      <c r="J14" s="50">
        <v>11.0</v>
      </c>
      <c r="K14" s="50">
        <v>13.0</v>
      </c>
      <c r="L14" s="50">
        <v>14.0</v>
      </c>
      <c r="M14" s="50">
        <v>16.0</v>
      </c>
      <c r="N14" s="50">
        <v>18.0</v>
      </c>
      <c r="O14" s="50">
        <v>19.0</v>
      </c>
      <c r="P14" s="50">
        <v>20.0</v>
      </c>
      <c r="Q14" s="50">
        <v>21.0</v>
      </c>
      <c r="R14" s="50">
        <v>22.0</v>
      </c>
      <c r="S14" s="50">
        <v>23.0</v>
      </c>
      <c r="T14" s="50">
        <v>24.0</v>
      </c>
      <c r="U14" s="50">
        <v>25.0</v>
      </c>
      <c r="V14" s="50">
        <v>26.0</v>
      </c>
      <c r="W14" s="50">
        <v>27.0</v>
      </c>
      <c r="X14" s="50">
        <v>28.0</v>
      </c>
      <c r="Y14" s="50">
        <v>29.0</v>
      </c>
      <c r="Z14" s="51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49">
        <f>'試算-SLOT'!G15</f>
        <v>0.01</v>
      </c>
      <c r="F15" s="50">
        <v>3.0</v>
      </c>
      <c r="G15" s="50">
        <v>4.0</v>
      </c>
      <c r="H15" s="50">
        <v>6.0</v>
      </c>
      <c r="I15" s="50">
        <v>7.0</v>
      </c>
      <c r="J15" s="50">
        <v>9.0</v>
      </c>
      <c r="K15" s="50">
        <v>11.0</v>
      </c>
      <c r="L15" s="50">
        <v>13.0</v>
      </c>
      <c r="M15" s="50">
        <v>14.0</v>
      </c>
      <c r="N15" s="50">
        <v>16.0</v>
      </c>
      <c r="O15" s="50">
        <v>18.0</v>
      </c>
      <c r="P15" s="50">
        <v>19.0</v>
      </c>
      <c r="Q15" s="50">
        <v>20.0</v>
      </c>
      <c r="R15" s="50">
        <v>21.0</v>
      </c>
      <c r="S15" s="50">
        <v>22.0</v>
      </c>
      <c r="T15" s="50">
        <v>23.0</v>
      </c>
      <c r="U15" s="50">
        <v>24.0</v>
      </c>
      <c r="V15" s="50">
        <v>25.0</v>
      </c>
      <c r="W15" s="50">
        <v>26.0</v>
      </c>
      <c r="X15" s="50">
        <v>27.0</v>
      </c>
      <c r="Y15" s="50">
        <v>28.0</v>
      </c>
      <c r="Z15" s="51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49">
        <f>'試算-SLOT'!G16</f>
        <v>0.002</v>
      </c>
      <c r="F16" s="50">
        <v>1.0</v>
      </c>
      <c r="G16" s="50">
        <v>2.0</v>
      </c>
      <c r="H16" s="50">
        <v>3.0</v>
      </c>
      <c r="I16" s="50">
        <v>4.0</v>
      </c>
      <c r="J16" s="50">
        <v>5.0</v>
      </c>
      <c r="K16" s="50">
        <v>6.0</v>
      </c>
      <c r="L16" s="50">
        <v>7.0</v>
      </c>
      <c r="M16" s="50">
        <v>8.0</v>
      </c>
      <c r="N16" s="50">
        <v>9.0</v>
      </c>
      <c r="O16" s="50">
        <v>10.0</v>
      </c>
      <c r="P16" s="50">
        <v>11.0</v>
      </c>
      <c r="Q16" s="50">
        <v>12.0</v>
      </c>
      <c r="R16" s="50">
        <v>13.0</v>
      </c>
      <c r="S16" s="50">
        <v>14.0</v>
      </c>
      <c r="T16" s="50">
        <v>15.0</v>
      </c>
      <c r="U16" s="50">
        <v>16.0</v>
      </c>
      <c r="V16" s="50">
        <v>18.0</v>
      </c>
      <c r="W16" s="50">
        <v>19.0</v>
      </c>
      <c r="X16" s="50">
        <v>20.0</v>
      </c>
      <c r="Y16" s="50">
        <v>21.0</v>
      </c>
      <c r="Z16" s="51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49">
        <f>'試算-SLOT'!G17</f>
        <v>0.004</v>
      </c>
      <c r="F17" s="50">
        <v>1.0</v>
      </c>
      <c r="G17" s="50">
        <v>2.0</v>
      </c>
      <c r="H17" s="50">
        <v>3.0</v>
      </c>
      <c r="I17" s="50">
        <v>4.0</v>
      </c>
      <c r="J17" s="50">
        <v>5.0</v>
      </c>
      <c r="K17" s="50">
        <v>6.0</v>
      </c>
      <c r="L17" s="50">
        <v>7.0</v>
      </c>
      <c r="M17" s="50">
        <v>8.0</v>
      </c>
      <c r="N17" s="50">
        <v>9.0</v>
      </c>
      <c r="O17" s="50">
        <v>11.0</v>
      </c>
      <c r="P17" s="50">
        <v>13.0</v>
      </c>
      <c r="Q17" s="50">
        <v>14.0</v>
      </c>
      <c r="R17" s="50">
        <v>16.0</v>
      </c>
      <c r="S17" s="50">
        <v>18.0</v>
      </c>
      <c r="T17" s="50">
        <v>19.0</v>
      </c>
      <c r="U17" s="50">
        <v>20.0</v>
      </c>
      <c r="V17" s="50">
        <v>21.0</v>
      </c>
      <c r="W17" s="50">
        <v>22.0</v>
      </c>
      <c r="X17" s="50">
        <v>23.0</v>
      </c>
      <c r="Y17" s="50">
        <v>24.0</v>
      </c>
      <c r="Z17" s="51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49">
        <f>'試算-SLOT'!G18</f>
        <v>0.002</v>
      </c>
      <c r="F18" s="50">
        <v>3.0</v>
      </c>
      <c r="G18" s="50">
        <v>4.0</v>
      </c>
      <c r="H18" s="50">
        <v>6.0</v>
      </c>
      <c r="I18" s="50">
        <v>7.0</v>
      </c>
      <c r="J18" s="50">
        <v>8.0</v>
      </c>
      <c r="K18" s="50">
        <v>9.0</v>
      </c>
      <c r="L18" s="50">
        <v>11.0</v>
      </c>
      <c r="M18" s="50">
        <v>13.0</v>
      </c>
      <c r="N18" s="50">
        <v>14.0</v>
      </c>
      <c r="O18" s="50">
        <v>16.0</v>
      </c>
      <c r="P18" s="50">
        <v>18.0</v>
      </c>
      <c r="Q18" s="50">
        <v>19.0</v>
      </c>
      <c r="R18" s="50">
        <v>20.0</v>
      </c>
      <c r="S18" s="50">
        <v>21.0</v>
      </c>
      <c r="T18" s="50">
        <v>22.0</v>
      </c>
      <c r="U18" s="50">
        <v>23.0</v>
      </c>
      <c r="V18" s="50">
        <v>24.0</v>
      </c>
      <c r="W18" s="50">
        <v>25.0</v>
      </c>
      <c r="X18" s="50">
        <v>26.0</v>
      </c>
      <c r="Y18" s="50">
        <v>27.0</v>
      </c>
      <c r="Z18" s="51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49">
        <f>'試算-SLOT'!G19</f>
        <v>0.002</v>
      </c>
      <c r="F19" s="50">
        <v>1.0</v>
      </c>
      <c r="G19" s="50">
        <v>2.0</v>
      </c>
      <c r="H19" s="50">
        <v>3.0</v>
      </c>
      <c r="I19" s="50">
        <v>4.0</v>
      </c>
      <c r="J19" s="50">
        <v>5.0</v>
      </c>
      <c r="K19" s="50">
        <v>6.0</v>
      </c>
      <c r="L19" s="50">
        <v>7.0</v>
      </c>
      <c r="M19" s="50">
        <v>8.0</v>
      </c>
      <c r="N19" s="50">
        <v>9.0</v>
      </c>
      <c r="O19" s="50">
        <v>11.0</v>
      </c>
      <c r="P19" s="50">
        <v>13.0</v>
      </c>
      <c r="Q19" s="50">
        <v>14.0</v>
      </c>
      <c r="R19" s="50">
        <v>16.0</v>
      </c>
      <c r="S19" s="50">
        <v>18.0</v>
      </c>
      <c r="T19" s="50">
        <v>19.0</v>
      </c>
      <c r="U19" s="50">
        <v>20.0</v>
      </c>
      <c r="V19" s="50">
        <v>21.0</v>
      </c>
      <c r="W19" s="50">
        <v>22.0</v>
      </c>
      <c r="X19" s="50">
        <v>23.0</v>
      </c>
      <c r="Y19" s="50">
        <v>24.0</v>
      </c>
      <c r="Z19" s="51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49">
        <f>'試算-SLOT'!G20</f>
        <v>0.002</v>
      </c>
      <c r="F20" s="50">
        <v>2.0</v>
      </c>
      <c r="G20" s="50">
        <v>3.0</v>
      </c>
      <c r="H20" s="50">
        <v>4.0</v>
      </c>
      <c r="I20" s="50">
        <v>5.0</v>
      </c>
      <c r="J20" s="50">
        <v>6.0</v>
      </c>
      <c r="K20" s="50">
        <v>7.0</v>
      </c>
      <c r="L20" s="50">
        <v>8.0</v>
      </c>
      <c r="M20" s="50">
        <v>9.0</v>
      </c>
      <c r="N20" s="50">
        <v>11.0</v>
      </c>
      <c r="O20" s="50">
        <v>13.0</v>
      </c>
      <c r="P20" s="50">
        <v>14.0</v>
      </c>
      <c r="Q20" s="50">
        <v>16.0</v>
      </c>
      <c r="R20" s="50">
        <v>18.0</v>
      </c>
      <c r="S20" s="50">
        <v>19.0</v>
      </c>
      <c r="T20" s="50">
        <v>20.0</v>
      </c>
      <c r="U20" s="50">
        <v>21.0</v>
      </c>
      <c r="V20" s="50">
        <v>22.0</v>
      </c>
      <c r="W20" s="50">
        <v>23.0</v>
      </c>
      <c r="X20" s="50">
        <v>24.0</v>
      </c>
      <c r="Y20" s="50">
        <v>25.0</v>
      </c>
      <c r="Z20" s="51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49">
        <f>'試算-SLOT'!G21</f>
        <v>0.002</v>
      </c>
      <c r="F21" s="50">
        <v>1.0</v>
      </c>
      <c r="G21" s="50">
        <v>2.0</v>
      </c>
      <c r="H21" s="50">
        <v>3.0</v>
      </c>
      <c r="I21" s="50">
        <v>4.0</v>
      </c>
      <c r="J21" s="50">
        <v>5.0</v>
      </c>
      <c r="K21" s="50">
        <v>6.0</v>
      </c>
      <c r="L21" s="50">
        <v>7.0</v>
      </c>
      <c r="M21" s="50">
        <v>8.0</v>
      </c>
      <c r="N21" s="50">
        <v>9.0</v>
      </c>
      <c r="O21" s="50">
        <v>10.0</v>
      </c>
      <c r="P21" s="50">
        <v>11.0</v>
      </c>
      <c r="Q21" s="50">
        <v>13.0</v>
      </c>
      <c r="R21" s="50">
        <v>14.0</v>
      </c>
      <c r="S21" s="50">
        <v>16.0</v>
      </c>
      <c r="T21" s="50">
        <v>18.0</v>
      </c>
      <c r="U21" s="50">
        <v>19.0</v>
      </c>
      <c r="V21" s="50">
        <v>20.0</v>
      </c>
      <c r="W21" s="50">
        <v>21.0</v>
      </c>
      <c r="X21" s="50">
        <v>22.0</v>
      </c>
      <c r="Y21" s="50">
        <v>23.0</v>
      </c>
      <c r="Z21" s="51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49">
        <f>'試算-SLOT'!G22</f>
        <v>0.002</v>
      </c>
      <c r="F22" s="50">
        <v>1.0</v>
      </c>
      <c r="G22" s="50">
        <v>2.0</v>
      </c>
      <c r="H22" s="50">
        <v>3.0</v>
      </c>
      <c r="I22" s="50">
        <v>4.0</v>
      </c>
      <c r="J22" s="50">
        <v>5.0</v>
      </c>
      <c r="K22" s="50">
        <v>6.0</v>
      </c>
      <c r="L22" s="50">
        <v>7.0</v>
      </c>
      <c r="M22" s="50">
        <v>8.0</v>
      </c>
      <c r="N22" s="50">
        <v>9.0</v>
      </c>
      <c r="O22" s="50">
        <v>10.0</v>
      </c>
      <c r="P22" s="50">
        <v>11.0</v>
      </c>
      <c r="Q22" s="50">
        <v>12.0</v>
      </c>
      <c r="R22" s="50">
        <v>13.0</v>
      </c>
      <c r="S22" s="50">
        <v>14.0</v>
      </c>
      <c r="T22" s="50">
        <v>15.0</v>
      </c>
      <c r="U22" s="50">
        <v>16.0</v>
      </c>
      <c r="V22" s="50">
        <v>18.0</v>
      </c>
      <c r="W22" s="50">
        <v>19.0</v>
      </c>
      <c r="X22" s="50">
        <v>20.0</v>
      </c>
      <c r="Y22" s="50">
        <v>21.0</v>
      </c>
      <c r="Z22" s="51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49">
        <f>'試算-SLOT'!G23</f>
        <v>0.004</v>
      </c>
      <c r="F23" s="50">
        <v>4.0</v>
      </c>
      <c r="G23" s="50">
        <v>6.0</v>
      </c>
      <c r="H23" s="50">
        <v>7.0</v>
      </c>
      <c r="I23" s="50">
        <v>9.0</v>
      </c>
      <c r="J23" s="50">
        <v>11.0</v>
      </c>
      <c r="K23" s="50">
        <v>13.0</v>
      </c>
      <c r="L23" s="50">
        <v>14.0</v>
      </c>
      <c r="M23" s="50">
        <v>16.0</v>
      </c>
      <c r="N23" s="50">
        <v>18.0</v>
      </c>
      <c r="O23" s="50">
        <v>19.0</v>
      </c>
      <c r="P23" s="50">
        <v>20.0</v>
      </c>
      <c r="Q23" s="50">
        <v>21.0</v>
      </c>
      <c r="R23" s="50">
        <v>22.0</v>
      </c>
      <c r="S23" s="50">
        <v>23.0</v>
      </c>
      <c r="T23" s="50">
        <v>24.0</v>
      </c>
      <c r="U23" s="50">
        <v>25.0</v>
      </c>
      <c r="V23" s="50">
        <v>26.0</v>
      </c>
      <c r="W23" s="50">
        <v>27.0</v>
      </c>
      <c r="X23" s="50">
        <v>28.0</v>
      </c>
      <c r="Y23" s="50">
        <v>29.0</v>
      </c>
      <c r="Z23" s="51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49">
        <f>'試算-SLOT'!G24</f>
        <v>0.02</v>
      </c>
      <c r="F24" s="50">
        <v>7.0</v>
      </c>
      <c r="G24" s="50">
        <v>9.0</v>
      </c>
      <c r="H24" s="50">
        <v>11.0</v>
      </c>
      <c r="I24" s="50">
        <v>14.0</v>
      </c>
      <c r="J24" s="50">
        <v>15.0</v>
      </c>
      <c r="K24" s="50">
        <v>16.0</v>
      </c>
      <c r="L24" s="50">
        <v>17.0</v>
      </c>
      <c r="M24" s="50">
        <v>18.0</v>
      </c>
      <c r="N24" s="50">
        <v>19.0</v>
      </c>
      <c r="O24" s="50">
        <v>20.0</v>
      </c>
      <c r="P24" s="50">
        <v>21.0</v>
      </c>
      <c r="Q24" s="50">
        <v>22.0</v>
      </c>
      <c r="R24" s="50">
        <v>23.0</v>
      </c>
      <c r="S24" s="50">
        <v>24.0</v>
      </c>
      <c r="T24" s="50">
        <v>25.0</v>
      </c>
      <c r="U24" s="50">
        <v>26.0</v>
      </c>
      <c r="V24" s="50">
        <v>27.0</v>
      </c>
      <c r="W24" s="50">
        <v>28.0</v>
      </c>
      <c r="X24" s="50">
        <v>29.0</v>
      </c>
      <c r="Y24" s="50">
        <v>30.0</v>
      </c>
      <c r="Z24" s="51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49">
        <f>'試算-SLOT'!G25</f>
        <v>0.03</v>
      </c>
      <c r="F25" s="50">
        <v>3.0</v>
      </c>
      <c r="G25" s="50">
        <v>4.0</v>
      </c>
      <c r="H25" s="50">
        <v>6.0</v>
      </c>
      <c r="I25" s="50">
        <v>7.0</v>
      </c>
      <c r="J25" s="50">
        <v>9.0</v>
      </c>
      <c r="K25" s="50">
        <v>11.0</v>
      </c>
      <c r="L25" s="50">
        <v>13.0</v>
      </c>
      <c r="M25" s="50">
        <v>14.0</v>
      </c>
      <c r="N25" s="50">
        <v>16.0</v>
      </c>
      <c r="O25" s="50">
        <v>18.0</v>
      </c>
      <c r="P25" s="50">
        <v>19.0</v>
      </c>
      <c r="Q25" s="50">
        <v>20.0</v>
      </c>
      <c r="R25" s="50">
        <v>21.0</v>
      </c>
      <c r="S25" s="50">
        <v>22.0</v>
      </c>
      <c r="T25" s="50">
        <v>23.0</v>
      </c>
      <c r="U25" s="50">
        <v>24.0</v>
      </c>
      <c r="V25" s="50">
        <v>25.0</v>
      </c>
      <c r="W25" s="50">
        <v>26.0</v>
      </c>
      <c r="X25" s="50">
        <v>27.0</v>
      </c>
      <c r="Y25" s="50">
        <v>28.0</v>
      </c>
      <c r="Z25" s="51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49">
        <f>'試算-SLOT'!G26</f>
        <v>0.05</v>
      </c>
      <c r="F26" s="50">
        <v>4.0</v>
      </c>
      <c r="G26" s="50">
        <v>6.0</v>
      </c>
      <c r="H26" s="50">
        <v>7.0</v>
      </c>
      <c r="I26" s="50">
        <v>9.0</v>
      </c>
      <c r="J26" s="50">
        <v>11.0</v>
      </c>
      <c r="K26" s="50">
        <v>13.0</v>
      </c>
      <c r="L26" s="50">
        <v>14.0</v>
      </c>
      <c r="M26" s="50">
        <v>16.0</v>
      </c>
      <c r="N26" s="50">
        <v>18.0</v>
      </c>
      <c r="O26" s="50">
        <v>19.0</v>
      </c>
      <c r="P26" s="50">
        <v>20.0</v>
      </c>
      <c r="Q26" s="50">
        <v>21.0</v>
      </c>
      <c r="R26" s="50">
        <v>22.0</v>
      </c>
      <c r="S26" s="50">
        <v>23.0</v>
      </c>
      <c r="T26" s="50">
        <v>24.0</v>
      </c>
      <c r="U26" s="50">
        <v>25.0</v>
      </c>
      <c r="V26" s="50">
        <v>26.0</v>
      </c>
      <c r="W26" s="50">
        <v>27.0</v>
      </c>
      <c r="X26" s="50">
        <v>28.0</v>
      </c>
      <c r="Y26" s="50">
        <v>29.0</v>
      </c>
      <c r="Z26" s="51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49">
        <f>'試算-SLOT'!G27</f>
        <v>0.5</v>
      </c>
      <c r="F27" s="50">
        <v>2.0</v>
      </c>
      <c r="G27" s="50">
        <v>4.0</v>
      </c>
      <c r="H27" s="50">
        <v>6.0</v>
      </c>
      <c r="I27" s="50">
        <v>7.0</v>
      </c>
      <c r="J27" s="50">
        <v>9.0</v>
      </c>
      <c r="K27" s="50">
        <v>11.0</v>
      </c>
      <c r="L27" s="50">
        <v>13.0</v>
      </c>
      <c r="M27" s="50">
        <v>14.0</v>
      </c>
      <c r="N27" s="50">
        <v>16.0</v>
      </c>
      <c r="O27" s="50">
        <v>18.0</v>
      </c>
      <c r="P27" s="50">
        <v>19.0</v>
      </c>
      <c r="Q27" s="50">
        <v>20.0</v>
      </c>
      <c r="R27" s="50">
        <v>21.0</v>
      </c>
      <c r="S27" s="50">
        <v>22.0</v>
      </c>
      <c r="T27" s="50">
        <v>23.0</v>
      </c>
      <c r="U27" s="50">
        <v>24.0</v>
      </c>
      <c r="V27" s="50">
        <v>25.0</v>
      </c>
      <c r="W27" s="50">
        <v>26.0</v>
      </c>
      <c r="X27" s="50">
        <v>27.0</v>
      </c>
      <c r="Y27" s="50">
        <v>28.0</v>
      </c>
      <c r="Z27" s="51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49">
        <f>'試算-SLOT'!G28</f>
        <v>0.002</v>
      </c>
      <c r="F28" s="50">
        <v>4.0</v>
      </c>
      <c r="G28" s="50">
        <v>6.0</v>
      </c>
      <c r="H28" s="50">
        <v>7.0</v>
      </c>
      <c r="I28" s="50">
        <v>9.0</v>
      </c>
      <c r="J28" s="50">
        <v>11.0</v>
      </c>
      <c r="K28" s="50">
        <v>13.0</v>
      </c>
      <c r="L28" s="50">
        <v>14.0</v>
      </c>
      <c r="M28" s="50">
        <v>16.0</v>
      </c>
      <c r="N28" s="50">
        <v>18.0</v>
      </c>
      <c r="O28" s="50">
        <v>19.0</v>
      </c>
      <c r="P28" s="50">
        <v>20.0</v>
      </c>
      <c r="Q28" s="50">
        <v>21.0</v>
      </c>
      <c r="R28" s="50">
        <v>22.0</v>
      </c>
      <c r="S28" s="50">
        <v>23.0</v>
      </c>
      <c r="T28" s="50">
        <v>24.0</v>
      </c>
      <c r="U28" s="50">
        <v>25.0</v>
      </c>
      <c r="V28" s="50">
        <v>26.0</v>
      </c>
      <c r="W28" s="50">
        <v>27.0</v>
      </c>
      <c r="X28" s="50">
        <v>28.0</v>
      </c>
      <c r="Y28" s="50">
        <v>29.0</v>
      </c>
      <c r="Z28" s="51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49">
        <f>'試算-SLOT'!G29</f>
        <v>0.01</v>
      </c>
      <c r="F29" s="50">
        <v>3.0</v>
      </c>
      <c r="G29" s="50">
        <v>4.0</v>
      </c>
      <c r="H29" s="50">
        <v>6.0</v>
      </c>
      <c r="I29" s="50">
        <v>7.0</v>
      </c>
      <c r="J29" s="50">
        <v>9.0</v>
      </c>
      <c r="K29" s="50">
        <v>11.0</v>
      </c>
      <c r="L29" s="50">
        <v>13.0</v>
      </c>
      <c r="M29" s="50">
        <v>14.0</v>
      </c>
      <c r="N29" s="50">
        <v>16.0</v>
      </c>
      <c r="O29" s="50">
        <v>18.0</v>
      </c>
      <c r="P29" s="50">
        <v>19.0</v>
      </c>
      <c r="Q29" s="50">
        <v>20.0</v>
      </c>
      <c r="R29" s="50">
        <v>21.0</v>
      </c>
      <c r="S29" s="50">
        <v>22.0</v>
      </c>
      <c r="T29" s="50">
        <v>23.0</v>
      </c>
      <c r="U29" s="50">
        <v>24.0</v>
      </c>
      <c r="V29" s="50">
        <v>25.0</v>
      </c>
      <c r="W29" s="50">
        <v>26.0</v>
      </c>
      <c r="X29" s="50">
        <v>27.0</v>
      </c>
      <c r="Y29" s="50">
        <v>28.0</v>
      </c>
      <c r="Z29" s="51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49">
        <f>'試算-SLOT'!G30</f>
        <v>0.002</v>
      </c>
      <c r="F30" s="50">
        <v>3.0</v>
      </c>
      <c r="G30" s="50">
        <v>4.0</v>
      </c>
      <c r="H30" s="50">
        <v>6.0</v>
      </c>
      <c r="I30" s="50">
        <v>7.0</v>
      </c>
      <c r="J30" s="50">
        <v>9.0</v>
      </c>
      <c r="K30" s="50">
        <v>11.0</v>
      </c>
      <c r="L30" s="50">
        <v>13.0</v>
      </c>
      <c r="M30" s="50">
        <v>14.0</v>
      </c>
      <c r="N30" s="50">
        <v>16.0</v>
      </c>
      <c r="O30" s="50">
        <v>18.0</v>
      </c>
      <c r="P30" s="50">
        <v>19.0</v>
      </c>
      <c r="Q30" s="50">
        <v>20.0</v>
      </c>
      <c r="R30" s="50">
        <v>21.0</v>
      </c>
      <c r="S30" s="50">
        <v>22.0</v>
      </c>
      <c r="T30" s="50">
        <v>23.0</v>
      </c>
      <c r="U30" s="50">
        <v>24.0</v>
      </c>
      <c r="V30" s="50">
        <v>25.0</v>
      </c>
      <c r="W30" s="50">
        <v>26.0</v>
      </c>
      <c r="X30" s="50">
        <v>27.0</v>
      </c>
      <c r="Y30" s="50">
        <v>28.0</v>
      </c>
      <c r="Z30" s="51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49">
        <f>'試算-SLOT'!G31</f>
        <v>0.1</v>
      </c>
      <c r="F31" s="50">
        <v>4.0</v>
      </c>
      <c r="G31" s="50">
        <v>6.0</v>
      </c>
      <c r="H31" s="50">
        <v>7.0</v>
      </c>
      <c r="I31" s="50">
        <v>9.0</v>
      </c>
      <c r="J31" s="50">
        <v>11.0</v>
      </c>
      <c r="K31" s="50">
        <v>13.0</v>
      </c>
      <c r="L31" s="50">
        <v>14.0</v>
      </c>
      <c r="M31" s="50">
        <v>16.0</v>
      </c>
      <c r="N31" s="50">
        <v>18.0</v>
      </c>
      <c r="O31" s="50">
        <v>19.0</v>
      </c>
      <c r="P31" s="50">
        <v>20.0</v>
      </c>
      <c r="Q31" s="50">
        <v>21.0</v>
      </c>
      <c r="R31" s="50">
        <v>22.0</v>
      </c>
      <c r="S31" s="50">
        <v>23.0</v>
      </c>
      <c r="T31" s="50">
        <v>24.0</v>
      </c>
      <c r="U31" s="50">
        <v>25.0</v>
      </c>
      <c r="V31" s="50">
        <v>26.0</v>
      </c>
      <c r="W31" s="50">
        <v>27.0</v>
      </c>
      <c r="X31" s="50">
        <v>28.0</v>
      </c>
      <c r="Y31" s="50">
        <v>29.0</v>
      </c>
      <c r="Z31" s="51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49">
        <f>'試算-SLOT'!G32</f>
        <v>0.002</v>
      </c>
      <c r="F32" s="50">
        <v>1.0</v>
      </c>
      <c r="G32" s="50">
        <v>2.0</v>
      </c>
      <c r="H32" s="50">
        <v>3.0</v>
      </c>
      <c r="I32" s="50">
        <v>4.0</v>
      </c>
      <c r="J32" s="50">
        <v>5.0</v>
      </c>
      <c r="K32" s="50">
        <v>6.0</v>
      </c>
      <c r="L32" s="50">
        <v>7.0</v>
      </c>
      <c r="M32" s="50">
        <v>8.0</v>
      </c>
      <c r="N32" s="50">
        <v>9.0</v>
      </c>
      <c r="O32" s="50">
        <v>10.0</v>
      </c>
      <c r="P32" s="50">
        <v>11.0</v>
      </c>
      <c r="Q32" s="50">
        <v>12.0</v>
      </c>
      <c r="R32" s="50">
        <v>13.0</v>
      </c>
      <c r="S32" s="50">
        <v>14.0</v>
      </c>
      <c r="T32" s="50">
        <v>15.0</v>
      </c>
      <c r="U32" s="50">
        <v>16.0</v>
      </c>
      <c r="V32" s="50">
        <v>17.0</v>
      </c>
      <c r="W32" s="50">
        <v>18.0</v>
      </c>
      <c r="X32" s="50">
        <v>19.0</v>
      </c>
      <c r="Y32" s="50">
        <v>20.0</v>
      </c>
      <c r="Z32" s="51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49">
        <f>'試算-SLOT'!G33</f>
        <v>0.02</v>
      </c>
      <c r="F33" s="50">
        <v>4.0</v>
      </c>
      <c r="G33" s="50">
        <v>6.0</v>
      </c>
      <c r="H33" s="50">
        <v>7.0</v>
      </c>
      <c r="I33" s="50">
        <v>9.0</v>
      </c>
      <c r="J33" s="50">
        <v>11.0</v>
      </c>
      <c r="K33" s="50">
        <v>13.0</v>
      </c>
      <c r="L33" s="50">
        <v>14.0</v>
      </c>
      <c r="M33" s="50">
        <v>16.0</v>
      </c>
      <c r="N33" s="50">
        <v>18.0</v>
      </c>
      <c r="O33" s="50">
        <v>19.0</v>
      </c>
      <c r="P33" s="50">
        <v>20.0</v>
      </c>
      <c r="Q33" s="50">
        <v>21.0</v>
      </c>
      <c r="R33" s="50">
        <v>22.0</v>
      </c>
      <c r="S33" s="50">
        <v>23.0</v>
      </c>
      <c r="T33" s="50">
        <v>24.0</v>
      </c>
      <c r="U33" s="50">
        <v>25.0</v>
      </c>
      <c r="V33" s="50">
        <v>26.0</v>
      </c>
      <c r="W33" s="50">
        <v>27.0</v>
      </c>
      <c r="X33" s="50">
        <v>28.0</v>
      </c>
      <c r="Y33" s="50">
        <v>29.0</v>
      </c>
      <c r="Z33" s="51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49">
        <f>'試算-SLOT'!G34</f>
        <v>0.02</v>
      </c>
      <c r="F34" s="50">
        <v>3.0</v>
      </c>
      <c r="G34" s="50">
        <v>4.0</v>
      </c>
      <c r="H34" s="50">
        <v>6.0</v>
      </c>
      <c r="I34" s="50">
        <v>7.0</v>
      </c>
      <c r="J34" s="50">
        <v>9.0</v>
      </c>
      <c r="K34" s="50">
        <v>11.0</v>
      </c>
      <c r="L34" s="50">
        <v>14.0</v>
      </c>
      <c r="M34" s="50">
        <v>16.0</v>
      </c>
      <c r="N34" s="50">
        <v>18.0</v>
      </c>
      <c r="O34" s="50">
        <v>19.0</v>
      </c>
      <c r="P34" s="50">
        <v>20.0</v>
      </c>
      <c r="Q34" s="50">
        <v>21.0</v>
      </c>
      <c r="R34" s="50">
        <v>22.0</v>
      </c>
      <c r="S34" s="50">
        <v>23.0</v>
      </c>
      <c r="T34" s="50">
        <v>24.0</v>
      </c>
      <c r="U34" s="50">
        <v>25.0</v>
      </c>
      <c r="V34" s="50">
        <v>26.0</v>
      </c>
      <c r="W34" s="50">
        <v>27.0</v>
      </c>
      <c r="X34" s="50">
        <v>28.0</v>
      </c>
      <c r="Y34" s="50">
        <v>29.0</v>
      </c>
      <c r="Z34" s="51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49">
        <f>'試算-SLOT'!G35</f>
        <v>0.002</v>
      </c>
      <c r="F35" s="50">
        <v>7.0</v>
      </c>
      <c r="G35" s="50">
        <v>9.0</v>
      </c>
      <c r="H35" s="50">
        <v>11.0</v>
      </c>
      <c r="I35" s="50">
        <v>14.0</v>
      </c>
      <c r="J35" s="50">
        <v>15.0</v>
      </c>
      <c r="K35" s="50">
        <v>16.0</v>
      </c>
      <c r="L35" s="50">
        <v>17.0</v>
      </c>
      <c r="M35" s="50">
        <v>18.0</v>
      </c>
      <c r="N35" s="50">
        <v>19.0</v>
      </c>
      <c r="O35" s="50">
        <v>20.0</v>
      </c>
      <c r="P35" s="50">
        <v>21.0</v>
      </c>
      <c r="Q35" s="50">
        <v>22.0</v>
      </c>
      <c r="R35" s="50">
        <v>23.0</v>
      </c>
      <c r="S35" s="50">
        <v>24.0</v>
      </c>
      <c r="T35" s="50">
        <v>25.0</v>
      </c>
      <c r="U35" s="50">
        <v>26.0</v>
      </c>
      <c r="V35" s="50">
        <v>27.0</v>
      </c>
      <c r="W35" s="50">
        <v>28.0</v>
      </c>
      <c r="X35" s="50">
        <v>29.0</v>
      </c>
      <c r="Y35" s="50">
        <v>30.0</v>
      </c>
      <c r="Z35" s="51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49">
        <f>'試算-SLOT'!G36</f>
        <v>0.002</v>
      </c>
      <c r="F36" s="50">
        <v>2.0</v>
      </c>
      <c r="G36" s="50">
        <v>3.0</v>
      </c>
      <c r="H36" s="50">
        <v>4.0</v>
      </c>
      <c r="I36" s="50">
        <v>5.0</v>
      </c>
      <c r="J36" s="50">
        <v>6.0</v>
      </c>
      <c r="K36" s="50">
        <v>7.0</v>
      </c>
      <c r="L36" s="50">
        <v>8.0</v>
      </c>
      <c r="M36" s="50">
        <v>9.0</v>
      </c>
      <c r="N36" s="50">
        <v>11.0</v>
      </c>
      <c r="O36" s="50">
        <v>13.0</v>
      </c>
      <c r="P36" s="50">
        <v>14.0</v>
      </c>
      <c r="Q36" s="50">
        <v>16.0</v>
      </c>
      <c r="R36" s="50">
        <v>18.0</v>
      </c>
      <c r="S36" s="50">
        <v>19.0</v>
      </c>
      <c r="T36" s="50">
        <v>20.0</v>
      </c>
      <c r="U36" s="50">
        <v>21.0</v>
      </c>
      <c r="V36" s="50">
        <v>22.0</v>
      </c>
      <c r="W36" s="50">
        <v>23.0</v>
      </c>
      <c r="X36" s="50">
        <v>24.0</v>
      </c>
      <c r="Y36" s="50">
        <v>25.0</v>
      </c>
      <c r="Z36" s="51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49">
        <f>'試算-SLOT'!G37</f>
        <v>0.002</v>
      </c>
      <c r="F37" s="50">
        <v>3.0</v>
      </c>
      <c r="G37" s="50">
        <v>4.0</v>
      </c>
      <c r="H37" s="50">
        <v>5.0</v>
      </c>
      <c r="I37" s="50">
        <v>6.0</v>
      </c>
      <c r="J37" s="50">
        <v>7.0</v>
      </c>
      <c r="K37" s="50">
        <v>8.0</v>
      </c>
      <c r="L37" s="50">
        <v>9.0</v>
      </c>
      <c r="M37" s="50">
        <v>11.0</v>
      </c>
      <c r="N37" s="50">
        <v>13.0</v>
      </c>
      <c r="O37" s="50">
        <v>14.0</v>
      </c>
      <c r="P37" s="50">
        <v>16.0</v>
      </c>
      <c r="Q37" s="50">
        <v>18.0</v>
      </c>
      <c r="R37" s="50">
        <v>19.0</v>
      </c>
      <c r="S37" s="50">
        <v>20.0</v>
      </c>
      <c r="T37" s="50">
        <v>21.0</v>
      </c>
      <c r="U37" s="50">
        <v>22.0</v>
      </c>
      <c r="V37" s="50">
        <v>23.0</v>
      </c>
      <c r="W37" s="50">
        <v>24.0</v>
      </c>
      <c r="X37" s="50">
        <v>25.0</v>
      </c>
      <c r="Y37" s="50">
        <v>26.0</v>
      </c>
      <c r="Z37" s="51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49">
        <f>'試算-SLOT'!G38</f>
        <v>0.002</v>
      </c>
      <c r="F38" s="50">
        <v>1.0</v>
      </c>
      <c r="G38" s="50">
        <v>2.0</v>
      </c>
      <c r="H38" s="50">
        <v>3.0</v>
      </c>
      <c r="I38" s="50">
        <v>4.0</v>
      </c>
      <c r="J38" s="50">
        <v>5.0</v>
      </c>
      <c r="K38" s="50">
        <v>6.0</v>
      </c>
      <c r="L38" s="50">
        <v>7.0</v>
      </c>
      <c r="M38" s="50">
        <v>8.0</v>
      </c>
      <c r="N38" s="50">
        <v>9.0</v>
      </c>
      <c r="O38" s="50">
        <v>10.0</v>
      </c>
      <c r="P38" s="50">
        <v>11.0</v>
      </c>
      <c r="Q38" s="50">
        <v>12.0</v>
      </c>
      <c r="R38" s="50">
        <v>13.0</v>
      </c>
      <c r="S38" s="50">
        <v>14.0</v>
      </c>
      <c r="T38" s="50">
        <v>15.0</v>
      </c>
      <c r="U38" s="50">
        <v>16.0</v>
      </c>
      <c r="V38" s="50">
        <v>17.0</v>
      </c>
      <c r="W38" s="50">
        <v>18.0</v>
      </c>
      <c r="X38" s="50">
        <v>19.0</v>
      </c>
      <c r="Y38" s="50">
        <v>20.0</v>
      </c>
      <c r="Z38" s="51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49">
        <f>'試算-SLOT'!G39</f>
        <v>0.002</v>
      </c>
      <c r="F39" s="50">
        <v>7.0</v>
      </c>
      <c r="G39" s="50">
        <v>9.0</v>
      </c>
      <c r="H39" s="50">
        <v>11.0</v>
      </c>
      <c r="I39" s="50">
        <v>14.0</v>
      </c>
      <c r="J39" s="50">
        <v>15.0</v>
      </c>
      <c r="K39" s="50">
        <v>16.0</v>
      </c>
      <c r="L39" s="50">
        <v>17.0</v>
      </c>
      <c r="M39" s="50">
        <v>18.0</v>
      </c>
      <c r="N39" s="50">
        <v>19.0</v>
      </c>
      <c r="O39" s="50">
        <v>20.0</v>
      </c>
      <c r="P39" s="50">
        <v>21.0</v>
      </c>
      <c r="Q39" s="50">
        <v>22.0</v>
      </c>
      <c r="R39" s="50">
        <v>23.0</v>
      </c>
      <c r="S39" s="50">
        <v>24.0</v>
      </c>
      <c r="T39" s="50">
        <v>25.0</v>
      </c>
      <c r="U39" s="50">
        <v>26.0</v>
      </c>
      <c r="V39" s="50">
        <v>27.0</v>
      </c>
      <c r="W39" s="50">
        <v>28.0</v>
      </c>
      <c r="X39" s="50">
        <v>29.0</v>
      </c>
      <c r="Y39" s="50">
        <v>30.0</v>
      </c>
      <c r="Z39" s="51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49">
        <f>'試算-SLOT'!G40</f>
        <v>0.002</v>
      </c>
      <c r="F40" s="50">
        <v>1.0</v>
      </c>
      <c r="G40" s="50">
        <v>2.0</v>
      </c>
      <c r="H40" s="50">
        <v>3.0</v>
      </c>
      <c r="I40" s="50">
        <v>4.0</v>
      </c>
      <c r="J40" s="50">
        <v>5.0</v>
      </c>
      <c r="K40" s="50">
        <v>6.0</v>
      </c>
      <c r="L40" s="50">
        <v>7.0</v>
      </c>
      <c r="M40" s="50">
        <v>8.0</v>
      </c>
      <c r="N40" s="50">
        <v>9.0</v>
      </c>
      <c r="O40" s="50">
        <v>10.0</v>
      </c>
      <c r="P40" s="50">
        <v>11.0</v>
      </c>
      <c r="Q40" s="50">
        <v>12.0</v>
      </c>
      <c r="R40" s="50">
        <v>13.0</v>
      </c>
      <c r="S40" s="50">
        <v>14.0</v>
      </c>
      <c r="T40" s="50">
        <v>15.0</v>
      </c>
      <c r="U40" s="50">
        <v>16.0</v>
      </c>
      <c r="V40" s="50">
        <v>17.0</v>
      </c>
      <c r="W40" s="50">
        <v>18.0</v>
      </c>
      <c r="X40" s="50">
        <v>19.0</v>
      </c>
      <c r="Y40" s="50">
        <v>20.0</v>
      </c>
      <c r="Z40" s="51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49">
        <f>'試算-SLOT'!G41</f>
        <v>0.002</v>
      </c>
      <c r="F41" s="50">
        <v>1.0</v>
      </c>
      <c r="G41" s="50">
        <v>2.0</v>
      </c>
      <c r="H41" s="50">
        <v>3.0</v>
      </c>
      <c r="I41" s="50">
        <v>4.0</v>
      </c>
      <c r="J41" s="50">
        <v>5.0</v>
      </c>
      <c r="K41" s="50">
        <v>6.0</v>
      </c>
      <c r="L41" s="50">
        <v>7.0</v>
      </c>
      <c r="M41" s="50">
        <v>8.0</v>
      </c>
      <c r="N41" s="50">
        <v>9.0</v>
      </c>
      <c r="O41" s="50">
        <v>10.0</v>
      </c>
      <c r="P41" s="50">
        <v>11.0</v>
      </c>
      <c r="Q41" s="50">
        <v>12.0</v>
      </c>
      <c r="R41" s="50">
        <v>13.0</v>
      </c>
      <c r="S41" s="50">
        <v>14.0</v>
      </c>
      <c r="T41" s="50">
        <v>15.0</v>
      </c>
      <c r="U41" s="50">
        <v>16.0</v>
      </c>
      <c r="V41" s="50">
        <v>17.0</v>
      </c>
      <c r="W41" s="50">
        <v>18.0</v>
      </c>
      <c r="X41" s="50">
        <v>19.0</v>
      </c>
      <c r="Y41" s="50">
        <v>20.0</v>
      </c>
      <c r="Z41" s="51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49">
        <f>'試算-SLOT'!G42</f>
        <v>0.002</v>
      </c>
      <c r="F42" s="50">
        <v>1.0</v>
      </c>
      <c r="G42" s="50">
        <v>2.0</v>
      </c>
      <c r="H42" s="50">
        <v>3.0</v>
      </c>
      <c r="I42" s="50">
        <v>4.0</v>
      </c>
      <c r="J42" s="50">
        <v>5.0</v>
      </c>
      <c r="K42" s="50">
        <v>6.0</v>
      </c>
      <c r="L42" s="50">
        <v>7.0</v>
      </c>
      <c r="M42" s="50">
        <v>8.0</v>
      </c>
      <c r="N42" s="50">
        <v>9.0</v>
      </c>
      <c r="O42" s="50">
        <v>10.0</v>
      </c>
      <c r="P42" s="50">
        <v>11.0</v>
      </c>
      <c r="Q42" s="50">
        <v>13.0</v>
      </c>
      <c r="R42" s="50">
        <v>14.0</v>
      </c>
      <c r="S42" s="50">
        <v>16.0</v>
      </c>
      <c r="T42" s="50">
        <v>17.0</v>
      </c>
      <c r="U42" s="50">
        <v>18.0</v>
      </c>
      <c r="V42" s="50">
        <v>19.0</v>
      </c>
      <c r="W42" s="50">
        <v>20.0</v>
      </c>
      <c r="X42" s="50">
        <v>21.0</v>
      </c>
      <c r="Y42" s="50">
        <v>22.0</v>
      </c>
      <c r="Z42" s="51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49">
        <f>'試算-SLOT'!G43</f>
        <v>0.002</v>
      </c>
      <c r="F43" s="50">
        <v>1.0</v>
      </c>
      <c r="G43" s="50">
        <v>2.0</v>
      </c>
      <c r="H43" s="50">
        <v>3.0</v>
      </c>
      <c r="I43" s="50">
        <v>4.0</v>
      </c>
      <c r="J43" s="50">
        <v>5.0</v>
      </c>
      <c r="K43" s="50">
        <v>6.0</v>
      </c>
      <c r="L43" s="50">
        <v>7.0</v>
      </c>
      <c r="M43" s="50">
        <v>8.0</v>
      </c>
      <c r="N43" s="50">
        <v>9.0</v>
      </c>
      <c r="O43" s="50">
        <v>10.0</v>
      </c>
      <c r="P43" s="50">
        <v>11.0</v>
      </c>
      <c r="Q43" s="50">
        <v>13.0</v>
      </c>
      <c r="R43" s="50">
        <v>14.0</v>
      </c>
      <c r="S43" s="50">
        <v>16.0</v>
      </c>
      <c r="T43" s="50">
        <v>17.0</v>
      </c>
      <c r="U43" s="50">
        <v>18.0</v>
      </c>
      <c r="V43" s="50">
        <v>19.0</v>
      </c>
      <c r="W43" s="50">
        <v>20.0</v>
      </c>
      <c r="X43" s="50">
        <v>21.0</v>
      </c>
      <c r="Y43" s="50">
        <v>22.0</v>
      </c>
      <c r="Z43" s="51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49">
        <f>'試算-SLOT'!G44</f>
        <v>0.002</v>
      </c>
      <c r="F44" s="50">
        <v>1.0</v>
      </c>
      <c r="G44" s="50">
        <v>2.0</v>
      </c>
      <c r="H44" s="50">
        <v>3.0</v>
      </c>
      <c r="I44" s="50">
        <v>4.0</v>
      </c>
      <c r="J44" s="50">
        <v>5.0</v>
      </c>
      <c r="K44" s="50">
        <v>6.0</v>
      </c>
      <c r="L44" s="50">
        <v>7.0</v>
      </c>
      <c r="M44" s="50">
        <v>8.0</v>
      </c>
      <c r="N44" s="50">
        <v>9.0</v>
      </c>
      <c r="O44" s="50">
        <v>10.0</v>
      </c>
      <c r="P44" s="50">
        <v>11.0</v>
      </c>
      <c r="Q44" s="50">
        <v>12.0</v>
      </c>
      <c r="R44" s="50">
        <v>13.0</v>
      </c>
      <c r="S44" s="50">
        <v>14.0</v>
      </c>
      <c r="T44" s="50">
        <v>15.0</v>
      </c>
      <c r="U44" s="50">
        <v>16.0</v>
      </c>
      <c r="V44" s="50">
        <v>18.0</v>
      </c>
      <c r="W44" s="50">
        <v>19.0</v>
      </c>
      <c r="X44" s="50">
        <v>20.0</v>
      </c>
      <c r="Y44" s="50">
        <v>21.0</v>
      </c>
      <c r="Z44" s="51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49">
        <f>'試算-SLOT'!G45</f>
        <v>0.1</v>
      </c>
      <c r="F45" s="50">
        <v>4.0</v>
      </c>
      <c r="G45" s="50">
        <v>6.0</v>
      </c>
      <c r="H45" s="50">
        <v>7.0</v>
      </c>
      <c r="I45" s="50">
        <v>9.0</v>
      </c>
      <c r="J45" s="50">
        <v>11.0</v>
      </c>
      <c r="K45" s="50">
        <v>13.0</v>
      </c>
      <c r="L45" s="50">
        <v>14.0</v>
      </c>
      <c r="M45" s="50">
        <v>16.0</v>
      </c>
      <c r="N45" s="50">
        <v>18.0</v>
      </c>
      <c r="O45" s="50">
        <v>19.0</v>
      </c>
      <c r="P45" s="50">
        <v>20.0</v>
      </c>
      <c r="Q45" s="50">
        <v>21.0</v>
      </c>
      <c r="R45" s="50">
        <v>22.0</v>
      </c>
      <c r="S45" s="50">
        <v>23.0</v>
      </c>
      <c r="T45" s="50">
        <v>24.0</v>
      </c>
      <c r="U45" s="50">
        <v>25.0</v>
      </c>
      <c r="V45" s="50">
        <v>26.0</v>
      </c>
      <c r="W45" s="50">
        <v>27.0</v>
      </c>
      <c r="X45" s="50">
        <v>28.0</v>
      </c>
      <c r="Y45" s="50">
        <v>29.0</v>
      </c>
      <c r="Z45" s="51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49">
        <f>'試算-SLOT'!G46</f>
        <v>0.5</v>
      </c>
      <c r="F46" s="50">
        <v>4.0</v>
      </c>
      <c r="G46" s="50">
        <v>6.0</v>
      </c>
      <c r="H46" s="50">
        <v>7.0</v>
      </c>
      <c r="I46" s="50">
        <v>9.0</v>
      </c>
      <c r="J46" s="50">
        <v>11.0</v>
      </c>
      <c r="K46" s="50">
        <v>13.0</v>
      </c>
      <c r="L46" s="50">
        <v>14.0</v>
      </c>
      <c r="M46" s="50">
        <v>16.0</v>
      </c>
      <c r="N46" s="50">
        <v>18.0</v>
      </c>
      <c r="O46" s="50">
        <v>19.0</v>
      </c>
      <c r="P46" s="50">
        <v>20.0</v>
      </c>
      <c r="Q46" s="50">
        <v>21.0</v>
      </c>
      <c r="R46" s="50">
        <v>22.0</v>
      </c>
      <c r="S46" s="50">
        <v>23.0</v>
      </c>
      <c r="T46" s="50">
        <v>24.0</v>
      </c>
      <c r="U46" s="50">
        <v>25.0</v>
      </c>
      <c r="V46" s="50">
        <v>26.0</v>
      </c>
      <c r="W46" s="50">
        <v>27.0</v>
      </c>
      <c r="X46" s="50">
        <v>28.0</v>
      </c>
      <c r="Y46" s="50">
        <v>29.0</v>
      </c>
      <c r="Z46" s="51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49">
        <f>'試算-SLOT'!G47</f>
        <v>0.01</v>
      </c>
      <c r="F47" s="50">
        <v>4.0</v>
      </c>
      <c r="G47" s="50">
        <v>6.0</v>
      </c>
      <c r="H47" s="50">
        <v>7.0</v>
      </c>
      <c r="I47" s="50">
        <v>9.0</v>
      </c>
      <c r="J47" s="50">
        <v>11.0</v>
      </c>
      <c r="K47" s="50">
        <v>13.0</v>
      </c>
      <c r="L47" s="50">
        <v>14.0</v>
      </c>
      <c r="M47" s="50">
        <v>16.0</v>
      </c>
      <c r="N47" s="50">
        <v>18.0</v>
      </c>
      <c r="O47" s="50">
        <v>19.0</v>
      </c>
      <c r="P47" s="50">
        <v>20.0</v>
      </c>
      <c r="Q47" s="50">
        <v>21.0</v>
      </c>
      <c r="R47" s="50">
        <v>22.0</v>
      </c>
      <c r="S47" s="50">
        <v>23.0</v>
      </c>
      <c r="T47" s="50">
        <v>24.0</v>
      </c>
      <c r="U47" s="50">
        <v>25.0</v>
      </c>
      <c r="V47" s="50">
        <v>26.0</v>
      </c>
      <c r="W47" s="50">
        <v>27.0</v>
      </c>
      <c r="X47" s="50">
        <v>28.0</v>
      </c>
      <c r="Y47" s="50">
        <v>29.0</v>
      </c>
      <c r="Z47" s="51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49">
        <f>'試算-SLOT'!G48</f>
        <v>1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>
        <v>6.0</v>
      </c>
      <c r="L48" s="50">
        <v>7.0</v>
      </c>
      <c r="M48" s="50">
        <v>8.0</v>
      </c>
      <c r="N48" s="50">
        <v>9.0</v>
      </c>
      <c r="O48" s="50">
        <v>10.0</v>
      </c>
      <c r="P48" s="50">
        <v>11.0</v>
      </c>
      <c r="Q48" s="50">
        <v>13.0</v>
      </c>
      <c r="R48" s="50">
        <v>14.0</v>
      </c>
      <c r="S48" s="50">
        <v>16.0</v>
      </c>
      <c r="T48" s="50">
        <v>17.0</v>
      </c>
      <c r="U48" s="50">
        <v>18.0</v>
      </c>
      <c r="V48" s="50">
        <v>19.0</v>
      </c>
      <c r="W48" s="50">
        <v>20.0</v>
      </c>
      <c r="X48" s="50">
        <v>21.0</v>
      </c>
      <c r="Y48" s="50">
        <v>22.0</v>
      </c>
      <c r="Z48" s="53"/>
    </row>
    <row r="49">
      <c r="A49" s="54" t="str">
        <f>'試算-SLOT'!A49</f>
        <v>DZD</v>
      </c>
      <c r="B49" s="54" t="str">
        <f>'試算-SLOT'!B49</f>
        <v>دج</v>
      </c>
      <c r="C49" s="54" t="str">
        <f>'試算-SLOT'!C49</f>
        <v>阿爾及利亞第納爾</v>
      </c>
      <c r="D49" s="54" t="str">
        <f>IF('試算-SLOT'!D49=1,"",'試算-SLOT'!D49)</f>
        <v/>
      </c>
      <c r="E49" s="55">
        <f>'試算-SLOT'!G49</f>
        <v>0.002</v>
      </c>
      <c r="F49" s="56">
        <v>7.0</v>
      </c>
      <c r="G49" s="56">
        <v>9.0</v>
      </c>
      <c r="H49" s="56">
        <v>11.0</v>
      </c>
      <c r="I49" s="56">
        <v>14.0</v>
      </c>
      <c r="J49" s="56">
        <v>15.0</v>
      </c>
      <c r="K49" s="56">
        <v>16.0</v>
      </c>
      <c r="L49" s="56">
        <v>17.0</v>
      </c>
      <c r="M49" s="56">
        <v>18.0</v>
      </c>
      <c r="N49" s="56">
        <v>19.0</v>
      </c>
      <c r="O49" s="56">
        <v>20.0</v>
      </c>
      <c r="P49" s="56">
        <v>21.0</v>
      </c>
      <c r="Q49" s="56">
        <v>22.0</v>
      </c>
      <c r="R49" s="56">
        <v>23.0</v>
      </c>
      <c r="S49" s="56">
        <v>24.0</v>
      </c>
      <c r="T49" s="56">
        <v>25.0</v>
      </c>
      <c r="U49" s="56">
        <v>26.0</v>
      </c>
      <c r="V49" s="56">
        <v>27.0</v>
      </c>
      <c r="W49" s="56">
        <v>28.0</v>
      </c>
      <c r="X49" s="56">
        <v>29.0</v>
      </c>
      <c r="Y49" s="56">
        <v>30.0</v>
      </c>
      <c r="Z49" s="53"/>
      <c r="AA49" s="22"/>
      <c r="AB49" s="22"/>
      <c r="AC49" s="22"/>
      <c r="AD49" s="22"/>
      <c r="AE49" s="22"/>
      <c r="AF49" s="22"/>
      <c r="AG49" s="22"/>
      <c r="AH49" s="22"/>
      <c r="AI49" s="22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49">
        <f>'試算-SLOT'!G50</f>
        <v>0.002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>
        <v>6.0</v>
      </c>
      <c r="L50" s="50">
        <v>7.0</v>
      </c>
      <c r="M50" s="50">
        <v>8.0</v>
      </c>
      <c r="N50" s="50">
        <v>9.0</v>
      </c>
      <c r="O50" s="50">
        <v>11.0</v>
      </c>
      <c r="P50" s="50">
        <v>13.0</v>
      </c>
      <c r="Q50" s="50">
        <v>14.0</v>
      </c>
      <c r="R50" s="50">
        <v>16.0</v>
      </c>
      <c r="S50" s="50">
        <v>18.0</v>
      </c>
      <c r="T50" s="50">
        <v>19.0</v>
      </c>
      <c r="U50" s="50">
        <v>20.0</v>
      </c>
      <c r="V50" s="50">
        <v>21.0</v>
      </c>
      <c r="W50" s="50">
        <v>22.0</v>
      </c>
      <c r="X50" s="50">
        <v>23.0</v>
      </c>
      <c r="Y50" s="50">
        <v>24.0</v>
      </c>
      <c r="Z50" s="53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49">
        <f>'試算-SLOT'!G51</f>
        <v>0.002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>
        <v>6.0</v>
      </c>
      <c r="L51" s="50">
        <v>7.0</v>
      </c>
      <c r="M51" s="50">
        <v>8.0</v>
      </c>
      <c r="N51" s="50">
        <v>9.0</v>
      </c>
      <c r="O51" s="50">
        <v>11.0</v>
      </c>
      <c r="P51" s="50">
        <v>13.0</v>
      </c>
      <c r="Q51" s="50">
        <v>14.0</v>
      </c>
      <c r="R51" s="50">
        <v>16.0</v>
      </c>
      <c r="S51" s="50">
        <v>18.0</v>
      </c>
      <c r="T51" s="50">
        <v>19.0</v>
      </c>
      <c r="U51" s="50">
        <v>20.0</v>
      </c>
      <c r="V51" s="50">
        <v>21.0</v>
      </c>
      <c r="W51" s="50">
        <v>22.0</v>
      </c>
      <c r="X51" s="50">
        <v>23.0</v>
      </c>
      <c r="Y51" s="50">
        <v>24.0</v>
      </c>
      <c r="Z51" s="53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49">
        <f>'試算-SLOT'!G52</f>
        <v>0.002</v>
      </c>
      <c r="F52" s="50">
        <v>2.0</v>
      </c>
      <c r="G52" s="50">
        <v>3.0</v>
      </c>
      <c r="H52" s="50">
        <v>4.0</v>
      </c>
      <c r="I52" s="50">
        <v>5.0</v>
      </c>
      <c r="J52" s="50">
        <v>6.0</v>
      </c>
      <c r="K52" s="50">
        <v>7.0</v>
      </c>
      <c r="L52" s="50">
        <v>8.0</v>
      </c>
      <c r="M52" s="50">
        <v>9.0</v>
      </c>
      <c r="N52" s="50">
        <v>11.0</v>
      </c>
      <c r="O52" s="50">
        <v>13.0</v>
      </c>
      <c r="P52" s="50">
        <v>14.0</v>
      </c>
      <c r="Q52" s="50">
        <v>16.0</v>
      </c>
      <c r="R52" s="50">
        <v>18.0</v>
      </c>
      <c r="S52" s="50">
        <v>19.0</v>
      </c>
      <c r="T52" s="50">
        <v>20.0</v>
      </c>
      <c r="U52" s="50">
        <v>21.0</v>
      </c>
      <c r="V52" s="50">
        <v>22.0</v>
      </c>
      <c r="W52" s="50">
        <v>23.0</v>
      </c>
      <c r="X52" s="50">
        <v>24.0</v>
      </c>
      <c r="Y52" s="50">
        <v>25.0</v>
      </c>
      <c r="Z52" s="53"/>
    </row>
    <row r="53" ht="16.5" customHeight="1">
      <c r="A53" s="48" t="str">
        <f>'試算-SLOT'!A53</f>
        <v>RCC</v>
      </c>
      <c r="B53" s="48" t="str">
        <f>'試算-SLOT'!B53</f>
        <v/>
      </c>
      <c r="C53" s="48" t="str">
        <f>'試算-SLOT'!C53</f>
        <v>RCC幣</v>
      </c>
      <c r="D53" s="48" t="str">
        <f>IF('試算-SLOT'!D53=1,"",'試算-SLOT'!D53)</f>
        <v/>
      </c>
      <c r="E53" s="49">
        <f>'試算-SLOT'!G53</f>
        <v>0.002</v>
      </c>
      <c r="F53" s="50">
        <v>1.0</v>
      </c>
      <c r="G53" s="50">
        <v>2.0</v>
      </c>
      <c r="H53" s="50">
        <v>3.0</v>
      </c>
      <c r="I53" s="50">
        <v>4.0</v>
      </c>
      <c r="J53" s="50">
        <v>5.0</v>
      </c>
      <c r="K53" s="50">
        <v>6.0</v>
      </c>
      <c r="L53" s="50">
        <v>7.0</v>
      </c>
      <c r="M53" s="50">
        <v>8.0</v>
      </c>
      <c r="N53" s="50">
        <v>9.0</v>
      </c>
      <c r="O53" s="50">
        <v>10.0</v>
      </c>
      <c r="P53" s="50">
        <v>11.0</v>
      </c>
      <c r="Q53" s="50">
        <v>12.0</v>
      </c>
      <c r="R53" s="50">
        <v>13.0</v>
      </c>
      <c r="S53" s="50">
        <v>14.0</v>
      </c>
      <c r="T53" s="50">
        <v>15.0</v>
      </c>
      <c r="U53" s="50">
        <v>16.0</v>
      </c>
      <c r="V53" s="50">
        <v>17.0</v>
      </c>
      <c r="W53" s="50">
        <v>18.0</v>
      </c>
      <c r="X53" s="50">
        <v>19.0</v>
      </c>
      <c r="Y53" s="50">
        <v>20.0</v>
      </c>
      <c r="Z53" s="51"/>
    </row>
    <row r="54" ht="16.5" customHeight="1">
      <c r="A54" s="48" t="str">
        <f>'試算-SLOT'!A54</f>
        <v>KBB</v>
      </c>
      <c r="B54" s="48" t="str">
        <f>'試算-SLOT'!B54</f>
        <v/>
      </c>
      <c r="C54" s="48" t="str">
        <f>'試算-SLOT'!C54</f>
        <v>爸幣</v>
      </c>
      <c r="D54" s="48" t="str">
        <f>IF('試算-SLOT'!D54=1,"",'試算-SLOT'!D54)</f>
        <v/>
      </c>
      <c r="E54" s="49">
        <f>'試算-SLOT'!G54</f>
        <v>0.01</v>
      </c>
      <c r="F54" s="50">
        <v>3.0</v>
      </c>
      <c r="G54" s="50">
        <v>4.0</v>
      </c>
      <c r="H54" s="50">
        <v>6.0</v>
      </c>
      <c r="I54" s="50">
        <v>7.0</v>
      </c>
      <c r="J54" s="50">
        <v>9.0</v>
      </c>
      <c r="K54" s="50">
        <v>11.0</v>
      </c>
      <c r="L54" s="50">
        <v>13.0</v>
      </c>
      <c r="M54" s="50">
        <v>14.0</v>
      </c>
      <c r="N54" s="50">
        <v>16.0</v>
      </c>
      <c r="O54" s="50">
        <v>18.0</v>
      </c>
      <c r="P54" s="50">
        <v>19.0</v>
      </c>
      <c r="Q54" s="50">
        <v>20.0</v>
      </c>
      <c r="R54" s="50">
        <v>21.0</v>
      </c>
      <c r="S54" s="50">
        <v>22.0</v>
      </c>
      <c r="T54" s="50">
        <v>23.0</v>
      </c>
      <c r="U54" s="50">
        <v>24.0</v>
      </c>
      <c r="V54" s="50">
        <v>25.0</v>
      </c>
      <c r="W54" s="50">
        <v>26.0</v>
      </c>
      <c r="X54" s="50">
        <v>27.0</v>
      </c>
      <c r="Y54" s="50">
        <v>28.0</v>
      </c>
      <c r="Z54" s="57"/>
    </row>
    <row r="55" ht="16.5" customHeight="1">
      <c r="A55" s="48" t="str">
        <f>'試算-SLOT'!A55</f>
        <v>XSMY</v>
      </c>
      <c r="B55" s="48" t="str">
        <f>'試算-SLOT'!B55</f>
        <v/>
      </c>
      <c r="C55" s="48" t="str">
        <f>'試算-SLOT'!C55</f>
        <v>星城馬來西亞</v>
      </c>
      <c r="D55" s="48" t="str">
        <f>IF('試算-SLOT'!D55=1,"",'試算-SLOT'!D55)</f>
        <v/>
      </c>
      <c r="E55" s="49">
        <f>'試算-SLOT'!G55</f>
        <v>1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>
        <v>6.0</v>
      </c>
      <c r="L55" s="50">
        <v>7.0</v>
      </c>
      <c r="M55" s="50">
        <v>8.0</v>
      </c>
      <c r="N55" s="50">
        <v>9.0</v>
      </c>
      <c r="O55" s="50">
        <v>10.0</v>
      </c>
      <c r="P55" s="50">
        <v>11.0</v>
      </c>
      <c r="Q55" s="50">
        <v>13.0</v>
      </c>
      <c r="R55" s="50">
        <v>14.0</v>
      </c>
      <c r="S55" s="50">
        <v>16.0</v>
      </c>
      <c r="T55" s="50">
        <v>17.0</v>
      </c>
      <c r="U55" s="50">
        <v>18.0</v>
      </c>
      <c r="V55" s="50">
        <v>19.0</v>
      </c>
      <c r="W55" s="50">
        <v>20.0</v>
      </c>
      <c r="X55" s="50">
        <v>21.0</v>
      </c>
      <c r="Y55" s="50">
        <v>22.0</v>
      </c>
      <c r="Z55" s="57"/>
    </row>
    <row r="56" ht="16.5" customHeight="1">
      <c r="A56" s="57"/>
      <c r="B56" s="57"/>
      <c r="C56" s="57"/>
      <c r="D56" s="57"/>
      <c r="E56" s="58"/>
      <c r="F56" s="57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3"/>
    </row>
    <row r="57" ht="16.5" customHeight="1">
      <c r="A57" s="88" t="s">
        <v>73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60"/>
      <c r="AA57" s="42"/>
    </row>
    <row r="58" ht="16.5" customHeight="1">
      <c r="A58" s="43" t="str">
        <f t="shared" ref="A58:Y58" si="1">A5</f>
        <v>貨幣簡稱</v>
      </c>
      <c r="B58" s="44" t="str">
        <f t="shared" si="1"/>
        <v>貨幣符號</v>
      </c>
      <c r="C58" s="44" t="str">
        <f t="shared" si="1"/>
        <v>中文名稱</v>
      </c>
      <c r="D58" s="44" t="str">
        <f t="shared" si="1"/>
        <v>貨幣轉換</v>
      </c>
      <c r="E58" s="44" t="str">
        <f t="shared" si="1"/>
        <v>Denom</v>
      </c>
      <c r="F58" s="44" t="str">
        <f t="shared" si="1"/>
        <v>第 1 組</v>
      </c>
      <c r="G58" s="44" t="str">
        <f t="shared" si="1"/>
        <v>第 2 組</v>
      </c>
      <c r="H58" s="44" t="str">
        <f t="shared" si="1"/>
        <v>第 3 組</v>
      </c>
      <c r="I58" s="44" t="str">
        <f t="shared" si="1"/>
        <v>第 4 組</v>
      </c>
      <c r="J58" s="44" t="str">
        <f t="shared" si="1"/>
        <v>第 5 組</v>
      </c>
      <c r="K58" s="44" t="str">
        <f t="shared" si="1"/>
        <v>第 6 組</v>
      </c>
      <c r="L58" s="44" t="str">
        <f t="shared" si="1"/>
        <v>第 7 組</v>
      </c>
      <c r="M58" s="44" t="str">
        <f t="shared" si="1"/>
        <v>第 8 組</v>
      </c>
      <c r="N58" s="44" t="str">
        <f t="shared" si="1"/>
        <v>第 9 組</v>
      </c>
      <c r="O58" s="44" t="str">
        <f t="shared" si="1"/>
        <v>第 10 組</v>
      </c>
      <c r="P58" s="44" t="str">
        <f t="shared" si="1"/>
        <v>第 11 組</v>
      </c>
      <c r="Q58" s="44" t="str">
        <f t="shared" si="1"/>
        <v>第 12 組</v>
      </c>
      <c r="R58" s="44" t="str">
        <f t="shared" si="1"/>
        <v>第 13 組</v>
      </c>
      <c r="S58" s="44" t="str">
        <f t="shared" si="1"/>
        <v>第 14 組</v>
      </c>
      <c r="T58" s="44" t="str">
        <f t="shared" si="1"/>
        <v>第 15 組</v>
      </c>
      <c r="U58" s="44" t="str">
        <f t="shared" si="1"/>
        <v>第 16 組</v>
      </c>
      <c r="V58" s="44" t="str">
        <f t="shared" si="1"/>
        <v>第 17 組</v>
      </c>
      <c r="W58" s="44" t="str">
        <f t="shared" si="1"/>
        <v>第 18 組</v>
      </c>
      <c r="X58" s="44" t="str">
        <f t="shared" si="1"/>
        <v>第 19 組</v>
      </c>
      <c r="Y58" s="61" t="str">
        <f t="shared" si="1"/>
        <v>第 20 組</v>
      </c>
      <c r="Z58" s="62"/>
      <c r="AA58" s="63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48" t="str">
        <f t="shared" si="2"/>
        <v>泰銖</v>
      </c>
      <c r="D59" s="48" t="str">
        <f t="shared" si="2"/>
        <v/>
      </c>
      <c r="E59" s="64">
        <f t="shared" si="2"/>
        <v>0.002</v>
      </c>
      <c r="F59" s="65">
        <f t="shared" ref="F59:Y59" si="3">HLOOKUP(F6,$F$1:$AI$2,2) * $D$1 * $E59</f>
        <v>1</v>
      </c>
      <c r="G59" s="65">
        <f t="shared" si="3"/>
        <v>2</v>
      </c>
      <c r="H59" s="65">
        <f t="shared" si="3"/>
        <v>3</v>
      </c>
      <c r="I59" s="65">
        <f t="shared" si="3"/>
        <v>4</v>
      </c>
      <c r="J59" s="65">
        <f t="shared" si="3"/>
        <v>5</v>
      </c>
      <c r="K59" s="65">
        <f t="shared" si="3"/>
        <v>6</v>
      </c>
      <c r="L59" s="65">
        <f t="shared" si="3"/>
        <v>8</v>
      </c>
      <c r="M59" s="65">
        <f t="shared" si="3"/>
        <v>10</v>
      </c>
      <c r="N59" s="65">
        <f t="shared" si="3"/>
        <v>12</v>
      </c>
      <c r="O59" s="65">
        <f t="shared" si="3"/>
        <v>16</v>
      </c>
      <c r="P59" s="65">
        <f t="shared" si="3"/>
        <v>20</v>
      </c>
      <c r="Q59" s="65">
        <f t="shared" si="3"/>
        <v>30</v>
      </c>
      <c r="R59" s="65">
        <f t="shared" si="3"/>
        <v>40</v>
      </c>
      <c r="S59" s="65">
        <f t="shared" si="3"/>
        <v>60</v>
      </c>
      <c r="T59" s="65">
        <f t="shared" si="3"/>
        <v>100</v>
      </c>
      <c r="U59" s="65">
        <f t="shared" si="3"/>
        <v>200</v>
      </c>
      <c r="V59" s="65">
        <f t="shared" si="3"/>
        <v>300</v>
      </c>
      <c r="W59" s="65">
        <f t="shared" si="3"/>
        <v>600</v>
      </c>
      <c r="X59" s="65">
        <f t="shared" si="3"/>
        <v>1000</v>
      </c>
      <c r="Y59" s="66">
        <f t="shared" si="3"/>
        <v>1500</v>
      </c>
      <c r="Z59" s="67"/>
      <c r="AA59" s="68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48" t="str">
        <f t="shared" si="4"/>
        <v>港幣</v>
      </c>
      <c r="D60" s="48" t="str">
        <f t="shared" si="4"/>
        <v/>
      </c>
      <c r="E60" s="64">
        <f t="shared" si="4"/>
        <v>0.002</v>
      </c>
      <c r="F60" s="65">
        <f t="shared" ref="F60:Y60" si="5">HLOOKUP(F7,$F$1:$AI$2,2) * $D$1 * $E60</f>
        <v>0.2</v>
      </c>
      <c r="G60" s="65">
        <f t="shared" si="5"/>
        <v>0.4</v>
      </c>
      <c r="H60" s="65">
        <f t="shared" si="5"/>
        <v>1</v>
      </c>
      <c r="I60" s="65">
        <f t="shared" si="5"/>
        <v>2</v>
      </c>
      <c r="J60" s="65">
        <f t="shared" si="5"/>
        <v>2.4</v>
      </c>
      <c r="K60" s="65">
        <f t="shared" si="5"/>
        <v>3</v>
      </c>
      <c r="L60" s="65">
        <f t="shared" si="5"/>
        <v>4</v>
      </c>
      <c r="M60" s="65">
        <f t="shared" si="5"/>
        <v>5</v>
      </c>
      <c r="N60" s="65">
        <f t="shared" si="5"/>
        <v>6</v>
      </c>
      <c r="O60" s="65">
        <f t="shared" si="5"/>
        <v>8</v>
      </c>
      <c r="P60" s="65">
        <f t="shared" si="5"/>
        <v>10</v>
      </c>
      <c r="Q60" s="65">
        <f t="shared" si="5"/>
        <v>12</v>
      </c>
      <c r="R60" s="65">
        <f t="shared" si="5"/>
        <v>16</v>
      </c>
      <c r="S60" s="65">
        <f t="shared" si="5"/>
        <v>20</v>
      </c>
      <c r="T60" s="65">
        <f t="shared" si="5"/>
        <v>30</v>
      </c>
      <c r="U60" s="65">
        <f t="shared" si="5"/>
        <v>40</v>
      </c>
      <c r="V60" s="65">
        <f t="shared" si="5"/>
        <v>60</v>
      </c>
      <c r="W60" s="65">
        <f t="shared" si="5"/>
        <v>100</v>
      </c>
      <c r="X60" s="65">
        <f t="shared" si="5"/>
        <v>200</v>
      </c>
      <c r="Y60" s="66">
        <f t="shared" si="5"/>
        <v>300</v>
      </c>
      <c r="Z60" s="67"/>
      <c r="AA60" s="68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48" t="str">
        <f t="shared" si="6"/>
        <v>印度盧比</v>
      </c>
      <c r="D61" s="48" t="str">
        <f t="shared" si="6"/>
        <v/>
      </c>
      <c r="E61" s="64">
        <f t="shared" si="6"/>
        <v>0.002</v>
      </c>
      <c r="F61" s="65">
        <f t="shared" ref="F61:Y61" si="7">HLOOKUP(F8,$F$1:$AI$2,2) * $D$1 * $E61</f>
        <v>2</v>
      </c>
      <c r="G61" s="65">
        <f t="shared" si="7"/>
        <v>3</v>
      </c>
      <c r="H61" s="65">
        <f t="shared" si="7"/>
        <v>4</v>
      </c>
      <c r="I61" s="65">
        <f t="shared" si="7"/>
        <v>6</v>
      </c>
      <c r="J61" s="65">
        <f t="shared" si="7"/>
        <v>8</v>
      </c>
      <c r="K61" s="65">
        <f t="shared" si="7"/>
        <v>10</v>
      </c>
      <c r="L61" s="65">
        <f t="shared" si="7"/>
        <v>12</v>
      </c>
      <c r="M61" s="65">
        <f t="shared" si="7"/>
        <v>16</v>
      </c>
      <c r="N61" s="65">
        <f t="shared" si="7"/>
        <v>20</v>
      </c>
      <c r="O61" s="65">
        <f t="shared" si="7"/>
        <v>30</v>
      </c>
      <c r="P61" s="65">
        <f t="shared" si="7"/>
        <v>40</v>
      </c>
      <c r="Q61" s="65">
        <f t="shared" si="7"/>
        <v>60</v>
      </c>
      <c r="R61" s="65">
        <f t="shared" si="7"/>
        <v>100</v>
      </c>
      <c r="S61" s="65">
        <f t="shared" si="7"/>
        <v>200</v>
      </c>
      <c r="T61" s="65">
        <f t="shared" si="7"/>
        <v>300</v>
      </c>
      <c r="U61" s="65">
        <f t="shared" si="7"/>
        <v>600</v>
      </c>
      <c r="V61" s="65">
        <f t="shared" si="7"/>
        <v>1000</v>
      </c>
      <c r="W61" s="65">
        <f t="shared" si="7"/>
        <v>1500</v>
      </c>
      <c r="X61" s="65">
        <f t="shared" si="7"/>
        <v>2000</v>
      </c>
      <c r="Y61" s="66">
        <f t="shared" si="7"/>
        <v>3000</v>
      </c>
      <c r="Z61" s="67"/>
      <c r="AA61" s="68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48" t="str">
        <f t="shared" si="8"/>
        <v>印尼盧比(K)</v>
      </c>
      <c r="D62" s="48">
        <f t="shared" si="8"/>
        <v>1000</v>
      </c>
      <c r="E62" s="64">
        <f t="shared" si="8"/>
        <v>0.002</v>
      </c>
      <c r="F62" s="65">
        <f t="shared" ref="F62:Y62" si="9">HLOOKUP(F9,$F$1:$AI$2,2) * $D$1 * $E62</f>
        <v>0.4</v>
      </c>
      <c r="G62" s="65">
        <f t="shared" si="9"/>
        <v>1</v>
      </c>
      <c r="H62" s="65">
        <f t="shared" si="9"/>
        <v>2</v>
      </c>
      <c r="I62" s="65">
        <f t="shared" si="9"/>
        <v>2.4</v>
      </c>
      <c r="J62" s="65">
        <f t="shared" si="9"/>
        <v>3</v>
      </c>
      <c r="K62" s="65">
        <f t="shared" si="9"/>
        <v>4</v>
      </c>
      <c r="L62" s="65">
        <f t="shared" si="9"/>
        <v>5</v>
      </c>
      <c r="M62" s="65">
        <f t="shared" si="9"/>
        <v>6</v>
      </c>
      <c r="N62" s="65">
        <f t="shared" si="9"/>
        <v>8</v>
      </c>
      <c r="O62" s="65">
        <f t="shared" si="9"/>
        <v>10</v>
      </c>
      <c r="P62" s="65">
        <f t="shared" si="9"/>
        <v>12</v>
      </c>
      <c r="Q62" s="65">
        <f t="shared" si="9"/>
        <v>16</v>
      </c>
      <c r="R62" s="65">
        <f t="shared" si="9"/>
        <v>20</v>
      </c>
      <c r="S62" s="65">
        <f t="shared" si="9"/>
        <v>30</v>
      </c>
      <c r="T62" s="65">
        <f t="shared" si="9"/>
        <v>40</v>
      </c>
      <c r="U62" s="65">
        <f t="shared" si="9"/>
        <v>60</v>
      </c>
      <c r="V62" s="65">
        <f t="shared" si="9"/>
        <v>100</v>
      </c>
      <c r="W62" s="65">
        <f t="shared" si="9"/>
        <v>200</v>
      </c>
      <c r="X62" s="65">
        <f t="shared" si="9"/>
        <v>300</v>
      </c>
      <c r="Y62" s="66">
        <f t="shared" si="9"/>
        <v>600</v>
      </c>
      <c r="Z62" s="67"/>
      <c r="AA62" s="68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48" t="str">
        <f t="shared" si="10"/>
        <v>越南盾(K)</v>
      </c>
      <c r="D63" s="48">
        <f t="shared" si="10"/>
        <v>1000</v>
      </c>
      <c r="E63" s="64">
        <f t="shared" si="10"/>
        <v>0.002</v>
      </c>
      <c r="F63" s="65">
        <f t="shared" ref="F63:Y63" si="11">HLOOKUP(F10,$F$1:$AI$2,2) * $D$1 * $E63</f>
        <v>1</v>
      </c>
      <c r="G63" s="65">
        <f t="shared" si="11"/>
        <v>2</v>
      </c>
      <c r="H63" s="65">
        <f t="shared" si="11"/>
        <v>2.4</v>
      </c>
      <c r="I63" s="65">
        <f t="shared" si="11"/>
        <v>3</v>
      </c>
      <c r="J63" s="65">
        <f t="shared" si="11"/>
        <v>4</v>
      </c>
      <c r="K63" s="65">
        <f t="shared" si="11"/>
        <v>5</v>
      </c>
      <c r="L63" s="65">
        <f t="shared" si="11"/>
        <v>6</v>
      </c>
      <c r="M63" s="65">
        <f t="shared" si="11"/>
        <v>8</v>
      </c>
      <c r="N63" s="65">
        <f t="shared" si="11"/>
        <v>10</v>
      </c>
      <c r="O63" s="65">
        <f t="shared" si="11"/>
        <v>12</v>
      </c>
      <c r="P63" s="65">
        <f t="shared" si="11"/>
        <v>16</v>
      </c>
      <c r="Q63" s="65">
        <f t="shared" si="11"/>
        <v>20</v>
      </c>
      <c r="R63" s="65">
        <f t="shared" si="11"/>
        <v>30</v>
      </c>
      <c r="S63" s="65">
        <f t="shared" si="11"/>
        <v>40</v>
      </c>
      <c r="T63" s="65">
        <f t="shared" si="11"/>
        <v>60</v>
      </c>
      <c r="U63" s="65">
        <f t="shared" si="11"/>
        <v>100</v>
      </c>
      <c r="V63" s="65">
        <f t="shared" si="11"/>
        <v>200</v>
      </c>
      <c r="W63" s="65">
        <f t="shared" si="11"/>
        <v>300</v>
      </c>
      <c r="X63" s="65">
        <f t="shared" si="11"/>
        <v>600</v>
      </c>
      <c r="Y63" s="66">
        <f t="shared" si="11"/>
        <v>1000</v>
      </c>
      <c r="Z63" s="67"/>
      <c r="AA63" s="68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48" t="str">
        <f t="shared" si="12"/>
        <v>馬來西亞令吉</v>
      </c>
      <c r="D64" s="48" t="str">
        <f t="shared" si="12"/>
        <v/>
      </c>
      <c r="E64" s="64">
        <f t="shared" si="12"/>
        <v>0.002</v>
      </c>
      <c r="F64" s="65">
        <f t="shared" ref="F64:Y64" si="13">HLOOKUP(F11,$F$1:$AI$2,2) * $D$1 * $E64</f>
        <v>0.2</v>
      </c>
      <c r="G64" s="65">
        <f t="shared" si="13"/>
        <v>0.4</v>
      </c>
      <c r="H64" s="65">
        <f t="shared" si="13"/>
        <v>1</v>
      </c>
      <c r="I64" s="65">
        <f t="shared" si="13"/>
        <v>2</v>
      </c>
      <c r="J64" s="65">
        <f t="shared" si="13"/>
        <v>2.4</v>
      </c>
      <c r="K64" s="65">
        <f t="shared" si="13"/>
        <v>3</v>
      </c>
      <c r="L64" s="65">
        <f t="shared" si="13"/>
        <v>4</v>
      </c>
      <c r="M64" s="65">
        <f t="shared" si="13"/>
        <v>5</v>
      </c>
      <c r="N64" s="65">
        <f t="shared" si="13"/>
        <v>6</v>
      </c>
      <c r="O64" s="65">
        <f t="shared" si="13"/>
        <v>7</v>
      </c>
      <c r="P64" s="65">
        <f t="shared" si="13"/>
        <v>8</v>
      </c>
      <c r="Q64" s="65">
        <f t="shared" si="13"/>
        <v>10</v>
      </c>
      <c r="R64" s="65">
        <f t="shared" si="13"/>
        <v>12</v>
      </c>
      <c r="S64" s="65">
        <f t="shared" si="13"/>
        <v>16</v>
      </c>
      <c r="T64" s="65">
        <f t="shared" si="13"/>
        <v>20</v>
      </c>
      <c r="U64" s="65">
        <f t="shared" si="13"/>
        <v>30</v>
      </c>
      <c r="V64" s="65">
        <f t="shared" si="13"/>
        <v>40</v>
      </c>
      <c r="W64" s="65">
        <f t="shared" si="13"/>
        <v>60</v>
      </c>
      <c r="X64" s="65">
        <f t="shared" si="13"/>
        <v>100</v>
      </c>
      <c r="Y64" s="66">
        <f t="shared" si="13"/>
        <v>200</v>
      </c>
      <c r="Z64" s="67"/>
      <c r="AA64" s="68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48" t="str">
        <f t="shared" si="14"/>
        <v>新加坡幣</v>
      </c>
      <c r="D65" s="48" t="str">
        <f t="shared" si="14"/>
        <v/>
      </c>
      <c r="E65" s="64">
        <f t="shared" si="14"/>
        <v>0.002</v>
      </c>
      <c r="F65" s="65">
        <f t="shared" ref="F65:Y65" si="15">HLOOKUP(F12,$F$1:$AI$2,2) * $D$1 * $E65</f>
        <v>0.2</v>
      </c>
      <c r="G65" s="65">
        <f t="shared" si="15"/>
        <v>0.4</v>
      </c>
      <c r="H65" s="65">
        <f t="shared" si="15"/>
        <v>1</v>
      </c>
      <c r="I65" s="65">
        <f t="shared" si="15"/>
        <v>2</v>
      </c>
      <c r="J65" s="65">
        <f t="shared" si="15"/>
        <v>2.4</v>
      </c>
      <c r="K65" s="65">
        <f t="shared" si="15"/>
        <v>3</v>
      </c>
      <c r="L65" s="65">
        <f t="shared" si="15"/>
        <v>4</v>
      </c>
      <c r="M65" s="65">
        <f t="shared" si="15"/>
        <v>5</v>
      </c>
      <c r="N65" s="65">
        <f t="shared" si="15"/>
        <v>6</v>
      </c>
      <c r="O65" s="65">
        <f t="shared" si="15"/>
        <v>7</v>
      </c>
      <c r="P65" s="65">
        <f t="shared" si="15"/>
        <v>8</v>
      </c>
      <c r="Q65" s="65">
        <f t="shared" si="15"/>
        <v>9</v>
      </c>
      <c r="R65" s="65">
        <f t="shared" si="15"/>
        <v>10</v>
      </c>
      <c r="S65" s="65">
        <f t="shared" si="15"/>
        <v>12</v>
      </c>
      <c r="T65" s="65">
        <f t="shared" si="15"/>
        <v>14</v>
      </c>
      <c r="U65" s="65">
        <f t="shared" si="15"/>
        <v>16</v>
      </c>
      <c r="V65" s="65">
        <f t="shared" si="15"/>
        <v>18</v>
      </c>
      <c r="W65" s="65">
        <f t="shared" si="15"/>
        <v>20</v>
      </c>
      <c r="X65" s="65">
        <f t="shared" si="15"/>
        <v>30</v>
      </c>
      <c r="Y65" s="66">
        <f t="shared" si="15"/>
        <v>40</v>
      </c>
      <c r="Z65" s="67"/>
      <c r="AA65" s="68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48" t="str">
        <f t="shared" si="16"/>
        <v>美元</v>
      </c>
      <c r="D66" s="48" t="str">
        <f t="shared" si="16"/>
        <v/>
      </c>
      <c r="E66" s="64">
        <f t="shared" si="16"/>
        <v>0.002</v>
      </c>
      <c r="F66" s="65">
        <f t="shared" ref="F66:Y66" si="17">HLOOKUP(F13,$F$1:$AI$2,2) * $D$1 * $E66</f>
        <v>0.2</v>
      </c>
      <c r="G66" s="65">
        <f t="shared" si="17"/>
        <v>0.4</v>
      </c>
      <c r="H66" s="65">
        <f t="shared" si="17"/>
        <v>1</v>
      </c>
      <c r="I66" s="65">
        <f t="shared" si="17"/>
        <v>2</v>
      </c>
      <c r="J66" s="65">
        <f t="shared" si="17"/>
        <v>2.4</v>
      </c>
      <c r="K66" s="65">
        <f t="shared" si="17"/>
        <v>3</v>
      </c>
      <c r="L66" s="65">
        <f t="shared" si="17"/>
        <v>4</v>
      </c>
      <c r="M66" s="65">
        <f t="shared" si="17"/>
        <v>5</v>
      </c>
      <c r="N66" s="65">
        <f t="shared" si="17"/>
        <v>6</v>
      </c>
      <c r="O66" s="65">
        <f t="shared" si="17"/>
        <v>7</v>
      </c>
      <c r="P66" s="65">
        <f t="shared" si="17"/>
        <v>8</v>
      </c>
      <c r="Q66" s="65">
        <f t="shared" si="17"/>
        <v>9</v>
      </c>
      <c r="R66" s="65">
        <f t="shared" si="17"/>
        <v>10</v>
      </c>
      <c r="S66" s="65">
        <f t="shared" si="17"/>
        <v>12</v>
      </c>
      <c r="T66" s="65">
        <f t="shared" si="17"/>
        <v>14</v>
      </c>
      <c r="U66" s="65">
        <f t="shared" si="17"/>
        <v>16</v>
      </c>
      <c r="V66" s="65">
        <f t="shared" si="17"/>
        <v>18</v>
      </c>
      <c r="W66" s="65">
        <f t="shared" si="17"/>
        <v>20</v>
      </c>
      <c r="X66" s="65">
        <f t="shared" si="17"/>
        <v>30</v>
      </c>
      <c r="Y66" s="66">
        <f t="shared" si="17"/>
        <v>40</v>
      </c>
      <c r="Z66" s="67"/>
      <c r="AA66" s="68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48" t="str">
        <f t="shared" si="18"/>
        <v>孟加拉塔卡</v>
      </c>
      <c r="D67" s="48" t="str">
        <f t="shared" si="18"/>
        <v/>
      </c>
      <c r="E67" s="64">
        <f t="shared" si="18"/>
        <v>0.002</v>
      </c>
      <c r="F67" s="65">
        <f t="shared" ref="F67:Y67" si="19">HLOOKUP(F14,$F$1:$AI$2,2) * $D$1 * $E67</f>
        <v>2</v>
      </c>
      <c r="G67" s="65">
        <f t="shared" si="19"/>
        <v>3</v>
      </c>
      <c r="H67" s="65">
        <f t="shared" si="19"/>
        <v>4</v>
      </c>
      <c r="I67" s="65">
        <f t="shared" si="19"/>
        <v>6</v>
      </c>
      <c r="J67" s="65">
        <f t="shared" si="19"/>
        <v>8</v>
      </c>
      <c r="K67" s="65">
        <f t="shared" si="19"/>
        <v>10</v>
      </c>
      <c r="L67" s="65">
        <f t="shared" si="19"/>
        <v>12</v>
      </c>
      <c r="M67" s="65">
        <f t="shared" si="19"/>
        <v>16</v>
      </c>
      <c r="N67" s="65">
        <f t="shared" si="19"/>
        <v>20</v>
      </c>
      <c r="O67" s="65">
        <f t="shared" si="19"/>
        <v>30</v>
      </c>
      <c r="P67" s="65">
        <f t="shared" si="19"/>
        <v>40</v>
      </c>
      <c r="Q67" s="65">
        <f t="shared" si="19"/>
        <v>60</v>
      </c>
      <c r="R67" s="65">
        <f t="shared" si="19"/>
        <v>100</v>
      </c>
      <c r="S67" s="65">
        <f t="shared" si="19"/>
        <v>200</v>
      </c>
      <c r="T67" s="65">
        <f t="shared" si="19"/>
        <v>300</v>
      </c>
      <c r="U67" s="65">
        <f t="shared" si="19"/>
        <v>600</v>
      </c>
      <c r="V67" s="65">
        <f t="shared" si="19"/>
        <v>1000</v>
      </c>
      <c r="W67" s="65">
        <f t="shared" si="19"/>
        <v>1500</v>
      </c>
      <c r="X67" s="65">
        <f t="shared" si="19"/>
        <v>2000</v>
      </c>
      <c r="Y67" s="66">
        <f t="shared" si="19"/>
        <v>3000</v>
      </c>
      <c r="Z67" s="67"/>
      <c r="AA67" s="68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48" t="str">
        <f t="shared" si="20"/>
        <v>巴基斯坦盧比</v>
      </c>
      <c r="D68" s="48" t="str">
        <f t="shared" si="20"/>
        <v/>
      </c>
      <c r="E68" s="64">
        <f t="shared" si="20"/>
        <v>0.01</v>
      </c>
      <c r="F68" s="65">
        <f t="shared" ref="F68:Y68" si="21">HLOOKUP(F15,$F$1:$AI$2,2) * $D$1 * $E68</f>
        <v>5</v>
      </c>
      <c r="G68" s="65">
        <f t="shared" si="21"/>
        <v>10</v>
      </c>
      <c r="H68" s="65">
        <f t="shared" si="21"/>
        <v>15</v>
      </c>
      <c r="I68" s="65">
        <f t="shared" si="21"/>
        <v>20</v>
      </c>
      <c r="J68" s="65">
        <f t="shared" si="21"/>
        <v>30</v>
      </c>
      <c r="K68" s="65">
        <f t="shared" si="21"/>
        <v>40</v>
      </c>
      <c r="L68" s="65">
        <f t="shared" si="21"/>
        <v>50</v>
      </c>
      <c r="M68" s="65">
        <f t="shared" si="21"/>
        <v>60</v>
      </c>
      <c r="N68" s="65">
        <f t="shared" si="21"/>
        <v>80</v>
      </c>
      <c r="O68" s="65">
        <f t="shared" si="21"/>
        <v>100</v>
      </c>
      <c r="P68" s="65">
        <f t="shared" si="21"/>
        <v>150</v>
      </c>
      <c r="Q68" s="65">
        <f t="shared" si="21"/>
        <v>200</v>
      </c>
      <c r="R68" s="65">
        <f t="shared" si="21"/>
        <v>300</v>
      </c>
      <c r="S68" s="65">
        <f t="shared" si="21"/>
        <v>500</v>
      </c>
      <c r="T68" s="65">
        <f t="shared" si="21"/>
        <v>1000</v>
      </c>
      <c r="U68" s="65">
        <f t="shared" si="21"/>
        <v>1500</v>
      </c>
      <c r="V68" s="65">
        <f t="shared" si="21"/>
        <v>3000</v>
      </c>
      <c r="W68" s="65">
        <f t="shared" si="21"/>
        <v>5000</v>
      </c>
      <c r="X68" s="65">
        <f t="shared" si="21"/>
        <v>7500</v>
      </c>
      <c r="Y68" s="66">
        <f t="shared" si="21"/>
        <v>10000</v>
      </c>
      <c r="Z68" s="67"/>
      <c r="AA68" s="68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48" t="str">
        <f t="shared" si="22"/>
        <v>緬甸元(K)</v>
      </c>
      <c r="D69" s="48">
        <f t="shared" si="22"/>
        <v>1000</v>
      </c>
      <c r="E69" s="64">
        <f t="shared" si="22"/>
        <v>0.002</v>
      </c>
      <c r="F69" s="65">
        <f t="shared" ref="F69:Y69" si="23">HLOOKUP(F16,$F$1:$AI$2,2) * $D$1 * $E69</f>
        <v>0.2</v>
      </c>
      <c r="G69" s="65">
        <f t="shared" si="23"/>
        <v>0.4</v>
      </c>
      <c r="H69" s="65">
        <f t="shared" si="23"/>
        <v>1</v>
      </c>
      <c r="I69" s="65">
        <f t="shared" si="23"/>
        <v>2</v>
      </c>
      <c r="J69" s="65">
        <f t="shared" si="23"/>
        <v>2.4</v>
      </c>
      <c r="K69" s="65">
        <f t="shared" si="23"/>
        <v>3</v>
      </c>
      <c r="L69" s="65">
        <f t="shared" si="23"/>
        <v>4</v>
      </c>
      <c r="M69" s="65">
        <f t="shared" si="23"/>
        <v>5</v>
      </c>
      <c r="N69" s="65">
        <f t="shared" si="23"/>
        <v>6</v>
      </c>
      <c r="O69" s="65">
        <f t="shared" si="23"/>
        <v>7</v>
      </c>
      <c r="P69" s="65">
        <f t="shared" si="23"/>
        <v>8</v>
      </c>
      <c r="Q69" s="65">
        <f t="shared" si="23"/>
        <v>9</v>
      </c>
      <c r="R69" s="65">
        <f t="shared" si="23"/>
        <v>10</v>
      </c>
      <c r="S69" s="65">
        <f t="shared" si="23"/>
        <v>12</v>
      </c>
      <c r="T69" s="65">
        <f t="shared" si="23"/>
        <v>14</v>
      </c>
      <c r="U69" s="65">
        <f t="shared" si="23"/>
        <v>16</v>
      </c>
      <c r="V69" s="65">
        <f t="shared" si="23"/>
        <v>20</v>
      </c>
      <c r="W69" s="65">
        <f t="shared" si="23"/>
        <v>30</v>
      </c>
      <c r="X69" s="65">
        <f t="shared" si="23"/>
        <v>40</v>
      </c>
      <c r="Y69" s="66">
        <f t="shared" si="23"/>
        <v>60</v>
      </c>
      <c r="Z69" s="67"/>
      <c r="AA69" s="68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48" t="str">
        <f t="shared" si="24"/>
        <v>緬甸元(H)</v>
      </c>
      <c r="D70" s="48">
        <f t="shared" si="24"/>
        <v>100</v>
      </c>
      <c r="E70" s="64">
        <f t="shared" si="24"/>
        <v>0.004</v>
      </c>
      <c r="F70" s="65">
        <f t="shared" ref="F70:Y70" si="25">HLOOKUP(F17,$F$1:$AI$2,2) * $D$1 * $E70</f>
        <v>0.4</v>
      </c>
      <c r="G70" s="65">
        <f t="shared" si="25"/>
        <v>0.8</v>
      </c>
      <c r="H70" s="65">
        <f t="shared" si="25"/>
        <v>2</v>
      </c>
      <c r="I70" s="65">
        <f t="shared" si="25"/>
        <v>4</v>
      </c>
      <c r="J70" s="65">
        <f t="shared" si="25"/>
        <v>4.8</v>
      </c>
      <c r="K70" s="65">
        <f t="shared" si="25"/>
        <v>6</v>
      </c>
      <c r="L70" s="65">
        <f t="shared" si="25"/>
        <v>8</v>
      </c>
      <c r="M70" s="65">
        <f t="shared" si="25"/>
        <v>10</v>
      </c>
      <c r="N70" s="65">
        <f t="shared" si="25"/>
        <v>12</v>
      </c>
      <c r="O70" s="65">
        <f t="shared" si="25"/>
        <v>16</v>
      </c>
      <c r="P70" s="65">
        <f t="shared" si="25"/>
        <v>20</v>
      </c>
      <c r="Q70" s="65">
        <f t="shared" si="25"/>
        <v>24</v>
      </c>
      <c r="R70" s="65">
        <f t="shared" si="25"/>
        <v>32</v>
      </c>
      <c r="S70" s="65">
        <f t="shared" si="25"/>
        <v>40</v>
      </c>
      <c r="T70" s="65">
        <f t="shared" si="25"/>
        <v>60</v>
      </c>
      <c r="U70" s="65">
        <f t="shared" si="25"/>
        <v>80</v>
      </c>
      <c r="V70" s="65">
        <f t="shared" si="25"/>
        <v>120</v>
      </c>
      <c r="W70" s="65">
        <f t="shared" si="25"/>
        <v>200</v>
      </c>
      <c r="X70" s="65">
        <f t="shared" si="25"/>
        <v>400</v>
      </c>
      <c r="Y70" s="66">
        <f t="shared" si="25"/>
        <v>600</v>
      </c>
      <c r="Z70" s="67"/>
      <c r="AA70" s="68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48" t="str">
        <f t="shared" si="26"/>
        <v>菲律賓披索</v>
      </c>
      <c r="D71" s="48" t="str">
        <f t="shared" si="26"/>
        <v/>
      </c>
      <c r="E71" s="64">
        <f t="shared" si="26"/>
        <v>0.002</v>
      </c>
      <c r="F71" s="65">
        <f t="shared" ref="F71:Y71" si="27">HLOOKUP(F18,$F$1:$AI$2,2) * $D$1 * $E71</f>
        <v>1</v>
      </c>
      <c r="G71" s="65">
        <f t="shared" si="27"/>
        <v>2</v>
      </c>
      <c r="H71" s="65">
        <f t="shared" si="27"/>
        <v>3</v>
      </c>
      <c r="I71" s="65">
        <f t="shared" si="27"/>
        <v>4</v>
      </c>
      <c r="J71" s="65">
        <f t="shared" si="27"/>
        <v>5</v>
      </c>
      <c r="K71" s="65">
        <f t="shared" si="27"/>
        <v>6</v>
      </c>
      <c r="L71" s="65">
        <f t="shared" si="27"/>
        <v>8</v>
      </c>
      <c r="M71" s="65">
        <f t="shared" si="27"/>
        <v>10</v>
      </c>
      <c r="N71" s="65">
        <f t="shared" si="27"/>
        <v>12</v>
      </c>
      <c r="O71" s="65">
        <f t="shared" si="27"/>
        <v>16</v>
      </c>
      <c r="P71" s="65">
        <f t="shared" si="27"/>
        <v>20</v>
      </c>
      <c r="Q71" s="65">
        <f t="shared" si="27"/>
        <v>30</v>
      </c>
      <c r="R71" s="65">
        <f t="shared" si="27"/>
        <v>40</v>
      </c>
      <c r="S71" s="65">
        <f t="shared" si="27"/>
        <v>60</v>
      </c>
      <c r="T71" s="65">
        <f t="shared" si="27"/>
        <v>100</v>
      </c>
      <c r="U71" s="65">
        <f t="shared" si="27"/>
        <v>200</v>
      </c>
      <c r="V71" s="65">
        <f t="shared" si="27"/>
        <v>300</v>
      </c>
      <c r="W71" s="65">
        <f t="shared" si="27"/>
        <v>600</v>
      </c>
      <c r="X71" s="65">
        <f t="shared" si="27"/>
        <v>1000</v>
      </c>
      <c r="Y71" s="66">
        <f t="shared" si="27"/>
        <v>1500</v>
      </c>
      <c r="Z71" s="67"/>
      <c r="AA71" s="68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48" t="str">
        <f t="shared" si="28"/>
        <v>人民幣</v>
      </c>
      <c r="D72" s="48" t="str">
        <f t="shared" si="28"/>
        <v/>
      </c>
      <c r="E72" s="64">
        <f t="shared" si="28"/>
        <v>0.002</v>
      </c>
      <c r="F72" s="65">
        <f t="shared" ref="F72:Y72" si="29">HLOOKUP(F19,$F$1:$AI$2,2) * $D$1 * $E72</f>
        <v>0.2</v>
      </c>
      <c r="G72" s="65">
        <f t="shared" si="29"/>
        <v>0.4</v>
      </c>
      <c r="H72" s="65">
        <f t="shared" si="29"/>
        <v>1</v>
      </c>
      <c r="I72" s="65">
        <f t="shared" si="29"/>
        <v>2</v>
      </c>
      <c r="J72" s="65">
        <f t="shared" si="29"/>
        <v>2.4</v>
      </c>
      <c r="K72" s="65">
        <f t="shared" si="29"/>
        <v>3</v>
      </c>
      <c r="L72" s="65">
        <f t="shared" si="29"/>
        <v>4</v>
      </c>
      <c r="M72" s="65">
        <f t="shared" si="29"/>
        <v>5</v>
      </c>
      <c r="N72" s="65">
        <f t="shared" si="29"/>
        <v>6</v>
      </c>
      <c r="O72" s="65">
        <f t="shared" si="29"/>
        <v>8</v>
      </c>
      <c r="P72" s="65">
        <f t="shared" si="29"/>
        <v>10</v>
      </c>
      <c r="Q72" s="65">
        <f t="shared" si="29"/>
        <v>12</v>
      </c>
      <c r="R72" s="65">
        <f t="shared" si="29"/>
        <v>16</v>
      </c>
      <c r="S72" s="65">
        <f t="shared" si="29"/>
        <v>20</v>
      </c>
      <c r="T72" s="65">
        <f t="shared" si="29"/>
        <v>30</v>
      </c>
      <c r="U72" s="65">
        <f t="shared" si="29"/>
        <v>40</v>
      </c>
      <c r="V72" s="65">
        <f t="shared" si="29"/>
        <v>60</v>
      </c>
      <c r="W72" s="65">
        <f t="shared" si="29"/>
        <v>100</v>
      </c>
      <c r="X72" s="65">
        <f t="shared" si="29"/>
        <v>200</v>
      </c>
      <c r="Y72" s="66">
        <f t="shared" si="29"/>
        <v>300</v>
      </c>
      <c r="Z72" s="67"/>
      <c r="AA72" s="68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48" t="str">
        <f t="shared" si="30"/>
        <v>墨⻄哥披索</v>
      </c>
      <c r="D73" s="48" t="str">
        <f t="shared" si="30"/>
        <v/>
      </c>
      <c r="E73" s="64">
        <f t="shared" si="30"/>
        <v>0.002</v>
      </c>
      <c r="F73" s="65">
        <f t="shared" ref="F73:Y73" si="31">HLOOKUP(F20,$F$1:$AI$2,2) * $D$1 * $E73</f>
        <v>0.4</v>
      </c>
      <c r="G73" s="65">
        <f t="shared" si="31"/>
        <v>1</v>
      </c>
      <c r="H73" s="65">
        <f t="shared" si="31"/>
        <v>2</v>
      </c>
      <c r="I73" s="65">
        <f t="shared" si="31"/>
        <v>2.4</v>
      </c>
      <c r="J73" s="65">
        <f t="shared" si="31"/>
        <v>3</v>
      </c>
      <c r="K73" s="65">
        <f t="shared" si="31"/>
        <v>4</v>
      </c>
      <c r="L73" s="65">
        <f t="shared" si="31"/>
        <v>5</v>
      </c>
      <c r="M73" s="65">
        <f t="shared" si="31"/>
        <v>6</v>
      </c>
      <c r="N73" s="65">
        <f t="shared" si="31"/>
        <v>8</v>
      </c>
      <c r="O73" s="65">
        <f t="shared" si="31"/>
        <v>10</v>
      </c>
      <c r="P73" s="65">
        <f t="shared" si="31"/>
        <v>12</v>
      </c>
      <c r="Q73" s="65">
        <f t="shared" si="31"/>
        <v>16</v>
      </c>
      <c r="R73" s="65">
        <f t="shared" si="31"/>
        <v>20</v>
      </c>
      <c r="S73" s="65">
        <f t="shared" si="31"/>
        <v>30</v>
      </c>
      <c r="T73" s="65">
        <f t="shared" si="31"/>
        <v>40</v>
      </c>
      <c r="U73" s="65">
        <f t="shared" si="31"/>
        <v>60</v>
      </c>
      <c r="V73" s="65">
        <f t="shared" si="31"/>
        <v>100</v>
      </c>
      <c r="W73" s="65">
        <f t="shared" si="31"/>
        <v>200</v>
      </c>
      <c r="X73" s="65">
        <f t="shared" si="31"/>
        <v>300</v>
      </c>
      <c r="Y73" s="66">
        <f t="shared" si="31"/>
        <v>600</v>
      </c>
      <c r="Z73" s="67"/>
      <c r="AA73" s="68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48" t="str">
        <f t="shared" si="32"/>
        <v>巴西雷亞爾</v>
      </c>
      <c r="D74" s="48" t="str">
        <f t="shared" si="32"/>
        <v/>
      </c>
      <c r="E74" s="64">
        <f t="shared" si="32"/>
        <v>0.002</v>
      </c>
      <c r="F74" s="65">
        <f t="shared" ref="F74:Y74" si="33">HLOOKUP(F21,$F$1:$AI$2,2) * $D$1 * $E74</f>
        <v>0.2</v>
      </c>
      <c r="G74" s="65">
        <f t="shared" si="33"/>
        <v>0.4</v>
      </c>
      <c r="H74" s="65">
        <f t="shared" si="33"/>
        <v>1</v>
      </c>
      <c r="I74" s="65">
        <f t="shared" si="33"/>
        <v>2</v>
      </c>
      <c r="J74" s="65">
        <f t="shared" si="33"/>
        <v>2.4</v>
      </c>
      <c r="K74" s="65">
        <f t="shared" si="33"/>
        <v>3</v>
      </c>
      <c r="L74" s="65">
        <f t="shared" si="33"/>
        <v>4</v>
      </c>
      <c r="M74" s="65">
        <f t="shared" si="33"/>
        <v>5</v>
      </c>
      <c r="N74" s="65">
        <f t="shared" si="33"/>
        <v>6</v>
      </c>
      <c r="O74" s="65">
        <f t="shared" si="33"/>
        <v>7</v>
      </c>
      <c r="P74" s="65">
        <f t="shared" si="33"/>
        <v>8</v>
      </c>
      <c r="Q74" s="65">
        <f t="shared" si="33"/>
        <v>10</v>
      </c>
      <c r="R74" s="65">
        <f t="shared" si="33"/>
        <v>12</v>
      </c>
      <c r="S74" s="65">
        <f t="shared" si="33"/>
        <v>16</v>
      </c>
      <c r="T74" s="65">
        <f t="shared" si="33"/>
        <v>20</v>
      </c>
      <c r="U74" s="65">
        <f t="shared" si="33"/>
        <v>30</v>
      </c>
      <c r="V74" s="65">
        <f t="shared" si="33"/>
        <v>40</v>
      </c>
      <c r="W74" s="65">
        <f t="shared" si="33"/>
        <v>60</v>
      </c>
      <c r="X74" s="65">
        <f t="shared" si="33"/>
        <v>100</v>
      </c>
      <c r="Y74" s="66">
        <f t="shared" si="33"/>
        <v>200</v>
      </c>
      <c r="Z74" s="67"/>
      <c r="AA74" s="68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48" t="str">
        <f t="shared" si="34"/>
        <v>澳洲元</v>
      </c>
      <c r="D75" s="48" t="str">
        <f t="shared" si="34"/>
        <v/>
      </c>
      <c r="E75" s="64">
        <f t="shared" si="34"/>
        <v>0.002</v>
      </c>
      <c r="F75" s="65">
        <f t="shared" ref="F75:Y75" si="35">HLOOKUP(F22,$F$1:$AI$2,2) * $D$1 * $E75</f>
        <v>0.2</v>
      </c>
      <c r="G75" s="65">
        <f t="shared" si="35"/>
        <v>0.4</v>
      </c>
      <c r="H75" s="65">
        <f t="shared" si="35"/>
        <v>1</v>
      </c>
      <c r="I75" s="65">
        <f t="shared" si="35"/>
        <v>2</v>
      </c>
      <c r="J75" s="65">
        <f t="shared" si="35"/>
        <v>2.4</v>
      </c>
      <c r="K75" s="65">
        <f t="shared" si="35"/>
        <v>3</v>
      </c>
      <c r="L75" s="65">
        <f t="shared" si="35"/>
        <v>4</v>
      </c>
      <c r="M75" s="65">
        <f t="shared" si="35"/>
        <v>5</v>
      </c>
      <c r="N75" s="65">
        <f t="shared" si="35"/>
        <v>6</v>
      </c>
      <c r="O75" s="65">
        <f t="shared" si="35"/>
        <v>7</v>
      </c>
      <c r="P75" s="65">
        <f t="shared" si="35"/>
        <v>8</v>
      </c>
      <c r="Q75" s="65">
        <f t="shared" si="35"/>
        <v>9</v>
      </c>
      <c r="R75" s="65">
        <f t="shared" si="35"/>
        <v>10</v>
      </c>
      <c r="S75" s="65">
        <f t="shared" si="35"/>
        <v>12</v>
      </c>
      <c r="T75" s="65">
        <f t="shared" si="35"/>
        <v>14</v>
      </c>
      <c r="U75" s="65">
        <f t="shared" si="35"/>
        <v>16</v>
      </c>
      <c r="V75" s="65">
        <f t="shared" si="35"/>
        <v>20</v>
      </c>
      <c r="W75" s="65">
        <f t="shared" si="35"/>
        <v>30</v>
      </c>
      <c r="X75" s="65">
        <f t="shared" si="35"/>
        <v>40</v>
      </c>
      <c r="Y75" s="66">
        <f t="shared" si="35"/>
        <v>60</v>
      </c>
      <c r="Z75" s="67"/>
      <c r="AA75" s="68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48" t="str">
        <f t="shared" si="36"/>
        <v>日圓</v>
      </c>
      <c r="D76" s="48" t="str">
        <f t="shared" si="36"/>
        <v/>
      </c>
      <c r="E76" s="64">
        <f t="shared" si="36"/>
        <v>0.004</v>
      </c>
      <c r="F76" s="65">
        <f t="shared" ref="F76:Y76" si="37">HLOOKUP(F23,$F$1:$AI$2,2) * $D$1 * $E76</f>
        <v>4</v>
      </c>
      <c r="G76" s="65">
        <f t="shared" si="37"/>
        <v>6</v>
      </c>
      <c r="H76" s="65">
        <f t="shared" si="37"/>
        <v>8</v>
      </c>
      <c r="I76" s="65">
        <f t="shared" si="37"/>
        <v>12</v>
      </c>
      <c r="J76" s="65">
        <f t="shared" si="37"/>
        <v>16</v>
      </c>
      <c r="K76" s="65">
        <f t="shared" si="37"/>
        <v>20</v>
      </c>
      <c r="L76" s="65">
        <f t="shared" si="37"/>
        <v>24</v>
      </c>
      <c r="M76" s="65">
        <f t="shared" si="37"/>
        <v>32</v>
      </c>
      <c r="N76" s="65">
        <f t="shared" si="37"/>
        <v>40</v>
      </c>
      <c r="O76" s="65">
        <f t="shared" si="37"/>
        <v>60</v>
      </c>
      <c r="P76" s="65">
        <f t="shared" si="37"/>
        <v>80</v>
      </c>
      <c r="Q76" s="65">
        <f t="shared" si="37"/>
        <v>120</v>
      </c>
      <c r="R76" s="65">
        <f t="shared" si="37"/>
        <v>200</v>
      </c>
      <c r="S76" s="65">
        <f t="shared" si="37"/>
        <v>400</v>
      </c>
      <c r="T76" s="65">
        <f t="shared" si="37"/>
        <v>600</v>
      </c>
      <c r="U76" s="65">
        <f t="shared" si="37"/>
        <v>1200</v>
      </c>
      <c r="V76" s="65">
        <f t="shared" si="37"/>
        <v>2000</v>
      </c>
      <c r="W76" s="65">
        <f t="shared" si="37"/>
        <v>3000</v>
      </c>
      <c r="X76" s="65">
        <f t="shared" si="37"/>
        <v>4000</v>
      </c>
      <c r="Y76" s="66">
        <f t="shared" si="37"/>
        <v>6000</v>
      </c>
      <c r="Z76" s="67"/>
      <c r="AA76" s="68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48" t="str">
        <f t="shared" si="38"/>
        <v>韓圓</v>
      </c>
      <c r="D77" s="48" t="str">
        <f t="shared" si="38"/>
        <v/>
      </c>
      <c r="E77" s="64">
        <f t="shared" si="38"/>
        <v>0.02</v>
      </c>
      <c r="F77" s="65">
        <f t="shared" ref="F77:Y77" si="39">HLOOKUP(F24,$F$1:$AI$2,2) * $D$1 * $E77</f>
        <v>40</v>
      </c>
      <c r="G77" s="65">
        <f t="shared" si="39"/>
        <v>60</v>
      </c>
      <c r="H77" s="65">
        <f t="shared" si="39"/>
        <v>80</v>
      </c>
      <c r="I77" s="65">
        <f t="shared" si="39"/>
        <v>120</v>
      </c>
      <c r="J77" s="65">
        <f t="shared" si="39"/>
        <v>140</v>
      </c>
      <c r="K77" s="65">
        <f t="shared" si="39"/>
        <v>160</v>
      </c>
      <c r="L77" s="65">
        <f t="shared" si="39"/>
        <v>180</v>
      </c>
      <c r="M77" s="65">
        <f t="shared" si="39"/>
        <v>200</v>
      </c>
      <c r="N77" s="65">
        <f t="shared" si="39"/>
        <v>300</v>
      </c>
      <c r="O77" s="65">
        <f t="shared" si="39"/>
        <v>400</v>
      </c>
      <c r="P77" s="65">
        <f t="shared" si="39"/>
        <v>600</v>
      </c>
      <c r="Q77" s="65">
        <f t="shared" si="39"/>
        <v>1000</v>
      </c>
      <c r="R77" s="65">
        <f t="shared" si="39"/>
        <v>2000</v>
      </c>
      <c r="S77" s="65">
        <f t="shared" si="39"/>
        <v>3000</v>
      </c>
      <c r="T77" s="65">
        <f t="shared" si="39"/>
        <v>6000</v>
      </c>
      <c r="U77" s="65">
        <f t="shared" si="39"/>
        <v>10000</v>
      </c>
      <c r="V77" s="65">
        <f t="shared" si="39"/>
        <v>15000</v>
      </c>
      <c r="W77" s="65">
        <f t="shared" si="39"/>
        <v>20000</v>
      </c>
      <c r="X77" s="65">
        <f t="shared" si="39"/>
        <v>30000</v>
      </c>
      <c r="Y77" s="66">
        <f t="shared" si="39"/>
        <v>50000</v>
      </c>
      <c r="Z77" s="67"/>
      <c r="AA77" s="68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48" t="str">
        <f t="shared" si="40"/>
        <v>智利披索</v>
      </c>
      <c r="D78" s="48" t="str">
        <f t="shared" si="40"/>
        <v/>
      </c>
      <c r="E78" s="64">
        <f t="shared" si="40"/>
        <v>0.03</v>
      </c>
      <c r="F78" s="65">
        <f t="shared" ref="F78:Y78" si="41">HLOOKUP(F25,$F$1:$AI$2,2) * $D$1 * $E78</f>
        <v>15</v>
      </c>
      <c r="G78" s="65">
        <f t="shared" si="41"/>
        <v>30</v>
      </c>
      <c r="H78" s="65">
        <f t="shared" si="41"/>
        <v>45</v>
      </c>
      <c r="I78" s="65">
        <f t="shared" si="41"/>
        <v>60</v>
      </c>
      <c r="J78" s="65">
        <f t="shared" si="41"/>
        <v>90</v>
      </c>
      <c r="K78" s="65">
        <f t="shared" si="41"/>
        <v>120</v>
      </c>
      <c r="L78" s="65">
        <f t="shared" si="41"/>
        <v>150</v>
      </c>
      <c r="M78" s="65">
        <f t="shared" si="41"/>
        <v>180</v>
      </c>
      <c r="N78" s="65">
        <f t="shared" si="41"/>
        <v>240</v>
      </c>
      <c r="O78" s="65">
        <f t="shared" si="41"/>
        <v>300</v>
      </c>
      <c r="P78" s="65">
        <f t="shared" si="41"/>
        <v>450</v>
      </c>
      <c r="Q78" s="65">
        <f t="shared" si="41"/>
        <v>600</v>
      </c>
      <c r="R78" s="65">
        <f t="shared" si="41"/>
        <v>900</v>
      </c>
      <c r="S78" s="65">
        <f t="shared" si="41"/>
        <v>1500</v>
      </c>
      <c r="T78" s="65">
        <f t="shared" si="41"/>
        <v>3000</v>
      </c>
      <c r="U78" s="65">
        <f t="shared" si="41"/>
        <v>4500</v>
      </c>
      <c r="V78" s="65">
        <f t="shared" si="41"/>
        <v>9000</v>
      </c>
      <c r="W78" s="65">
        <f t="shared" si="41"/>
        <v>15000</v>
      </c>
      <c r="X78" s="65">
        <f t="shared" si="41"/>
        <v>22500</v>
      </c>
      <c r="Y78" s="66">
        <f t="shared" si="41"/>
        <v>30000</v>
      </c>
      <c r="Z78" s="67"/>
      <c r="AA78" s="68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48" t="str">
        <f t="shared" si="42"/>
        <v>緬甸元</v>
      </c>
      <c r="D79" s="48" t="str">
        <f t="shared" si="42"/>
        <v/>
      </c>
      <c r="E79" s="64">
        <f t="shared" si="42"/>
        <v>0.05</v>
      </c>
      <c r="F79" s="65">
        <f t="shared" ref="F79:Y79" si="43">HLOOKUP(F26,$F$1:$AI$2,2) * $D$1 * $E79</f>
        <v>50</v>
      </c>
      <c r="G79" s="65">
        <f t="shared" si="43"/>
        <v>75</v>
      </c>
      <c r="H79" s="65">
        <f t="shared" si="43"/>
        <v>100</v>
      </c>
      <c r="I79" s="65">
        <f t="shared" si="43"/>
        <v>150</v>
      </c>
      <c r="J79" s="65">
        <f t="shared" si="43"/>
        <v>200</v>
      </c>
      <c r="K79" s="65">
        <f t="shared" si="43"/>
        <v>250</v>
      </c>
      <c r="L79" s="65">
        <f t="shared" si="43"/>
        <v>300</v>
      </c>
      <c r="M79" s="65">
        <f t="shared" si="43"/>
        <v>400</v>
      </c>
      <c r="N79" s="65">
        <f t="shared" si="43"/>
        <v>500</v>
      </c>
      <c r="O79" s="65">
        <f t="shared" si="43"/>
        <v>750</v>
      </c>
      <c r="P79" s="65">
        <f t="shared" si="43"/>
        <v>1000</v>
      </c>
      <c r="Q79" s="65">
        <f t="shared" si="43"/>
        <v>1500</v>
      </c>
      <c r="R79" s="65">
        <f t="shared" si="43"/>
        <v>2500</v>
      </c>
      <c r="S79" s="65">
        <f t="shared" si="43"/>
        <v>5000</v>
      </c>
      <c r="T79" s="65">
        <f t="shared" si="43"/>
        <v>7500</v>
      </c>
      <c r="U79" s="65">
        <f t="shared" si="43"/>
        <v>15000</v>
      </c>
      <c r="V79" s="65">
        <f t="shared" si="43"/>
        <v>25000</v>
      </c>
      <c r="W79" s="65">
        <f t="shared" si="43"/>
        <v>37500</v>
      </c>
      <c r="X79" s="65">
        <f t="shared" si="43"/>
        <v>50000</v>
      </c>
      <c r="Y79" s="66">
        <f t="shared" si="43"/>
        <v>75000</v>
      </c>
      <c r="Z79" s="67"/>
      <c r="AA79" s="68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48" t="str">
        <f t="shared" si="44"/>
        <v>印尼盧比</v>
      </c>
      <c r="D80" s="48" t="str">
        <f t="shared" si="44"/>
        <v/>
      </c>
      <c r="E80" s="64">
        <f t="shared" si="44"/>
        <v>0.5</v>
      </c>
      <c r="F80" s="65">
        <f t="shared" ref="F80:Y80" si="45">HLOOKUP(F27,$F$1:$AI$2,2) * $D$1 * $E80</f>
        <v>100</v>
      </c>
      <c r="G80" s="65">
        <f t="shared" si="45"/>
        <v>500</v>
      </c>
      <c r="H80" s="65">
        <f t="shared" si="45"/>
        <v>750</v>
      </c>
      <c r="I80" s="65">
        <f t="shared" si="45"/>
        <v>1000</v>
      </c>
      <c r="J80" s="65">
        <f t="shared" si="45"/>
        <v>1500</v>
      </c>
      <c r="K80" s="65">
        <f t="shared" si="45"/>
        <v>2000</v>
      </c>
      <c r="L80" s="65">
        <f t="shared" si="45"/>
        <v>2500</v>
      </c>
      <c r="M80" s="65">
        <f t="shared" si="45"/>
        <v>3000</v>
      </c>
      <c r="N80" s="65">
        <f t="shared" si="45"/>
        <v>4000</v>
      </c>
      <c r="O80" s="65">
        <f t="shared" si="45"/>
        <v>5000</v>
      </c>
      <c r="P80" s="65">
        <f t="shared" si="45"/>
        <v>7500</v>
      </c>
      <c r="Q80" s="65">
        <f t="shared" si="45"/>
        <v>10000</v>
      </c>
      <c r="R80" s="65">
        <f t="shared" si="45"/>
        <v>15000</v>
      </c>
      <c r="S80" s="65">
        <f t="shared" si="45"/>
        <v>25000</v>
      </c>
      <c r="T80" s="65">
        <f t="shared" si="45"/>
        <v>50000</v>
      </c>
      <c r="U80" s="65">
        <f t="shared" si="45"/>
        <v>75000</v>
      </c>
      <c r="V80" s="65">
        <f t="shared" si="45"/>
        <v>150000</v>
      </c>
      <c r="W80" s="65">
        <f t="shared" si="45"/>
        <v>250000</v>
      </c>
      <c r="X80" s="65">
        <f t="shared" si="45"/>
        <v>375000</v>
      </c>
      <c r="Y80" s="66">
        <f t="shared" si="45"/>
        <v>500000</v>
      </c>
      <c r="Z80" s="67"/>
      <c r="AA80" s="68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48" t="str">
        <f t="shared" si="46"/>
        <v>盧布</v>
      </c>
      <c r="D81" s="48" t="str">
        <f t="shared" si="46"/>
        <v/>
      </c>
      <c r="E81" s="64">
        <f t="shared" si="46"/>
        <v>0.002</v>
      </c>
      <c r="F81" s="65">
        <f t="shared" ref="F81:Y81" si="47">HLOOKUP(F28,$F$1:$AI$2,2) * $D$1 * $E81</f>
        <v>2</v>
      </c>
      <c r="G81" s="65">
        <f t="shared" si="47"/>
        <v>3</v>
      </c>
      <c r="H81" s="65">
        <f t="shared" si="47"/>
        <v>4</v>
      </c>
      <c r="I81" s="65">
        <f t="shared" si="47"/>
        <v>6</v>
      </c>
      <c r="J81" s="65">
        <f t="shared" si="47"/>
        <v>8</v>
      </c>
      <c r="K81" s="65">
        <f t="shared" si="47"/>
        <v>10</v>
      </c>
      <c r="L81" s="65">
        <f t="shared" si="47"/>
        <v>12</v>
      </c>
      <c r="M81" s="65">
        <f t="shared" si="47"/>
        <v>16</v>
      </c>
      <c r="N81" s="65">
        <f t="shared" si="47"/>
        <v>20</v>
      </c>
      <c r="O81" s="65">
        <f t="shared" si="47"/>
        <v>30</v>
      </c>
      <c r="P81" s="65">
        <f t="shared" si="47"/>
        <v>40</v>
      </c>
      <c r="Q81" s="65">
        <f t="shared" si="47"/>
        <v>60</v>
      </c>
      <c r="R81" s="65">
        <f t="shared" si="47"/>
        <v>100</v>
      </c>
      <c r="S81" s="65">
        <f t="shared" si="47"/>
        <v>200</v>
      </c>
      <c r="T81" s="65">
        <f t="shared" si="47"/>
        <v>300</v>
      </c>
      <c r="U81" s="65">
        <f t="shared" si="47"/>
        <v>600</v>
      </c>
      <c r="V81" s="65">
        <f t="shared" si="47"/>
        <v>1000</v>
      </c>
      <c r="W81" s="65">
        <f t="shared" si="47"/>
        <v>1500</v>
      </c>
      <c r="X81" s="65">
        <f t="shared" si="47"/>
        <v>2000</v>
      </c>
      <c r="Y81" s="66">
        <f t="shared" si="47"/>
        <v>3000</v>
      </c>
      <c r="Z81" s="67"/>
      <c r="AA81" s="68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48" t="str">
        <f t="shared" si="48"/>
        <v>斯里蘭卡盧比</v>
      </c>
      <c r="D82" s="48" t="str">
        <f t="shared" si="48"/>
        <v/>
      </c>
      <c r="E82" s="64">
        <f t="shared" si="48"/>
        <v>0.01</v>
      </c>
      <c r="F82" s="65">
        <f t="shared" ref="F82:Y82" si="49">HLOOKUP(F29,$F$1:$AI$2,2) * $D$1 * $E82</f>
        <v>5</v>
      </c>
      <c r="G82" s="65">
        <f t="shared" si="49"/>
        <v>10</v>
      </c>
      <c r="H82" s="65">
        <f t="shared" si="49"/>
        <v>15</v>
      </c>
      <c r="I82" s="65">
        <f t="shared" si="49"/>
        <v>20</v>
      </c>
      <c r="J82" s="65">
        <f t="shared" si="49"/>
        <v>30</v>
      </c>
      <c r="K82" s="65">
        <f t="shared" si="49"/>
        <v>40</v>
      </c>
      <c r="L82" s="65">
        <f t="shared" si="49"/>
        <v>50</v>
      </c>
      <c r="M82" s="65">
        <f t="shared" si="49"/>
        <v>60</v>
      </c>
      <c r="N82" s="65">
        <f t="shared" si="49"/>
        <v>80</v>
      </c>
      <c r="O82" s="65">
        <f t="shared" si="49"/>
        <v>100</v>
      </c>
      <c r="P82" s="65">
        <f t="shared" si="49"/>
        <v>150</v>
      </c>
      <c r="Q82" s="65">
        <f t="shared" si="49"/>
        <v>200</v>
      </c>
      <c r="R82" s="65">
        <f t="shared" si="49"/>
        <v>300</v>
      </c>
      <c r="S82" s="65">
        <f t="shared" si="49"/>
        <v>500</v>
      </c>
      <c r="T82" s="65">
        <f t="shared" si="49"/>
        <v>1000</v>
      </c>
      <c r="U82" s="65">
        <f t="shared" si="49"/>
        <v>1500</v>
      </c>
      <c r="V82" s="65">
        <f t="shared" si="49"/>
        <v>3000</v>
      </c>
      <c r="W82" s="65">
        <f t="shared" si="49"/>
        <v>5000</v>
      </c>
      <c r="X82" s="65">
        <f t="shared" si="49"/>
        <v>7500</v>
      </c>
      <c r="Y82" s="66">
        <f t="shared" si="49"/>
        <v>10000</v>
      </c>
      <c r="Z82" s="67"/>
      <c r="AA82" s="68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48" t="str">
        <f t="shared" si="50"/>
        <v>衣索比亞比爾</v>
      </c>
      <c r="D83" s="48" t="str">
        <f t="shared" si="50"/>
        <v/>
      </c>
      <c r="E83" s="64">
        <f t="shared" si="50"/>
        <v>0.002</v>
      </c>
      <c r="F83" s="65">
        <f t="shared" ref="F83:Y83" si="51">HLOOKUP(F30,$F$1:$AI$2,2) * $D$1 * $E83</f>
        <v>1</v>
      </c>
      <c r="G83" s="65">
        <f t="shared" si="51"/>
        <v>2</v>
      </c>
      <c r="H83" s="65">
        <f t="shared" si="51"/>
        <v>3</v>
      </c>
      <c r="I83" s="65">
        <f t="shared" si="51"/>
        <v>4</v>
      </c>
      <c r="J83" s="65">
        <f t="shared" si="51"/>
        <v>6</v>
      </c>
      <c r="K83" s="65">
        <f t="shared" si="51"/>
        <v>8</v>
      </c>
      <c r="L83" s="65">
        <f t="shared" si="51"/>
        <v>10</v>
      </c>
      <c r="M83" s="65">
        <f t="shared" si="51"/>
        <v>12</v>
      </c>
      <c r="N83" s="65">
        <f t="shared" si="51"/>
        <v>16</v>
      </c>
      <c r="O83" s="65">
        <f t="shared" si="51"/>
        <v>20</v>
      </c>
      <c r="P83" s="65">
        <f t="shared" si="51"/>
        <v>30</v>
      </c>
      <c r="Q83" s="65">
        <f t="shared" si="51"/>
        <v>40</v>
      </c>
      <c r="R83" s="65">
        <f t="shared" si="51"/>
        <v>60</v>
      </c>
      <c r="S83" s="65">
        <f t="shared" si="51"/>
        <v>100</v>
      </c>
      <c r="T83" s="65">
        <f t="shared" si="51"/>
        <v>200</v>
      </c>
      <c r="U83" s="65">
        <f t="shared" si="51"/>
        <v>300</v>
      </c>
      <c r="V83" s="65">
        <f t="shared" si="51"/>
        <v>600</v>
      </c>
      <c r="W83" s="65">
        <f t="shared" si="51"/>
        <v>1000</v>
      </c>
      <c r="X83" s="65">
        <f t="shared" si="51"/>
        <v>1500</v>
      </c>
      <c r="Y83" s="66">
        <f t="shared" si="51"/>
        <v>2000</v>
      </c>
      <c r="Z83" s="67"/>
      <c r="AA83" s="68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48" t="str">
        <f t="shared" si="52"/>
        <v>烏干達先令</v>
      </c>
      <c r="D84" s="48" t="str">
        <f t="shared" si="52"/>
        <v/>
      </c>
      <c r="E84" s="64">
        <f t="shared" si="52"/>
        <v>0.1</v>
      </c>
      <c r="F84" s="65">
        <f t="shared" ref="F84:Y84" si="53">HLOOKUP(F31,$F$1:$AI$2,2) * $D$1 * $E84</f>
        <v>100</v>
      </c>
      <c r="G84" s="65">
        <f t="shared" si="53"/>
        <v>150</v>
      </c>
      <c r="H84" s="65">
        <f t="shared" si="53"/>
        <v>200</v>
      </c>
      <c r="I84" s="65">
        <f t="shared" si="53"/>
        <v>300</v>
      </c>
      <c r="J84" s="65">
        <f t="shared" si="53"/>
        <v>400</v>
      </c>
      <c r="K84" s="65">
        <f t="shared" si="53"/>
        <v>500</v>
      </c>
      <c r="L84" s="65">
        <f t="shared" si="53"/>
        <v>600</v>
      </c>
      <c r="M84" s="65">
        <f t="shared" si="53"/>
        <v>800</v>
      </c>
      <c r="N84" s="65">
        <f t="shared" si="53"/>
        <v>1000</v>
      </c>
      <c r="O84" s="65">
        <f t="shared" si="53"/>
        <v>1500</v>
      </c>
      <c r="P84" s="65">
        <f t="shared" si="53"/>
        <v>2000</v>
      </c>
      <c r="Q84" s="65">
        <f t="shared" si="53"/>
        <v>3000</v>
      </c>
      <c r="R84" s="65">
        <f t="shared" si="53"/>
        <v>5000</v>
      </c>
      <c r="S84" s="65">
        <f t="shared" si="53"/>
        <v>10000</v>
      </c>
      <c r="T84" s="65">
        <f t="shared" si="53"/>
        <v>15000</v>
      </c>
      <c r="U84" s="65">
        <f t="shared" si="53"/>
        <v>30000</v>
      </c>
      <c r="V84" s="65">
        <f t="shared" si="53"/>
        <v>50000</v>
      </c>
      <c r="W84" s="65">
        <f t="shared" si="53"/>
        <v>75000</v>
      </c>
      <c r="X84" s="65">
        <f t="shared" si="53"/>
        <v>100000</v>
      </c>
      <c r="Y84" s="66">
        <f t="shared" si="53"/>
        <v>150000</v>
      </c>
      <c r="Z84" s="67"/>
      <c r="AA84" s="68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48" t="str">
        <f t="shared" si="54"/>
        <v>歐元</v>
      </c>
      <c r="D85" s="48" t="str">
        <f t="shared" si="54"/>
        <v/>
      </c>
      <c r="E85" s="64">
        <f t="shared" si="54"/>
        <v>0.002</v>
      </c>
      <c r="F85" s="65">
        <f t="shared" ref="F85:Y85" si="55">HLOOKUP(F32,$F$1:$AI$2,2) * $D$1 * $E85</f>
        <v>0.2</v>
      </c>
      <c r="G85" s="65">
        <f t="shared" si="55"/>
        <v>0.4</v>
      </c>
      <c r="H85" s="65">
        <f t="shared" si="55"/>
        <v>1</v>
      </c>
      <c r="I85" s="65">
        <f t="shared" si="55"/>
        <v>2</v>
      </c>
      <c r="J85" s="65">
        <f t="shared" si="55"/>
        <v>2.4</v>
      </c>
      <c r="K85" s="65">
        <f t="shared" si="55"/>
        <v>3</v>
      </c>
      <c r="L85" s="65">
        <f t="shared" si="55"/>
        <v>4</v>
      </c>
      <c r="M85" s="65">
        <f t="shared" si="55"/>
        <v>5</v>
      </c>
      <c r="N85" s="65">
        <f t="shared" si="55"/>
        <v>6</v>
      </c>
      <c r="O85" s="65">
        <f t="shared" si="55"/>
        <v>7</v>
      </c>
      <c r="P85" s="65">
        <f t="shared" si="55"/>
        <v>8</v>
      </c>
      <c r="Q85" s="65">
        <f t="shared" si="55"/>
        <v>9</v>
      </c>
      <c r="R85" s="65">
        <f t="shared" si="55"/>
        <v>10</v>
      </c>
      <c r="S85" s="65">
        <f t="shared" si="55"/>
        <v>12</v>
      </c>
      <c r="T85" s="65">
        <f t="shared" si="55"/>
        <v>14</v>
      </c>
      <c r="U85" s="65">
        <f t="shared" si="55"/>
        <v>16</v>
      </c>
      <c r="V85" s="65">
        <f t="shared" si="55"/>
        <v>18</v>
      </c>
      <c r="W85" s="65">
        <f t="shared" si="55"/>
        <v>20</v>
      </c>
      <c r="X85" s="65">
        <f t="shared" si="55"/>
        <v>30</v>
      </c>
      <c r="Y85" s="66">
        <f t="shared" si="55"/>
        <v>40</v>
      </c>
      <c r="Z85" s="67"/>
      <c r="AA85" s="68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48" t="str">
        <f t="shared" si="56"/>
        <v>阿根廷披索</v>
      </c>
      <c r="D86" s="48" t="str">
        <f t="shared" si="56"/>
        <v/>
      </c>
      <c r="E86" s="64">
        <f t="shared" si="56"/>
        <v>0.02</v>
      </c>
      <c r="F86" s="65">
        <f t="shared" ref="F86:Y86" si="57">HLOOKUP(F33,$F$1:$AI$2,2) * $D$1 * $E86</f>
        <v>20</v>
      </c>
      <c r="G86" s="65">
        <f t="shared" si="57"/>
        <v>30</v>
      </c>
      <c r="H86" s="65">
        <f t="shared" si="57"/>
        <v>40</v>
      </c>
      <c r="I86" s="65">
        <f t="shared" si="57"/>
        <v>60</v>
      </c>
      <c r="J86" s="65">
        <f t="shared" si="57"/>
        <v>80</v>
      </c>
      <c r="K86" s="65">
        <f t="shared" si="57"/>
        <v>100</v>
      </c>
      <c r="L86" s="65">
        <f t="shared" si="57"/>
        <v>120</v>
      </c>
      <c r="M86" s="65">
        <f t="shared" si="57"/>
        <v>160</v>
      </c>
      <c r="N86" s="65">
        <f t="shared" si="57"/>
        <v>200</v>
      </c>
      <c r="O86" s="65">
        <f t="shared" si="57"/>
        <v>300</v>
      </c>
      <c r="P86" s="65">
        <f t="shared" si="57"/>
        <v>400</v>
      </c>
      <c r="Q86" s="65">
        <f t="shared" si="57"/>
        <v>600</v>
      </c>
      <c r="R86" s="65">
        <f t="shared" si="57"/>
        <v>1000</v>
      </c>
      <c r="S86" s="65">
        <f t="shared" si="57"/>
        <v>2000</v>
      </c>
      <c r="T86" s="65">
        <f t="shared" si="57"/>
        <v>3000</v>
      </c>
      <c r="U86" s="65">
        <f t="shared" si="57"/>
        <v>6000</v>
      </c>
      <c r="V86" s="65">
        <f t="shared" si="57"/>
        <v>10000</v>
      </c>
      <c r="W86" s="65">
        <f t="shared" si="57"/>
        <v>15000</v>
      </c>
      <c r="X86" s="65">
        <f t="shared" si="57"/>
        <v>20000</v>
      </c>
      <c r="Y86" s="66">
        <f t="shared" si="57"/>
        <v>30000</v>
      </c>
      <c r="Z86" s="67"/>
      <c r="AA86" s="68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48" t="str">
        <f t="shared" si="58"/>
        <v>奈及利亞奈拉</v>
      </c>
      <c r="D87" s="48" t="str">
        <f t="shared" si="58"/>
        <v/>
      </c>
      <c r="E87" s="64">
        <f t="shared" si="58"/>
        <v>0.02</v>
      </c>
      <c r="F87" s="65">
        <f t="shared" ref="F87:Y87" si="59">HLOOKUP(F34,$F$1:$AI$2,2) * $D$1 * $E87</f>
        <v>10</v>
      </c>
      <c r="G87" s="65">
        <f t="shared" si="59"/>
        <v>20</v>
      </c>
      <c r="H87" s="65">
        <f t="shared" si="59"/>
        <v>30</v>
      </c>
      <c r="I87" s="65">
        <f t="shared" si="59"/>
        <v>40</v>
      </c>
      <c r="J87" s="65">
        <f t="shared" si="59"/>
        <v>60</v>
      </c>
      <c r="K87" s="65">
        <f t="shared" si="59"/>
        <v>80</v>
      </c>
      <c r="L87" s="65">
        <f t="shared" si="59"/>
        <v>120</v>
      </c>
      <c r="M87" s="65">
        <f t="shared" si="59"/>
        <v>160</v>
      </c>
      <c r="N87" s="65">
        <f t="shared" si="59"/>
        <v>200</v>
      </c>
      <c r="O87" s="65">
        <f t="shared" si="59"/>
        <v>300</v>
      </c>
      <c r="P87" s="65">
        <f t="shared" si="59"/>
        <v>400</v>
      </c>
      <c r="Q87" s="65">
        <f t="shared" si="59"/>
        <v>600</v>
      </c>
      <c r="R87" s="65">
        <f t="shared" si="59"/>
        <v>1000</v>
      </c>
      <c r="S87" s="65">
        <f t="shared" si="59"/>
        <v>2000</v>
      </c>
      <c r="T87" s="65">
        <f t="shared" si="59"/>
        <v>3000</v>
      </c>
      <c r="U87" s="65">
        <f t="shared" si="59"/>
        <v>6000</v>
      </c>
      <c r="V87" s="65">
        <f t="shared" si="59"/>
        <v>10000</v>
      </c>
      <c r="W87" s="65">
        <f t="shared" si="59"/>
        <v>15000</v>
      </c>
      <c r="X87" s="65">
        <f t="shared" si="59"/>
        <v>20000</v>
      </c>
      <c r="Y87" s="66">
        <f t="shared" si="59"/>
        <v>30000</v>
      </c>
      <c r="Z87" s="67"/>
      <c r="AA87" s="68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48" t="str">
        <f t="shared" si="60"/>
        <v>肯亞先令</v>
      </c>
      <c r="D88" s="48" t="str">
        <f t="shared" si="60"/>
        <v/>
      </c>
      <c r="E88" s="64">
        <f t="shared" si="60"/>
        <v>0.002</v>
      </c>
      <c r="F88" s="65">
        <f t="shared" ref="F88:Y88" si="61">HLOOKUP(F35,$F$1:$AI$2,2) * $D$1 * $E88</f>
        <v>4</v>
      </c>
      <c r="G88" s="65">
        <f t="shared" si="61"/>
        <v>6</v>
      </c>
      <c r="H88" s="65">
        <f t="shared" si="61"/>
        <v>8</v>
      </c>
      <c r="I88" s="65">
        <f t="shared" si="61"/>
        <v>12</v>
      </c>
      <c r="J88" s="65">
        <f t="shared" si="61"/>
        <v>14</v>
      </c>
      <c r="K88" s="65">
        <f t="shared" si="61"/>
        <v>16</v>
      </c>
      <c r="L88" s="65">
        <f t="shared" si="61"/>
        <v>18</v>
      </c>
      <c r="M88" s="65">
        <f t="shared" si="61"/>
        <v>20</v>
      </c>
      <c r="N88" s="65">
        <f t="shared" si="61"/>
        <v>30</v>
      </c>
      <c r="O88" s="65">
        <f t="shared" si="61"/>
        <v>40</v>
      </c>
      <c r="P88" s="65">
        <f t="shared" si="61"/>
        <v>60</v>
      </c>
      <c r="Q88" s="65">
        <f t="shared" si="61"/>
        <v>100</v>
      </c>
      <c r="R88" s="65">
        <f t="shared" si="61"/>
        <v>200</v>
      </c>
      <c r="S88" s="65">
        <f t="shared" si="61"/>
        <v>300</v>
      </c>
      <c r="T88" s="65">
        <f t="shared" si="61"/>
        <v>600</v>
      </c>
      <c r="U88" s="65">
        <f t="shared" si="61"/>
        <v>1000</v>
      </c>
      <c r="V88" s="65">
        <f t="shared" si="61"/>
        <v>1500</v>
      </c>
      <c r="W88" s="65">
        <f t="shared" si="61"/>
        <v>2000</v>
      </c>
      <c r="X88" s="65">
        <f t="shared" si="61"/>
        <v>3000</v>
      </c>
      <c r="Y88" s="66">
        <f t="shared" si="61"/>
        <v>5000</v>
      </c>
      <c r="Z88" s="67"/>
      <c r="AA88" s="68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48" t="str">
        <f t="shared" si="62"/>
        <v>南非鍰</v>
      </c>
      <c r="D89" s="48" t="str">
        <f t="shared" si="62"/>
        <v/>
      </c>
      <c r="E89" s="64">
        <f t="shared" si="62"/>
        <v>0.002</v>
      </c>
      <c r="F89" s="65">
        <f t="shared" ref="F89:Y89" si="63">HLOOKUP(F36,$F$1:$AI$2,2) * $D$1 * $E89</f>
        <v>0.4</v>
      </c>
      <c r="G89" s="65">
        <f t="shared" si="63"/>
        <v>1</v>
      </c>
      <c r="H89" s="65">
        <f t="shared" si="63"/>
        <v>2</v>
      </c>
      <c r="I89" s="65">
        <f t="shared" si="63"/>
        <v>2.4</v>
      </c>
      <c r="J89" s="65">
        <f t="shared" si="63"/>
        <v>3</v>
      </c>
      <c r="K89" s="65">
        <f t="shared" si="63"/>
        <v>4</v>
      </c>
      <c r="L89" s="65">
        <f t="shared" si="63"/>
        <v>5</v>
      </c>
      <c r="M89" s="65">
        <f t="shared" si="63"/>
        <v>6</v>
      </c>
      <c r="N89" s="65">
        <f t="shared" si="63"/>
        <v>8</v>
      </c>
      <c r="O89" s="65">
        <f t="shared" si="63"/>
        <v>10</v>
      </c>
      <c r="P89" s="65">
        <f t="shared" si="63"/>
        <v>12</v>
      </c>
      <c r="Q89" s="65">
        <f t="shared" si="63"/>
        <v>16</v>
      </c>
      <c r="R89" s="65">
        <f t="shared" si="63"/>
        <v>20</v>
      </c>
      <c r="S89" s="65">
        <f t="shared" si="63"/>
        <v>30</v>
      </c>
      <c r="T89" s="65">
        <f t="shared" si="63"/>
        <v>40</v>
      </c>
      <c r="U89" s="65">
        <f t="shared" si="63"/>
        <v>60</v>
      </c>
      <c r="V89" s="65">
        <f t="shared" si="63"/>
        <v>100</v>
      </c>
      <c r="W89" s="65">
        <f t="shared" si="63"/>
        <v>200</v>
      </c>
      <c r="X89" s="65">
        <f t="shared" si="63"/>
        <v>300</v>
      </c>
      <c r="Y89" s="66">
        <f t="shared" si="63"/>
        <v>600</v>
      </c>
      <c r="Z89" s="67"/>
      <c r="AA89" s="68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48" t="str">
        <f t="shared" si="64"/>
        <v>土耳其里拉</v>
      </c>
      <c r="D90" s="48" t="str">
        <f t="shared" si="64"/>
        <v/>
      </c>
      <c r="E90" s="64">
        <f t="shared" si="64"/>
        <v>0.002</v>
      </c>
      <c r="F90" s="65">
        <f t="shared" ref="F90:Y90" si="65">HLOOKUP(F37,$F$1:$AI$2,2) * $D$1 * $E90</f>
        <v>1</v>
      </c>
      <c r="G90" s="65">
        <f t="shared" si="65"/>
        <v>2</v>
      </c>
      <c r="H90" s="65">
        <f t="shared" si="65"/>
        <v>2.4</v>
      </c>
      <c r="I90" s="65">
        <f t="shared" si="65"/>
        <v>3</v>
      </c>
      <c r="J90" s="65">
        <f t="shared" si="65"/>
        <v>4</v>
      </c>
      <c r="K90" s="65">
        <f t="shared" si="65"/>
        <v>5</v>
      </c>
      <c r="L90" s="65">
        <f t="shared" si="65"/>
        <v>6</v>
      </c>
      <c r="M90" s="65">
        <f t="shared" si="65"/>
        <v>8</v>
      </c>
      <c r="N90" s="65">
        <f t="shared" si="65"/>
        <v>10</v>
      </c>
      <c r="O90" s="65">
        <f t="shared" si="65"/>
        <v>12</v>
      </c>
      <c r="P90" s="65">
        <f t="shared" si="65"/>
        <v>16</v>
      </c>
      <c r="Q90" s="65">
        <f t="shared" si="65"/>
        <v>20</v>
      </c>
      <c r="R90" s="65">
        <f t="shared" si="65"/>
        <v>30</v>
      </c>
      <c r="S90" s="65">
        <f t="shared" si="65"/>
        <v>40</v>
      </c>
      <c r="T90" s="65">
        <f t="shared" si="65"/>
        <v>60</v>
      </c>
      <c r="U90" s="65">
        <f t="shared" si="65"/>
        <v>100</v>
      </c>
      <c r="V90" s="65">
        <f t="shared" si="65"/>
        <v>200</v>
      </c>
      <c r="W90" s="65">
        <f t="shared" si="65"/>
        <v>300</v>
      </c>
      <c r="X90" s="65">
        <f t="shared" si="65"/>
        <v>600</v>
      </c>
      <c r="Y90" s="66">
        <f t="shared" si="65"/>
        <v>1000</v>
      </c>
      <c r="Z90" s="67"/>
      <c r="AA90" s="68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48" t="str">
        <f t="shared" si="66"/>
        <v>英鎊</v>
      </c>
      <c r="D91" s="48" t="str">
        <f t="shared" si="66"/>
        <v/>
      </c>
      <c r="E91" s="64">
        <f t="shared" si="66"/>
        <v>0.002</v>
      </c>
      <c r="F91" s="65">
        <f t="shared" ref="F91:Y91" si="67">HLOOKUP(F38,$F$1:$AI$2,2) * $D$1 * $E91</f>
        <v>0.2</v>
      </c>
      <c r="G91" s="65">
        <f t="shared" si="67"/>
        <v>0.4</v>
      </c>
      <c r="H91" s="65">
        <f t="shared" si="67"/>
        <v>1</v>
      </c>
      <c r="I91" s="65">
        <f t="shared" si="67"/>
        <v>2</v>
      </c>
      <c r="J91" s="65">
        <f t="shared" si="67"/>
        <v>2.4</v>
      </c>
      <c r="K91" s="65">
        <f t="shared" si="67"/>
        <v>3</v>
      </c>
      <c r="L91" s="65">
        <f t="shared" si="67"/>
        <v>4</v>
      </c>
      <c r="M91" s="65">
        <f t="shared" si="67"/>
        <v>5</v>
      </c>
      <c r="N91" s="65">
        <f t="shared" si="67"/>
        <v>6</v>
      </c>
      <c r="O91" s="65">
        <f t="shared" si="67"/>
        <v>7</v>
      </c>
      <c r="P91" s="65">
        <f t="shared" si="67"/>
        <v>8</v>
      </c>
      <c r="Q91" s="65">
        <f t="shared" si="67"/>
        <v>9</v>
      </c>
      <c r="R91" s="65">
        <f t="shared" si="67"/>
        <v>10</v>
      </c>
      <c r="S91" s="65">
        <f t="shared" si="67"/>
        <v>12</v>
      </c>
      <c r="T91" s="65">
        <f t="shared" si="67"/>
        <v>14</v>
      </c>
      <c r="U91" s="65">
        <f t="shared" si="67"/>
        <v>16</v>
      </c>
      <c r="V91" s="65">
        <f t="shared" si="67"/>
        <v>18</v>
      </c>
      <c r="W91" s="65">
        <f t="shared" si="67"/>
        <v>20</v>
      </c>
      <c r="X91" s="65">
        <f t="shared" si="67"/>
        <v>30</v>
      </c>
      <c r="Y91" s="66">
        <f t="shared" si="67"/>
        <v>40</v>
      </c>
      <c r="Z91" s="67"/>
      <c r="AA91" s="68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48" t="str">
        <f t="shared" si="68"/>
        <v>尼泊爾盧比</v>
      </c>
      <c r="D92" s="48" t="str">
        <f t="shared" si="68"/>
        <v/>
      </c>
      <c r="E92" s="64">
        <f t="shared" si="68"/>
        <v>0.002</v>
      </c>
      <c r="F92" s="65">
        <f t="shared" ref="F92:Y92" si="69">HLOOKUP(F39,$F$1:$AI$2,2) * $D$1 * $E92</f>
        <v>4</v>
      </c>
      <c r="G92" s="65">
        <f t="shared" si="69"/>
        <v>6</v>
      </c>
      <c r="H92" s="65">
        <f t="shared" si="69"/>
        <v>8</v>
      </c>
      <c r="I92" s="65">
        <f t="shared" si="69"/>
        <v>12</v>
      </c>
      <c r="J92" s="65">
        <f t="shared" si="69"/>
        <v>14</v>
      </c>
      <c r="K92" s="65">
        <f t="shared" si="69"/>
        <v>16</v>
      </c>
      <c r="L92" s="65">
        <f t="shared" si="69"/>
        <v>18</v>
      </c>
      <c r="M92" s="65">
        <f t="shared" si="69"/>
        <v>20</v>
      </c>
      <c r="N92" s="65">
        <f t="shared" si="69"/>
        <v>30</v>
      </c>
      <c r="O92" s="65">
        <f t="shared" si="69"/>
        <v>40</v>
      </c>
      <c r="P92" s="65">
        <f t="shared" si="69"/>
        <v>60</v>
      </c>
      <c r="Q92" s="65">
        <f t="shared" si="69"/>
        <v>100</v>
      </c>
      <c r="R92" s="65">
        <f t="shared" si="69"/>
        <v>200</v>
      </c>
      <c r="S92" s="65">
        <f t="shared" si="69"/>
        <v>300</v>
      </c>
      <c r="T92" s="65">
        <f t="shared" si="69"/>
        <v>600</v>
      </c>
      <c r="U92" s="65">
        <f t="shared" si="69"/>
        <v>1000</v>
      </c>
      <c r="V92" s="65">
        <f t="shared" si="69"/>
        <v>1500</v>
      </c>
      <c r="W92" s="65">
        <f t="shared" si="69"/>
        <v>2000</v>
      </c>
      <c r="X92" s="65">
        <f t="shared" si="69"/>
        <v>3000</v>
      </c>
      <c r="Y92" s="66">
        <f t="shared" si="69"/>
        <v>5000</v>
      </c>
      <c r="Z92" s="67"/>
      <c r="AA92" s="68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48" t="str">
        <f t="shared" si="70"/>
        <v>瑞士法郎</v>
      </c>
      <c r="D93" s="48" t="str">
        <f t="shared" si="70"/>
        <v/>
      </c>
      <c r="E93" s="64">
        <f t="shared" si="70"/>
        <v>0.002</v>
      </c>
      <c r="F93" s="65">
        <f t="shared" ref="F93:Y93" si="71">HLOOKUP(F40,$F$1:$AI$2,2) * $D$1 * $E93</f>
        <v>0.2</v>
      </c>
      <c r="G93" s="65">
        <f t="shared" si="71"/>
        <v>0.4</v>
      </c>
      <c r="H93" s="65">
        <f t="shared" si="71"/>
        <v>1</v>
      </c>
      <c r="I93" s="65">
        <f t="shared" si="71"/>
        <v>2</v>
      </c>
      <c r="J93" s="65">
        <f t="shared" si="71"/>
        <v>2.4</v>
      </c>
      <c r="K93" s="65">
        <f t="shared" si="71"/>
        <v>3</v>
      </c>
      <c r="L93" s="65">
        <f t="shared" si="71"/>
        <v>4</v>
      </c>
      <c r="M93" s="65">
        <f t="shared" si="71"/>
        <v>5</v>
      </c>
      <c r="N93" s="65">
        <f t="shared" si="71"/>
        <v>6</v>
      </c>
      <c r="O93" s="65">
        <f t="shared" si="71"/>
        <v>7</v>
      </c>
      <c r="P93" s="65">
        <f t="shared" si="71"/>
        <v>8</v>
      </c>
      <c r="Q93" s="65">
        <f t="shared" si="71"/>
        <v>9</v>
      </c>
      <c r="R93" s="65">
        <f t="shared" si="71"/>
        <v>10</v>
      </c>
      <c r="S93" s="65">
        <f t="shared" si="71"/>
        <v>12</v>
      </c>
      <c r="T93" s="65">
        <f t="shared" si="71"/>
        <v>14</v>
      </c>
      <c r="U93" s="65">
        <f t="shared" si="71"/>
        <v>16</v>
      </c>
      <c r="V93" s="65">
        <f t="shared" si="71"/>
        <v>18</v>
      </c>
      <c r="W93" s="65">
        <f t="shared" si="71"/>
        <v>20</v>
      </c>
      <c r="X93" s="65">
        <f t="shared" si="71"/>
        <v>30</v>
      </c>
      <c r="Y93" s="66">
        <f t="shared" si="71"/>
        <v>40</v>
      </c>
      <c r="Z93" s="67"/>
      <c r="AA93" s="68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48" t="str">
        <f t="shared" si="72"/>
        <v>加幣</v>
      </c>
      <c r="D94" s="48" t="str">
        <f t="shared" si="72"/>
        <v/>
      </c>
      <c r="E94" s="64">
        <f t="shared" si="72"/>
        <v>0.002</v>
      </c>
      <c r="F94" s="65">
        <f t="shared" ref="F94:Y94" si="73">HLOOKUP(F41,$F$1:$AI$2,2) * $D$1 * $E94</f>
        <v>0.2</v>
      </c>
      <c r="G94" s="65">
        <f t="shared" si="73"/>
        <v>0.4</v>
      </c>
      <c r="H94" s="65">
        <f t="shared" si="73"/>
        <v>1</v>
      </c>
      <c r="I94" s="65">
        <f t="shared" si="73"/>
        <v>2</v>
      </c>
      <c r="J94" s="65">
        <f t="shared" si="73"/>
        <v>2.4</v>
      </c>
      <c r="K94" s="65">
        <f t="shared" si="73"/>
        <v>3</v>
      </c>
      <c r="L94" s="65">
        <f t="shared" si="73"/>
        <v>4</v>
      </c>
      <c r="M94" s="65">
        <f t="shared" si="73"/>
        <v>5</v>
      </c>
      <c r="N94" s="65">
        <f t="shared" si="73"/>
        <v>6</v>
      </c>
      <c r="O94" s="65">
        <f t="shared" si="73"/>
        <v>7</v>
      </c>
      <c r="P94" s="65">
        <f t="shared" si="73"/>
        <v>8</v>
      </c>
      <c r="Q94" s="65">
        <f t="shared" si="73"/>
        <v>9</v>
      </c>
      <c r="R94" s="65">
        <f t="shared" si="73"/>
        <v>10</v>
      </c>
      <c r="S94" s="65">
        <f t="shared" si="73"/>
        <v>12</v>
      </c>
      <c r="T94" s="65">
        <f t="shared" si="73"/>
        <v>14</v>
      </c>
      <c r="U94" s="65">
        <f t="shared" si="73"/>
        <v>16</v>
      </c>
      <c r="V94" s="65">
        <f t="shared" si="73"/>
        <v>18</v>
      </c>
      <c r="W94" s="65">
        <f t="shared" si="73"/>
        <v>20</v>
      </c>
      <c r="X94" s="65">
        <f t="shared" si="73"/>
        <v>30</v>
      </c>
      <c r="Y94" s="66">
        <f t="shared" si="73"/>
        <v>40</v>
      </c>
      <c r="Z94" s="67"/>
      <c r="AA94" s="68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48" t="str">
        <f t="shared" si="74"/>
        <v>秘魯新索爾</v>
      </c>
      <c r="D95" s="48" t="str">
        <f t="shared" si="74"/>
        <v/>
      </c>
      <c r="E95" s="64">
        <f t="shared" si="74"/>
        <v>0.002</v>
      </c>
      <c r="F95" s="65">
        <f t="shared" ref="F95:Y95" si="75">HLOOKUP(F42,$F$1:$AI$2,2) * $D$1 * $E95</f>
        <v>0.2</v>
      </c>
      <c r="G95" s="65">
        <f t="shared" si="75"/>
        <v>0.4</v>
      </c>
      <c r="H95" s="65">
        <f t="shared" si="75"/>
        <v>1</v>
      </c>
      <c r="I95" s="65">
        <f t="shared" si="75"/>
        <v>2</v>
      </c>
      <c r="J95" s="65">
        <f t="shared" si="75"/>
        <v>2.4</v>
      </c>
      <c r="K95" s="65">
        <f t="shared" si="75"/>
        <v>3</v>
      </c>
      <c r="L95" s="65">
        <f t="shared" si="75"/>
        <v>4</v>
      </c>
      <c r="M95" s="65">
        <f t="shared" si="75"/>
        <v>5</v>
      </c>
      <c r="N95" s="65">
        <f t="shared" si="75"/>
        <v>6</v>
      </c>
      <c r="O95" s="65">
        <f t="shared" si="75"/>
        <v>7</v>
      </c>
      <c r="P95" s="65">
        <f t="shared" si="75"/>
        <v>8</v>
      </c>
      <c r="Q95" s="65">
        <f t="shared" si="75"/>
        <v>10</v>
      </c>
      <c r="R95" s="65">
        <f t="shared" si="75"/>
        <v>12</v>
      </c>
      <c r="S95" s="65">
        <f t="shared" si="75"/>
        <v>16</v>
      </c>
      <c r="T95" s="65">
        <f t="shared" si="75"/>
        <v>18</v>
      </c>
      <c r="U95" s="65">
        <f t="shared" si="75"/>
        <v>20</v>
      </c>
      <c r="V95" s="65">
        <f t="shared" si="75"/>
        <v>30</v>
      </c>
      <c r="W95" s="65">
        <f t="shared" si="75"/>
        <v>40</v>
      </c>
      <c r="X95" s="65">
        <f t="shared" si="75"/>
        <v>60</v>
      </c>
      <c r="Y95" s="66">
        <f t="shared" si="75"/>
        <v>100</v>
      </c>
      <c r="Z95" s="67"/>
      <c r="AA95" s="68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48" t="str">
        <f t="shared" si="76"/>
        <v>阿聯迪拉姆</v>
      </c>
      <c r="D96" s="48" t="str">
        <f t="shared" si="76"/>
        <v/>
      </c>
      <c r="E96" s="64">
        <f t="shared" si="76"/>
        <v>0.002</v>
      </c>
      <c r="F96" s="65">
        <f t="shared" ref="F96:Y96" si="77">HLOOKUP(F43,$F$1:$AI$2,2) * $D$1 * $E96</f>
        <v>0.2</v>
      </c>
      <c r="G96" s="65">
        <f t="shared" si="77"/>
        <v>0.4</v>
      </c>
      <c r="H96" s="65">
        <f t="shared" si="77"/>
        <v>1</v>
      </c>
      <c r="I96" s="65">
        <f t="shared" si="77"/>
        <v>2</v>
      </c>
      <c r="J96" s="65">
        <f t="shared" si="77"/>
        <v>2.4</v>
      </c>
      <c r="K96" s="65">
        <f t="shared" si="77"/>
        <v>3</v>
      </c>
      <c r="L96" s="65">
        <f t="shared" si="77"/>
        <v>4</v>
      </c>
      <c r="M96" s="65">
        <f t="shared" si="77"/>
        <v>5</v>
      </c>
      <c r="N96" s="65">
        <f t="shared" si="77"/>
        <v>6</v>
      </c>
      <c r="O96" s="65">
        <f t="shared" si="77"/>
        <v>7</v>
      </c>
      <c r="P96" s="65">
        <f t="shared" si="77"/>
        <v>8</v>
      </c>
      <c r="Q96" s="65">
        <f t="shared" si="77"/>
        <v>10</v>
      </c>
      <c r="R96" s="65">
        <f t="shared" si="77"/>
        <v>12</v>
      </c>
      <c r="S96" s="65">
        <f t="shared" si="77"/>
        <v>16</v>
      </c>
      <c r="T96" s="65">
        <f t="shared" si="77"/>
        <v>18</v>
      </c>
      <c r="U96" s="65">
        <f t="shared" si="77"/>
        <v>20</v>
      </c>
      <c r="V96" s="65">
        <f t="shared" si="77"/>
        <v>30</v>
      </c>
      <c r="W96" s="65">
        <f t="shared" si="77"/>
        <v>40</v>
      </c>
      <c r="X96" s="65">
        <f t="shared" si="77"/>
        <v>60</v>
      </c>
      <c r="Y96" s="66">
        <f t="shared" si="77"/>
        <v>100</v>
      </c>
      <c r="Z96" s="67"/>
      <c r="AA96" s="68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48" t="str">
        <f t="shared" si="78"/>
        <v>汶萊幣</v>
      </c>
      <c r="D97" s="48" t="str">
        <f t="shared" si="78"/>
        <v/>
      </c>
      <c r="E97" s="64">
        <f t="shared" si="78"/>
        <v>0.002</v>
      </c>
      <c r="F97" s="65">
        <f t="shared" ref="F97:Y97" si="79">HLOOKUP(F44,$F$1:$AI$2,2) * $D$1 * $E97</f>
        <v>0.2</v>
      </c>
      <c r="G97" s="65">
        <f t="shared" si="79"/>
        <v>0.4</v>
      </c>
      <c r="H97" s="65">
        <f t="shared" si="79"/>
        <v>1</v>
      </c>
      <c r="I97" s="65">
        <f t="shared" si="79"/>
        <v>2</v>
      </c>
      <c r="J97" s="65">
        <f t="shared" si="79"/>
        <v>2.4</v>
      </c>
      <c r="K97" s="65">
        <f t="shared" si="79"/>
        <v>3</v>
      </c>
      <c r="L97" s="65">
        <f t="shared" si="79"/>
        <v>4</v>
      </c>
      <c r="M97" s="65">
        <f t="shared" si="79"/>
        <v>5</v>
      </c>
      <c r="N97" s="65">
        <f t="shared" si="79"/>
        <v>6</v>
      </c>
      <c r="O97" s="65">
        <f t="shared" si="79"/>
        <v>7</v>
      </c>
      <c r="P97" s="65">
        <f t="shared" si="79"/>
        <v>8</v>
      </c>
      <c r="Q97" s="65">
        <f t="shared" si="79"/>
        <v>9</v>
      </c>
      <c r="R97" s="65">
        <f t="shared" si="79"/>
        <v>10</v>
      </c>
      <c r="S97" s="65">
        <f t="shared" si="79"/>
        <v>12</v>
      </c>
      <c r="T97" s="65">
        <f t="shared" si="79"/>
        <v>14</v>
      </c>
      <c r="U97" s="65">
        <f t="shared" si="79"/>
        <v>16</v>
      </c>
      <c r="V97" s="65">
        <f t="shared" si="79"/>
        <v>20</v>
      </c>
      <c r="W97" s="65">
        <f t="shared" si="79"/>
        <v>30</v>
      </c>
      <c r="X97" s="65">
        <f t="shared" si="79"/>
        <v>40</v>
      </c>
      <c r="Y97" s="66">
        <f t="shared" si="79"/>
        <v>60</v>
      </c>
      <c r="Z97" s="67"/>
      <c r="AA97" s="68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48" t="str">
        <f t="shared" si="80"/>
        <v>哥倫比亞披索</v>
      </c>
      <c r="D98" s="48" t="str">
        <f t="shared" si="80"/>
        <v/>
      </c>
      <c r="E98" s="64">
        <f t="shared" si="80"/>
        <v>0.1</v>
      </c>
      <c r="F98" s="65">
        <f t="shared" ref="F98:Y98" si="81">HLOOKUP(F45,$F$1:$AI$2,2) * $D$1 * $E98</f>
        <v>100</v>
      </c>
      <c r="G98" s="65">
        <f t="shared" si="81"/>
        <v>150</v>
      </c>
      <c r="H98" s="65">
        <f t="shared" si="81"/>
        <v>200</v>
      </c>
      <c r="I98" s="65">
        <f t="shared" si="81"/>
        <v>300</v>
      </c>
      <c r="J98" s="65">
        <f t="shared" si="81"/>
        <v>400</v>
      </c>
      <c r="K98" s="65">
        <f t="shared" si="81"/>
        <v>500</v>
      </c>
      <c r="L98" s="65">
        <f t="shared" si="81"/>
        <v>600</v>
      </c>
      <c r="M98" s="65">
        <f t="shared" si="81"/>
        <v>800</v>
      </c>
      <c r="N98" s="65">
        <f t="shared" si="81"/>
        <v>1000</v>
      </c>
      <c r="O98" s="65">
        <f t="shared" si="81"/>
        <v>1500</v>
      </c>
      <c r="P98" s="65">
        <f t="shared" si="81"/>
        <v>2000</v>
      </c>
      <c r="Q98" s="65">
        <f t="shared" si="81"/>
        <v>3000</v>
      </c>
      <c r="R98" s="65">
        <f t="shared" si="81"/>
        <v>5000</v>
      </c>
      <c r="S98" s="65">
        <f t="shared" si="81"/>
        <v>10000</v>
      </c>
      <c r="T98" s="65">
        <f t="shared" si="81"/>
        <v>15000</v>
      </c>
      <c r="U98" s="65">
        <f t="shared" si="81"/>
        <v>30000</v>
      </c>
      <c r="V98" s="65">
        <f t="shared" si="81"/>
        <v>50000</v>
      </c>
      <c r="W98" s="65">
        <f t="shared" si="81"/>
        <v>75000</v>
      </c>
      <c r="X98" s="65">
        <f t="shared" si="81"/>
        <v>100000</v>
      </c>
      <c r="Y98" s="66">
        <f t="shared" si="81"/>
        <v>150000</v>
      </c>
      <c r="Z98" s="67"/>
      <c r="AA98" s="68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48" t="str">
        <f t="shared" si="82"/>
        <v>越南盾</v>
      </c>
      <c r="D99" s="48" t="str">
        <f t="shared" si="82"/>
        <v/>
      </c>
      <c r="E99" s="64">
        <f t="shared" si="82"/>
        <v>0.5</v>
      </c>
      <c r="F99" s="65">
        <f t="shared" ref="F99:Y99" si="83">HLOOKUP(F46,$F$1:$AI$2,2) * $D$1 * $E99</f>
        <v>500</v>
      </c>
      <c r="G99" s="65">
        <f t="shared" si="83"/>
        <v>750</v>
      </c>
      <c r="H99" s="65">
        <f t="shared" si="83"/>
        <v>1000</v>
      </c>
      <c r="I99" s="65">
        <f t="shared" si="83"/>
        <v>1500</v>
      </c>
      <c r="J99" s="65">
        <f t="shared" si="83"/>
        <v>2000</v>
      </c>
      <c r="K99" s="65">
        <f t="shared" si="83"/>
        <v>2500</v>
      </c>
      <c r="L99" s="65">
        <f t="shared" si="83"/>
        <v>3000</v>
      </c>
      <c r="M99" s="65">
        <f t="shared" si="83"/>
        <v>4000</v>
      </c>
      <c r="N99" s="65">
        <f t="shared" si="83"/>
        <v>5000</v>
      </c>
      <c r="O99" s="65">
        <f t="shared" si="83"/>
        <v>7500</v>
      </c>
      <c r="P99" s="65">
        <f t="shared" si="83"/>
        <v>10000</v>
      </c>
      <c r="Q99" s="65">
        <f t="shared" si="83"/>
        <v>15000</v>
      </c>
      <c r="R99" s="65">
        <f t="shared" si="83"/>
        <v>25000</v>
      </c>
      <c r="S99" s="65">
        <f t="shared" si="83"/>
        <v>50000</v>
      </c>
      <c r="T99" s="65">
        <f t="shared" si="83"/>
        <v>75000</v>
      </c>
      <c r="U99" s="65">
        <f t="shared" si="83"/>
        <v>150000</v>
      </c>
      <c r="V99" s="65">
        <f t="shared" si="83"/>
        <v>250000</v>
      </c>
      <c r="W99" s="65">
        <f t="shared" si="83"/>
        <v>375000</v>
      </c>
      <c r="X99" s="65">
        <f t="shared" si="83"/>
        <v>500000</v>
      </c>
      <c r="Y99" s="66">
        <f t="shared" si="83"/>
        <v>750000</v>
      </c>
      <c r="Z99" s="67"/>
      <c r="AA99" s="68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48" t="str">
        <f t="shared" si="84"/>
        <v>馬來西亞令吉</v>
      </c>
      <c r="D100" s="48">
        <f t="shared" si="84"/>
        <v>0.01</v>
      </c>
      <c r="E100" s="64">
        <f t="shared" si="84"/>
        <v>0.01</v>
      </c>
      <c r="F100" s="65">
        <f t="shared" ref="F100:Y100" si="85">HLOOKUP(F47,$F$1:$AI$2,2) * $D$1 * $E100</f>
        <v>10</v>
      </c>
      <c r="G100" s="65">
        <f t="shared" si="85"/>
        <v>15</v>
      </c>
      <c r="H100" s="65">
        <f t="shared" si="85"/>
        <v>20</v>
      </c>
      <c r="I100" s="65">
        <f t="shared" si="85"/>
        <v>30</v>
      </c>
      <c r="J100" s="65">
        <f t="shared" si="85"/>
        <v>40</v>
      </c>
      <c r="K100" s="65">
        <f t="shared" si="85"/>
        <v>50</v>
      </c>
      <c r="L100" s="65">
        <f t="shared" si="85"/>
        <v>60</v>
      </c>
      <c r="M100" s="65">
        <f t="shared" si="85"/>
        <v>80</v>
      </c>
      <c r="N100" s="65">
        <f t="shared" si="85"/>
        <v>100</v>
      </c>
      <c r="O100" s="65">
        <f t="shared" si="85"/>
        <v>150</v>
      </c>
      <c r="P100" s="65">
        <f t="shared" si="85"/>
        <v>200</v>
      </c>
      <c r="Q100" s="65">
        <f t="shared" si="85"/>
        <v>300</v>
      </c>
      <c r="R100" s="65">
        <f t="shared" si="85"/>
        <v>500</v>
      </c>
      <c r="S100" s="65">
        <f t="shared" si="85"/>
        <v>1000</v>
      </c>
      <c r="T100" s="65">
        <f t="shared" si="85"/>
        <v>1500</v>
      </c>
      <c r="U100" s="65">
        <f t="shared" si="85"/>
        <v>3000</v>
      </c>
      <c r="V100" s="65">
        <f t="shared" si="85"/>
        <v>5000</v>
      </c>
      <c r="W100" s="65">
        <f t="shared" si="85"/>
        <v>7500</v>
      </c>
      <c r="X100" s="65">
        <f t="shared" si="85"/>
        <v>10000</v>
      </c>
      <c r="Y100" s="66">
        <f t="shared" si="85"/>
        <v>15000</v>
      </c>
      <c r="Z100" s="67"/>
      <c r="AA100" s="69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48" t="str">
        <f t="shared" si="86"/>
        <v>星幣</v>
      </c>
      <c r="D101" s="48" t="str">
        <f t="shared" si="86"/>
        <v/>
      </c>
      <c r="E101" s="64">
        <f t="shared" si="86"/>
        <v>1</v>
      </c>
      <c r="F101" s="65">
        <f t="shared" ref="F101:Y101" si="87">HLOOKUP(F48,$F$1:$AI$2,2) * $D$1 * $E101</f>
        <v>100</v>
      </c>
      <c r="G101" s="65">
        <f t="shared" si="87"/>
        <v>200</v>
      </c>
      <c r="H101" s="65">
        <f t="shared" si="87"/>
        <v>500</v>
      </c>
      <c r="I101" s="65">
        <f t="shared" si="87"/>
        <v>1000</v>
      </c>
      <c r="J101" s="65">
        <f t="shared" si="87"/>
        <v>1200</v>
      </c>
      <c r="K101" s="65">
        <f t="shared" si="87"/>
        <v>1500</v>
      </c>
      <c r="L101" s="65">
        <f t="shared" si="87"/>
        <v>2000</v>
      </c>
      <c r="M101" s="65">
        <f t="shared" si="87"/>
        <v>2500</v>
      </c>
      <c r="N101" s="65">
        <f t="shared" si="87"/>
        <v>3000</v>
      </c>
      <c r="O101" s="65">
        <f t="shared" si="87"/>
        <v>3500</v>
      </c>
      <c r="P101" s="65">
        <f t="shared" si="87"/>
        <v>4000</v>
      </c>
      <c r="Q101" s="65">
        <f t="shared" si="87"/>
        <v>5000</v>
      </c>
      <c r="R101" s="65">
        <f t="shared" si="87"/>
        <v>6000</v>
      </c>
      <c r="S101" s="65">
        <f t="shared" si="87"/>
        <v>8000</v>
      </c>
      <c r="T101" s="65">
        <f t="shared" si="87"/>
        <v>9000</v>
      </c>
      <c r="U101" s="65">
        <f t="shared" si="87"/>
        <v>10000</v>
      </c>
      <c r="V101" s="65">
        <f t="shared" si="87"/>
        <v>15000</v>
      </c>
      <c r="W101" s="65">
        <f t="shared" si="87"/>
        <v>20000</v>
      </c>
      <c r="X101" s="65">
        <f t="shared" si="87"/>
        <v>30000</v>
      </c>
      <c r="Y101" s="65">
        <f t="shared" si="87"/>
        <v>50000</v>
      </c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48" t="str">
        <f t="shared" si="88"/>
        <v>阿爾及利亞第納爾</v>
      </c>
      <c r="D102" s="48" t="str">
        <f t="shared" si="88"/>
        <v/>
      </c>
      <c r="E102" s="64">
        <f t="shared" si="88"/>
        <v>0.002</v>
      </c>
      <c r="F102" s="65">
        <f t="shared" ref="F102:Y102" si="89">HLOOKUP(F49,$F$1:$AI$2,2) * $D$1 * $E102</f>
        <v>4</v>
      </c>
      <c r="G102" s="65">
        <f t="shared" si="89"/>
        <v>6</v>
      </c>
      <c r="H102" s="65">
        <f t="shared" si="89"/>
        <v>8</v>
      </c>
      <c r="I102" s="65">
        <f t="shared" si="89"/>
        <v>12</v>
      </c>
      <c r="J102" s="65">
        <f t="shared" si="89"/>
        <v>14</v>
      </c>
      <c r="K102" s="65">
        <f t="shared" si="89"/>
        <v>16</v>
      </c>
      <c r="L102" s="65">
        <f t="shared" si="89"/>
        <v>18</v>
      </c>
      <c r="M102" s="65">
        <f t="shared" si="89"/>
        <v>20</v>
      </c>
      <c r="N102" s="65">
        <f t="shared" si="89"/>
        <v>30</v>
      </c>
      <c r="O102" s="65">
        <f t="shared" si="89"/>
        <v>40</v>
      </c>
      <c r="P102" s="65">
        <f t="shared" si="89"/>
        <v>60</v>
      </c>
      <c r="Q102" s="65">
        <f t="shared" si="89"/>
        <v>100</v>
      </c>
      <c r="R102" s="65">
        <f t="shared" si="89"/>
        <v>200</v>
      </c>
      <c r="S102" s="65">
        <f t="shared" si="89"/>
        <v>300</v>
      </c>
      <c r="T102" s="65">
        <f t="shared" si="89"/>
        <v>600</v>
      </c>
      <c r="U102" s="65">
        <f t="shared" si="89"/>
        <v>1000</v>
      </c>
      <c r="V102" s="65">
        <f t="shared" si="89"/>
        <v>1500</v>
      </c>
      <c r="W102" s="65">
        <f t="shared" si="89"/>
        <v>2000</v>
      </c>
      <c r="X102" s="65">
        <f t="shared" si="89"/>
        <v>3000</v>
      </c>
      <c r="Y102" s="65">
        <f t="shared" si="89"/>
        <v>5000</v>
      </c>
      <c r="Z102" s="70"/>
      <c r="AA102" s="70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48" t="str">
        <f t="shared" si="90"/>
        <v>摩洛哥迪拉姆</v>
      </c>
      <c r="D103" s="48" t="str">
        <f t="shared" si="90"/>
        <v/>
      </c>
      <c r="E103" s="64">
        <f t="shared" si="90"/>
        <v>0.002</v>
      </c>
      <c r="F103" s="65">
        <f t="shared" ref="F103:Y103" si="91">HLOOKUP(F50,$F$1:$AI$2,2) * $D$1 * $E103</f>
        <v>0.2</v>
      </c>
      <c r="G103" s="65">
        <f t="shared" si="91"/>
        <v>0.4</v>
      </c>
      <c r="H103" s="65">
        <f t="shared" si="91"/>
        <v>1</v>
      </c>
      <c r="I103" s="65">
        <f t="shared" si="91"/>
        <v>2</v>
      </c>
      <c r="J103" s="65">
        <f t="shared" si="91"/>
        <v>2.4</v>
      </c>
      <c r="K103" s="65">
        <f t="shared" si="91"/>
        <v>3</v>
      </c>
      <c r="L103" s="65">
        <f t="shared" si="91"/>
        <v>4</v>
      </c>
      <c r="M103" s="65">
        <f t="shared" si="91"/>
        <v>5</v>
      </c>
      <c r="N103" s="65">
        <f t="shared" si="91"/>
        <v>6</v>
      </c>
      <c r="O103" s="65">
        <f t="shared" si="91"/>
        <v>8</v>
      </c>
      <c r="P103" s="65">
        <f t="shared" si="91"/>
        <v>10</v>
      </c>
      <c r="Q103" s="65">
        <f t="shared" si="91"/>
        <v>12</v>
      </c>
      <c r="R103" s="65">
        <f t="shared" si="91"/>
        <v>16</v>
      </c>
      <c r="S103" s="65">
        <f t="shared" si="91"/>
        <v>20</v>
      </c>
      <c r="T103" s="65">
        <f t="shared" si="91"/>
        <v>30</v>
      </c>
      <c r="U103" s="65">
        <f t="shared" si="91"/>
        <v>40</v>
      </c>
      <c r="V103" s="65">
        <f t="shared" si="91"/>
        <v>60</v>
      </c>
      <c r="W103" s="65">
        <f t="shared" si="91"/>
        <v>100</v>
      </c>
      <c r="X103" s="65">
        <f t="shared" si="91"/>
        <v>200</v>
      </c>
      <c r="Y103" s="65">
        <f t="shared" si="91"/>
        <v>300</v>
      </c>
      <c r="Z103" s="70"/>
      <c r="AA103" s="70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48" t="str">
        <f t="shared" si="92"/>
        <v>法國法郎</v>
      </c>
      <c r="D104" s="48" t="str">
        <f t="shared" si="92"/>
        <v/>
      </c>
      <c r="E104" s="64">
        <f t="shared" si="92"/>
        <v>0.002</v>
      </c>
      <c r="F104" s="65">
        <f t="shared" ref="F104:Y104" si="93">HLOOKUP(F51,$F$1:$AI$2,2) * $D$1 * $E104</f>
        <v>0.2</v>
      </c>
      <c r="G104" s="65">
        <f t="shared" si="93"/>
        <v>0.4</v>
      </c>
      <c r="H104" s="65">
        <f t="shared" si="93"/>
        <v>1</v>
      </c>
      <c r="I104" s="65">
        <f t="shared" si="93"/>
        <v>2</v>
      </c>
      <c r="J104" s="65">
        <f t="shared" si="93"/>
        <v>2.4</v>
      </c>
      <c r="K104" s="65">
        <f t="shared" si="93"/>
        <v>3</v>
      </c>
      <c r="L104" s="65">
        <f t="shared" si="93"/>
        <v>4</v>
      </c>
      <c r="M104" s="65">
        <f t="shared" si="93"/>
        <v>5</v>
      </c>
      <c r="N104" s="65">
        <f t="shared" si="93"/>
        <v>6</v>
      </c>
      <c r="O104" s="65">
        <f t="shared" si="93"/>
        <v>8</v>
      </c>
      <c r="P104" s="65">
        <f t="shared" si="93"/>
        <v>10</v>
      </c>
      <c r="Q104" s="65">
        <f t="shared" si="93"/>
        <v>12</v>
      </c>
      <c r="R104" s="65">
        <f t="shared" si="93"/>
        <v>16</v>
      </c>
      <c r="S104" s="65">
        <f t="shared" si="93"/>
        <v>20</v>
      </c>
      <c r="T104" s="65">
        <f t="shared" si="93"/>
        <v>30</v>
      </c>
      <c r="U104" s="65">
        <f t="shared" si="93"/>
        <v>40</v>
      </c>
      <c r="V104" s="65">
        <f t="shared" si="93"/>
        <v>60</v>
      </c>
      <c r="W104" s="65">
        <f t="shared" si="93"/>
        <v>100</v>
      </c>
      <c r="X104" s="65">
        <f t="shared" si="93"/>
        <v>200</v>
      </c>
      <c r="Y104" s="65">
        <f t="shared" si="93"/>
        <v>300</v>
      </c>
      <c r="Z104" s="70"/>
      <c r="AA104" s="70"/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48" t="str">
        <f t="shared" si="94"/>
        <v>迦納塞地</v>
      </c>
      <c r="D105" s="48" t="str">
        <f t="shared" si="94"/>
        <v/>
      </c>
      <c r="E105" s="64">
        <f t="shared" si="94"/>
        <v>0.002</v>
      </c>
      <c r="F105" s="65">
        <f t="shared" ref="F105:Y105" si="95">HLOOKUP(F52,$F$1:$AI$2,2) * $D$1 * $E105</f>
        <v>0.4</v>
      </c>
      <c r="G105" s="65">
        <f t="shared" si="95"/>
        <v>1</v>
      </c>
      <c r="H105" s="65">
        <f t="shared" si="95"/>
        <v>2</v>
      </c>
      <c r="I105" s="65">
        <f t="shared" si="95"/>
        <v>2.4</v>
      </c>
      <c r="J105" s="65">
        <f t="shared" si="95"/>
        <v>3</v>
      </c>
      <c r="K105" s="65">
        <f t="shared" si="95"/>
        <v>4</v>
      </c>
      <c r="L105" s="65">
        <f t="shared" si="95"/>
        <v>5</v>
      </c>
      <c r="M105" s="65">
        <f t="shared" si="95"/>
        <v>6</v>
      </c>
      <c r="N105" s="65">
        <f t="shared" si="95"/>
        <v>8</v>
      </c>
      <c r="O105" s="65">
        <f t="shared" si="95"/>
        <v>10</v>
      </c>
      <c r="P105" s="65">
        <f t="shared" si="95"/>
        <v>12</v>
      </c>
      <c r="Q105" s="65">
        <f t="shared" si="95"/>
        <v>16</v>
      </c>
      <c r="R105" s="65">
        <f t="shared" si="95"/>
        <v>20</v>
      </c>
      <c r="S105" s="65">
        <f t="shared" si="95"/>
        <v>30</v>
      </c>
      <c r="T105" s="65">
        <f t="shared" si="95"/>
        <v>40</v>
      </c>
      <c r="U105" s="65">
        <f t="shared" si="95"/>
        <v>60</v>
      </c>
      <c r="V105" s="65">
        <f t="shared" si="95"/>
        <v>100</v>
      </c>
      <c r="W105" s="65">
        <f t="shared" si="95"/>
        <v>200</v>
      </c>
      <c r="X105" s="65">
        <f t="shared" si="95"/>
        <v>300</v>
      </c>
      <c r="Y105" s="65">
        <f t="shared" si="95"/>
        <v>600</v>
      </c>
      <c r="Z105" s="70"/>
      <c r="AA105" s="70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48" t="str">
        <f t="shared" si="96"/>
        <v>RCC幣</v>
      </c>
      <c r="D106" s="48" t="str">
        <f t="shared" si="96"/>
        <v/>
      </c>
      <c r="E106" s="64">
        <f t="shared" si="96"/>
        <v>0.002</v>
      </c>
      <c r="F106" s="65">
        <f t="shared" ref="F106:Y106" si="97">HLOOKUP(F53,$F$1:$AI$2,2) * $D$1 * $E106</f>
        <v>0.2</v>
      </c>
      <c r="G106" s="65">
        <f t="shared" si="97"/>
        <v>0.4</v>
      </c>
      <c r="H106" s="65">
        <f t="shared" si="97"/>
        <v>1</v>
      </c>
      <c r="I106" s="65">
        <f t="shared" si="97"/>
        <v>2</v>
      </c>
      <c r="J106" s="65">
        <f t="shared" si="97"/>
        <v>2.4</v>
      </c>
      <c r="K106" s="65">
        <f t="shared" si="97"/>
        <v>3</v>
      </c>
      <c r="L106" s="65">
        <f t="shared" si="97"/>
        <v>4</v>
      </c>
      <c r="M106" s="65">
        <f t="shared" si="97"/>
        <v>5</v>
      </c>
      <c r="N106" s="65">
        <f t="shared" si="97"/>
        <v>6</v>
      </c>
      <c r="O106" s="65">
        <f t="shared" si="97"/>
        <v>7</v>
      </c>
      <c r="P106" s="65">
        <f t="shared" si="97"/>
        <v>8</v>
      </c>
      <c r="Q106" s="65">
        <f t="shared" si="97"/>
        <v>9</v>
      </c>
      <c r="R106" s="65">
        <f t="shared" si="97"/>
        <v>10</v>
      </c>
      <c r="S106" s="65">
        <f t="shared" si="97"/>
        <v>12</v>
      </c>
      <c r="T106" s="65">
        <f t="shared" si="97"/>
        <v>14</v>
      </c>
      <c r="U106" s="65">
        <f t="shared" si="97"/>
        <v>16</v>
      </c>
      <c r="V106" s="65">
        <f t="shared" si="97"/>
        <v>18</v>
      </c>
      <c r="W106" s="65">
        <f t="shared" si="97"/>
        <v>20</v>
      </c>
      <c r="X106" s="65">
        <f t="shared" si="97"/>
        <v>30</v>
      </c>
      <c r="Y106" s="65">
        <f t="shared" si="97"/>
        <v>40</v>
      </c>
      <c r="Z106" s="70"/>
      <c r="AA106" s="70"/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48" t="str">
        <f t="shared" si="98"/>
        <v>爸幣</v>
      </c>
      <c r="D107" s="48" t="str">
        <f t="shared" si="98"/>
        <v/>
      </c>
      <c r="E107" s="64">
        <f t="shared" si="98"/>
        <v>0.01</v>
      </c>
      <c r="F107" s="65">
        <f t="shared" ref="F107:Y107" si="99">HLOOKUP(F54,$F$1:$AI$2,2) * $D$1 * $E107</f>
        <v>5</v>
      </c>
      <c r="G107" s="65">
        <f t="shared" si="99"/>
        <v>10</v>
      </c>
      <c r="H107" s="65">
        <f t="shared" si="99"/>
        <v>15</v>
      </c>
      <c r="I107" s="65">
        <f t="shared" si="99"/>
        <v>20</v>
      </c>
      <c r="J107" s="65">
        <f t="shared" si="99"/>
        <v>30</v>
      </c>
      <c r="K107" s="65">
        <f t="shared" si="99"/>
        <v>40</v>
      </c>
      <c r="L107" s="65">
        <f t="shared" si="99"/>
        <v>50</v>
      </c>
      <c r="M107" s="65">
        <f t="shared" si="99"/>
        <v>60</v>
      </c>
      <c r="N107" s="65">
        <f t="shared" si="99"/>
        <v>80</v>
      </c>
      <c r="O107" s="65">
        <f t="shared" si="99"/>
        <v>100</v>
      </c>
      <c r="P107" s="65">
        <f t="shared" si="99"/>
        <v>150</v>
      </c>
      <c r="Q107" s="65">
        <f t="shared" si="99"/>
        <v>200</v>
      </c>
      <c r="R107" s="65">
        <f t="shared" si="99"/>
        <v>300</v>
      </c>
      <c r="S107" s="65">
        <f t="shared" si="99"/>
        <v>500</v>
      </c>
      <c r="T107" s="65">
        <f t="shared" si="99"/>
        <v>1000</v>
      </c>
      <c r="U107" s="65">
        <f t="shared" si="99"/>
        <v>1500</v>
      </c>
      <c r="V107" s="65">
        <f t="shared" si="99"/>
        <v>3000</v>
      </c>
      <c r="W107" s="65">
        <f t="shared" si="99"/>
        <v>5000</v>
      </c>
      <c r="X107" s="65">
        <f t="shared" si="99"/>
        <v>7500</v>
      </c>
      <c r="Y107" s="65">
        <f t="shared" si="99"/>
        <v>10000</v>
      </c>
      <c r="Z107" s="70"/>
      <c r="AA107" s="70"/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48" t="str">
        <f t="shared" si="100"/>
        <v>星城馬來西亞</v>
      </c>
      <c r="D108" s="48" t="str">
        <f t="shared" si="100"/>
        <v/>
      </c>
      <c r="E108" s="64">
        <f t="shared" si="100"/>
        <v>1</v>
      </c>
      <c r="F108" s="65">
        <f t="shared" ref="F108:Y108" si="101">HLOOKUP(F55,$F$1:$AI$2,2) * $D$1 * $E108</f>
        <v>100</v>
      </c>
      <c r="G108" s="65">
        <f t="shared" si="101"/>
        <v>200</v>
      </c>
      <c r="H108" s="65">
        <f t="shared" si="101"/>
        <v>500</v>
      </c>
      <c r="I108" s="65">
        <f t="shared" si="101"/>
        <v>1000</v>
      </c>
      <c r="J108" s="65">
        <f t="shared" si="101"/>
        <v>1200</v>
      </c>
      <c r="K108" s="65">
        <f t="shared" si="101"/>
        <v>1500</v>
      </c>
      <c r="L108" s="65">
        <f t="shared" si="101"/>
        <v>2000</v>
      </c>
      <c r="M108" s="65">
        <f t="shared" si="101"/>
        <v>2500</v>
      </c>
      <c r="N108" s="65">
        <f t="shared" si="101"/>
        <v>3000</v>
      </c>
      <c r="O108" s="65">
        <f t="shared" si="101"/>
        <v>3500</v>
      </c>
      <c r="P108" s="65">
        <f t="shared" si="101"/>
        <v>4000</v>
      </c>
      <c r="Q108" s="65">
        <f t="shared" si="101"/>
        <v>5000</v>
      </c>
      <c r="R108" s="65">
        <f t="shared" si="101"/>
        <v>6000</v>
      </c>
      <c r="S108" s="65">
        <f t="shared" si="101"/>
        <v>8000</v>
      </c>
      <c r="T108" s="65">
        <f t="shared" si="101"/>
        <v>9000</v>
      </c>
      <c r="U108" s="65">
        <f t="shared" si="101"/>
        <v>10000</v>
      </c>
      <c r="V108" s="65">
        <f t="shared" si="101"/>
        <v>15000</v>
      </c>
      <c r="W108" s="65">
        <f t="shared" si="101"/>
        <v>20000</v>
      </c>
      <c r="X108" s="65">
        <f t="shared" si="101"/>
        <v>30000</v>
      </c>
      <c r="Y108" s="65">
        <f t="shared" si="101"/>
        <v>50000</v>
      </c>
      <c r="Z108" s="70"/>
      <c r="AA108" s="70"/>
    </row>
    <row r="109" ht="16.5" customHeight="1">
      <c r="C109" s="22"/>
      <c r="E109" s="71"/>
      <c r="F109" s="7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70"/>
      <c r="AA109" s="70"/>
    </row>
    <row r="110" ht="16.5" customHeight="1">
      <c r="A110" s="88" t="s">
        <v>74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70"/>
      <c r="AA110" s="70"/>
    </row>
    <row r="111" ht="16.5" customHeight="1">
      <c r="A111" s="43" t="str">
        <f t="shared" ref="A111:Y111" si="102">A58</f>
        <v>貨幣簡稱</v>
      </c>
      <c r="B111" s="44" t="str">
        <f t="shared" si="102"/>
        <v>貨幣符號</v>
      </c>
      <c r="C111" s="44" t="str">
        <f t="shared" si="102"/>
        <v>中文名稱</v>
      </c>
      <c r="D111" s="44" t="str">
        <f t="shared" si="102"/>
        <v>貨幣轉換</v>
      </c>
      <c r="E111" s="44" t="str">
        <f t="shared" si="102"/>
        <v>Denom</v>
      </c>
      <c r="F111" s="44" t="str">
        <f t="shared" si="102"/>
        <v>第 1 組</v>
      </c>
      <c r="G111" s="44" t="str">
        <f t="shared" si="102"/>
        <v>第 2 組</v>
      </c>
      <c r="H111" s="44" t="str">
        <f t="shared" si="102"/>
        <v>第 3 組</v>
      </c>
      <c r="I111" s="44" t="str">
        <f t="shared" si="102"/>
        <v>第 4 組</v>
      </c>
      <c r="J111" s="44" t="str">
        <f t="shared" si="102"/>
        <v>第 5 組</v>
      </c>
      <c r="K111" s="44" t="str">
        <f t="shared" si="102"/>
        <v>第 6 組</v>
      </c>
      <c r="L111" s="44" t="str">
        <f t="shared" si="102"/>
        <v>第 7 組</v>
      </c>
      <c r="M111" s="44" t="str">
        <f t="shared" si="102"/>
        <v>第 8 組</v>
      </c>
      <c r="N111" s="44" t="str">
        <f t="shared" si="102"/>
        <v>第 9 組</v>
      </c>
      <c r="O111" s="44" t="str">
        <f t="shared" si="102"/>
        <v>第 10 組</v>
      </c>
      <c r="P111" s="44" t="str">
        <f t="shared" si="102"/>
        <v>第 11 組</v>
      </c>
      <c r="Q111" s="44" t="str">
        <f t="shared" si="102"/>
        <v>第 12 組</v>
      </c>
      <c r="R111" s="44" t="str">
        <f t="shared" si="102"/>
        <v>第 13 組</v>
      </c>
      <c r="S111" s="44" t="str">
        <f t="shared" si="102"/>
        <v>第 14 組</v>
      </c>
      <c r="T111" s="44" t="str">
        <f t="shared" si="102"/>
        <v>第 15 組</v>
      </c>
      <c r="U111" s="44" t="str">
        <f t="shared" si="102"/>
        <v>第 16 組</v>
      </c>
      <c r="V111" s="44" t="str">
        <f t="shared" si="102"/>
        <v>第 17 組</v>
      </c>
      <c r="W111" s="44" t="str">
        <f t="shared" si="102"/>
        <v>第 18 組</v>
      </c>
      <c r="X111" s="44" t="str">
        <f t="shared" si="102"/>
        <v>第 19 組</v>
      </c>
      <c r="Y111" s="61" t="str">
        <f t="shared" si="102"/>
        <v>第 20 組</v>
      </c>
      <c r="Z111" s="70"/>
      <c r="AA111" s="70"/>
    </row>
    <row r="112" ht="16.5" customHeight="1">
      <c r="A112" s="48" t="str">
        <f t="shared" ref="A112:E112" si="103">A59</f>
        <v>THB</v>
      </c>
      <c r="B112" s="48" t="str">
        <f t="shared" si="103"/>
        <v>฿</v>
      </c>
      <c r="C112" s="48" t="str">
        <f t="shared" si="103"/>
        <v>泰銖</v>
      </c>
      <c r="D112" s="48" t="str">
        <f t="shared" si="103"/>
        <v/>
      </c>
      <c r="E112" s="64">
        <f t="shared" si="103"/>
        <v>0.002</v>
      </c>
      <c r="F112" s="65">
        <f t="shared" ref="F112:Y112" si="104">F59*1.5</f>
        <v>1.5</v>
      </c>
      <c r="G112" s="65">
        <f t="shared" si="104"/>
        <v>3</v>
      </c>
      <c r="H112" s="65">
        <f t="shared" si="104"/>
        <v>4.5</v>
      </c>
      <c r="I112" s="65">
        <f t="shared" si="104"/>
        <v>6</v>
      </c>
      <c r="J112" s="65">
        <f t="shared" si="104"/>
        <v>7.5</v>
      </c>
      <c r="K112" s="65">
        <f t="shared" si="104"/>
        <v>9</v>
      </c>
      <c r="L112" s="65">
        <f t="shared" si="104"/>
        <v>12</v>
      </c>
      <c r="M112" s="65">
        <f t="shared" si="104"/>
        <v>15</v>
      </c>
      <c r="N112" s="65">
        <f t="shared" si="104"/>
        <v>18</v>
      </c>
      <c r="O112" s="65">
        <f t="shared" si="104"/>
        <v>24</v>
      </c>
      <c r="P112" s="65">
        <f t="shared" si="104"/>
        <v>30</v>
      </c>
      <c r="Q112" s="65">
        <f t="shared" si="104"/>
        <v>45</v>
      </c>
      <c r="R112" s="65">
        <f t="shared" si="104"/>
        <v>60</v>
      </c>
      <c r="S112" s="65">
        <f t="shared" si="104"/>
        <v>90</v>
      </c>
      <c r="T112" s="65">
        <f t="shared" si="104"/>
        <v>150</v>
      </c>
      <c r="U112" s="65">
        <f t="shared" si="104"/>
        <v>300</v>
      </c>
      <c r="V112" s="65">
        <f t="shared" si="104"/>
        <v>450</v>
      </c>
      <c r="W112" s="65">
        <f t="shared" si="104"/>
        <v>900</v>
      </c>
      <c r="X112" s="65">
        <f t="shared" si="104"/>
        <v>1500</v>
      </c>
      <c r="Y112" s="65">
        <f t="shared" si="104"/>
        <v>2250</v>
      </c>
      <c r="Z112" s="70"/>
      <c r="AA112" s="70"/>
    </row>
    <row r="113" ht="16.5" customHeight="1">
      <c r="A113" s="48" t="str">
        <f t="shared" ref="A113:E113" si="105">A60</f>
        <v>HKD</v>
      </c>
      <c r="B113" s="48" t="str">
        <f t="shared" si="105"/>
        <v>HK$</v>
      </c>
      <c r="C113" s="48" t="str">
        <f t="shared" si="105"/>
        <v>港幣</v>
      </c>
      <c r="D113" s="48" t="str">
        <f t="shared" si="105"/>
        <v/>
      </c>
      <c r="E113" s="64">
        <f t="shared" si="105"/>
        <v>0.002</v>
      </c>
      <c r="F113" s="65">
        <f t="shared" ref="F113:Y113" si="106">F60*1.5</f>
        <v>0.3</v>
      </c>
      <c r="G113" s="65">
        <f t="shared" si="106"/>
        <v>0.6</v>
      </c>
      <c r="H113" s="65">
        <f t="shared" si="106"/>
        <v>1.5</v>
      </c>
      <c r="I113" s="65">
        <f t="shared" si="106"/>
        <v>3</v>
      </c>
      <c r="J113" s="65">
        <f t="shared" si="106"/>
        <v>3.6</v>
      </c>
      <c r="K113" s="65">
        <f t="shared" si="106"/>
        <v>4.5</v>
      </c>
      <c r="L113" s="65">
        <f t="shared" si="106"/>
        <v>6</v>
      </c>
      <c r="M113" s="65">
        <f t="shared" si="106"/>
        <v>7.5</v>
      </c>
      <c r="N113" s="65">
        <f t="shared" si="106"/>
        <v>9</v>
      </c>
      <c r="O113" s="65">
        <f t="shared" si="106"/>
        <v>12</v>
      </c>
      <c r="P113" s="65">
        <f t="shared" si="106"/>
        <v>15</v>
      </c>
      <c r="Q113" s="65">
        <f t="shared" si="106"/>
        <v>18</v>
      </c>
      <c r="R113" s="65">
        <f t="shared" si="106"/>
        <v>24</v>
      </c>
      <c r="S113" s="65">
        <f t="shared" si="106"/>
        <v>30</v>
      </c>
      <c r="T113" s="65">
        <f t="shared" si="106"/>
        <v>45</v>
      </c>
      <c r="U113" s="65">
        <f t="shared" si="106"/>
        <v>60</v>
      </c>
      <c r="V113" s="65">
        <f t="shared" si="106"/>
        <v>90</v>
      </c>
      <c r="W113" s="65">
        <f t="shared" si="106"/>
        <v>150</v>
      </c>
      <c r="X113" s="65">
        <f t="shared" si="106"/>
        <v>300</v>
      </c>
      <c r="Y113" s="65">
        <f t="shared" si="106"/>
        <v>450</v>
      </c>
      <c r="Z113" s="70"/>
      <c r="AA113" s="70"/>
    </row>
    <row r="114" ht="16.5" customHeight="1">
      <c r="A114" s="48" t="str">
        <f t="shared" ref="A114:E114" si="107">A61</f>
        <v>INR</v>
      </c>
      <c r="B114" s="48" t="str">
        <f t="shared" si="107"/>
        <v>₹</v>
      </c>
      <c r="C114" s="48" t="str">
        <f t="shared" si="107"/>
        <v>印度盧比</v>
      </c>
      <c r="D114" s="48" t="str">
        <f t="shared" si="107"/>
        <v/>
      </c>
      <c r="E114" s="64">
        <f t="shared" si="107"/>
        <v>0.002</v>
      </c>
      <c r="F114" s="65">
        <f t="shared" ref="F114:Y114" si="108">F61*1.5</f>
        <v>3</v>
      </c>
      <c r="G114" s="65">
        <f t="shared" si="108"/>
        <v>4.5</v>
      </c>
      <c r="H114" s="65">
        <f t="shared" si="108"/>
        <v>6</v>
      </c>
      <c r="I114" s="65">
        <f t="shared" si="108"/>
        <v>9</v>
      </c>
      <c r="J114" s="65">
        <f t="shared" si="108"/>
        <v>12</v>
      </c>
      <c r="K114" s="65">
        <f t="shared" si="108"/>
        <v>15</v>
      </c>
      <c r="L114" s="65">
        <f t="shared" si="108"/>
        <v>18</v>
      </c>
      <c r="M114" s="65">
        <f t="shared" si="108"/>
        <v>24</v>
      </c>
      <c r="N114" s="65">
        <f t="shared" si="108"/>
        <v>30</v>
      </c>
      <c r="O114" s="65">
        <f t="shared" si="108"/>
        <v>45</v>
      </c>
      <c r="P114" s="65">
        <f t="shared" si="108"/>
        <v>60</v>
      </c>
      <c r="Q114" s="65">
        <f t="shared" si="108"/>
        <v>90</v>
      </c>
      <c r="R114" s="65">
        <f t="shared" si="108"/>
        <v>150</v>
      </c>
      <c r="S114" s="65">
        <f t="shared" si="108"/>
        <v>300</v>
      </c>
      <c r="T114" s="65">
        <f t="shared" si="108"/>
        <v>450</v>
      </c>
      <c r="U114" s="65">
        <f t="shared" si="108"/>
        <v>900</v>
      </c>
      <c r="V114" s="65">
        <f t="shared" si="108"/>
        <v>1500</v>
      </c>
      <c r="W114" s="65">
        <f t="shared" si="108"/>
        <v>2250</v>
      </c>
      <c r="X114" s="65">
        <f t="shared" si="108"/>
        <v>3000</v>
      </c>
      <c r="Y114" s="65">
        <f t="shared" si="108"/>
        <v>4500</v>
      </c>
      <c r="Z114" s="70"/>
      <c r="AA114" s="70"/>
    </row>
    <row r="115" ht="16.5" customHeight="1">
      <c r="A115" s="48" t="str">
        <f t="shared" ref="A115:E115" si="109">A62</f>
        <v>IDR</v>
      </c>
      <c r="B115" s="48" t="str">
        <f t="shared" si="109"/>
        <v>Rp</v>
      </c>
      <c r="C115" s="48" t="str">
        <f t="shared" si="109"/>
        <v>印尼盧比(K)</v>
      </c>
      <c r="D115" s="48">
        <f t="shared" si="109"/>
        <v>1000</v>
      </c>
      <c r="E115" s="64">
        <f t="shared" si="109"/>
        <v>0.002</v>
      </c>
      <c r="F115" s="65">
        <f t="shared" ref="F115:Y115" si="110">F62*1.5</f>
        <v>0.6</v>
      </c>
      <c r="G115" s="65">
        <f t="shared" si="110"/>
        <v>1.5</v>
      </c>
      <c r="H115" s="65">
        <f t="shared" si="110"/>
        <v>3</v>
      </c>
      <c r="I115" s="65">
        <f t="shared" si="110"/>
        <v>3.6</v>
      </c>
      <c r="J115" s="65">
        <f t="shared" si="110"/>
        <v>4.5</v>
      </c>
      <c r="K115" s="65">
        <f t="shared" si="110"/>
        <v>6</v>
      </c>
      <c r="L115" s="65">
        <f t="shared" si="110"/>
        <v>7.5</v>
      </c>
      <c r="M115" s="65">
        <f t="shared" si="110"/>
        <v>9</v>
      </c>
      <c r="N115" s="65">
        <f t="shared" si="110"/>
        <v>12</v>
      </c>
      <c r="O115" s="65">
        <f t="shared" si="110"/>
        <v>15</v>
      </c>
      <c r="P115" s="65">
        <f t="shared" si="110"/>
        <v>18</v>
      </c>
      <c r="Q115" s="65">
        <f t="shared" si="110"/>
        <v>24</v>
      </c>
      <c r="R115" s="65">
        <f t="shared" si="110"/>
        <v>30</v>
      </c>
      <c r="S115" s="65">
        <f t="shared" si="110"/>
        <v>45</v>
      </c>
      <c r="T115" s="65">
        <f t="shared" si="110"/>
        <v>60</v>
      </c>
      <c r="U115" s="65">
        <f t="shared" si="110"/>
        <v>90</v>
      </c>
      <c r="V115" s="65">
        <f t="shared" si="110"/>
        <v>150</v>
      </c>
      <c r="W115" s="65">
        <f t="shared" si="110"/>
        <v>300</v>
      </c>
      <c r="X115" s="65">
        <f t="shared" si="110"/>
        <v>450</v>
      </c>
      <c r="Y115" s="65">
        <f t="shared" si="110"/>
        <v>900</v>
      </c>
      <c r="Z115" s="70"/>
      <c r="AA115" s="70"/>
    </row>
    <row r="116" ht="16.5" customHeight="1">
      <c r="A116" s="48" t="str">
        <f t="shared" ref="A116:E116" si="111">A63</f>
        <v>VND</v>
      </c>
      <c r="B116" s="48" t="str">
        <f t="shared" si="111"/>
        <v>₫</v>
      </c>
      <c r="C116" s="48" t="str">
        <f t="shared" si="111"/>
        <v>越南盾(K)</v>
      </c>
      <c r="D116" s="48">
        <f t="shared" si="111"/>
        <v>1000</v>
      </c>
      <c r="E116" s="64">
        <f t="shared" si="111"/>
        <v>0.002</v>
      </c>
      <c r="F116" s="65">
        <f t="shared" ref="F116:Y116" si="112">F63*1.5</f>
        <v>1.5</v>
      </c>
      <c r="G116" s="65">
        <f t="shared" si="112"/>
        <v>3</v>
      </c>
      <c r="H116" s="65">
        <f t="shared" si="112"/>
        <v>3.6</v>
      </c>
      <c r="I116" s="65">
        <f t="shared" si="112"/>
        <v>4.5</v>
      </c>
      <c r="J116" s="65">
        <f t="shared" si="112"/>
        <v>6</v>
      </c>
      <c r="K116" s="65">
        <f t="shared" si="112"/>
        <v>7.5</v>
      </c>
      <c r="L116" s="65">
        <f t="shared" si="112"/>
        <v>9</v>
      </c>
      <c r="M116" s="65">
        <f t="shared" si="112"/>
        <v>12</v>
      </c>
      <c r="N116" s="65">
        <f t="shared" si="112"/>
        <v>15</v>
      </c>
      <c r="O116" s="65">
        <f t="shared" si="112"/>
        <v>18</v>
      </c>
      <c r="P116" s="65">
        <f t="shared" si="112"/>
        <v>24</v>
      </c>
      <c r="Q116" s="65">
        <f t="shared" si="112"/>
        <v>30</v>
      </c>
      <c r="R116" s="65">
        <f t="shared" si="112"/>
        <v>45</v>
      </c>
      <c r="S116" s="65">
        <f t="shared" si="112"/>
        <v>60</v>
      </c>
      <c r="T116" s="65">
        <f t="shared" si="112"/>
        <v>90</v>
      </c>
      <c r="U116" s="65">
        <f t="shared" si="112"/>
        <v>150</v>
      </c>
      <c r="V116" s="65">
        <f t="shared" si="112"/>
        <v>300</v>
      </c>
      <c r="W116" s="65">
        <f t="shared" si="112"/>
        <v>450</v>
      </c>
      <c r="X116" s="65">
        <f t="shared" si="112"/>
        <v>900</v>
      </c>
      <c r="Y116" s="65">
        <f t="shared" si="112"/>
        <v>1500</v>
      </c>
      <c r="Z116" s="70"/>
      <c r="AA116" s="70"/>
    </row>
    <row r="117" ht="16.5" customHeight="1">
      <c r="A117" s="48" t="str">
        <f t="shared" ref="A117:E117" si="113">A64</f>
        <v>MYR</v>
      </c>
      <c r="B117" s="48" t="str">
        <f t="shared" si="113"/>
        <v>RM</v>
      </c>
      <c r="C117" s="48" t="str">
        <f t="shared" si="113"/>
        <v>馬來西亞令吉</v>
      </c>
      <c r="D117" s="48" t="str">
        <f t="shared" si="113"/>
        <v/>
      </c>
      <c r="E117" s="64">
        <f t="shared" si="113"/>
        <v>0.002</v>
      </c>
      <c r="F117" s="65">
        <f t="shared" ref="F117:Y117" si="114">F64*1.5</f>
        <v>0.3</v>
      </c>
      <c r="G117" s="65">
        <f t="shared" si="114"/>
        <v>0.6</v>
      </c>
      <c r="H117" s="65">
        <f t="shared" si="114"/>
        <v>1.5</v>
      </c>
      <c r="I117" s="65">
        <f t="shared" si="114"/>
        <v>3</v>
      </c>
      <c r="J117" s="65">
        <f t="shared" si="114"/>
        <v>3.6</v>
      </c>
      <c r="K117" s="65">
        <f t="shared" si="114"/>
        <v>4.5</v>
      </c>
      <c r="L117" s="65">
        <f t="shared" si="114"/>
        <v>6</v>
      </c>
      <c r="M117" s="65">
        <f t="shared" si="114"/>
        <v>7.5</v>
      </c>
      <c r="N117" s="65">
        <f t="shared" si="114"/>
        <v>9</v>
      </c>
      <c r="O117" s="65">
        <f t="shared" si="114"/>
        <v>10.5</v>
      </c>
      <c r="P117" s="65">
        <f t="shared" si="114"/>
        <v>12</v>
      </c>
      <c r="Q117" s="65">
        <f t="shared" si="114"/>
        <v>15</v>
      </c>
      <c r="R117" s="65">
        <f t="shared" si="114"/>
        <v>18</v>
      </c>
      <c r="S117" s="65">
        <f t="shared" si="114"/>
        <v>24</v>
      </c>
      <c r="T117" s="65">
        <f t="shared" si="114"/>
        <v>30</v>
      </c>
      <c r="U117" s="65">
        <f t="shared" si="114"/>
        <v>45</v>
      </c>
      <c r="V117" s="65">
        <f t="shared" si="114"/>
        <v>60</v>
      </c>
      <c r="W117" s="65">
        <f t="shared" si="114"/>
        <v>90</v>
      </c>
      <c r="X117" s="65">
        <f t="shared" si="114"/>
        <v>150</v>
      </c>
      <c r="Y117" s="65">
        <f t="shared" si="114"/>
        <v>300</v>
      </c>
      <c r="Z117" s="70"/>
      <c r="AA117" s="70"/>
    </row>
    <row r="118" ht="16.5" customHeight="1">
      <c r="A118" s="48" t="str">
        <f t="shared" ref="A118:E118" si="115">A65</f>
        <v>SGD</v>
      </c>
      <c r="B118" s="48" t="str">
        <f t="shared" si="115"/>
        <v>S$</v>
      </c>
      <c r="C118" s="48" t="str">
        <f t="shared" si="115"/>
        <v>新加坡幣</v>
      </c>
      <c r="D118" s="48" t="str">
        <f t="shared" si="115"/>
        <v/>
      </c>
      <c r="E118" s="64">
        <f t="shared" si="115"/>
        <v>0.002</v>
      </c>
      <c r="F118" s="65">
        <f t="shared" ref="F118:Y118" si="116">F65*1.5</f>
        <v>0.3</v>
      </c>
      <c r="G118" s="65">
        <f t="shared" si="116"/>
        <v>0.6</v>
      </c>
      <c r="H118" s="65">
        <f t="shared" si="116"/>
        <v>1.5</v>
      </c>
      <c r="I118" s="65">
        <f t="shared" si="116"/>
        <v>3</v>
      </c>
      <c r="J118" s="65">
        <f t="shared" si="116"/>
        <v>3.6</v>
      </c>
      <c r="K118" s="65">
        <f t="shared" si="116"/>
        <v>4.5</v>
      </c>
      <c r="L118" s="65">
        <f t="shared" si="116"/>
        <v>6</v>
      </c>
      <c r="M118" s="65">
        <f t="shared" si="116"/>
        <v>7.5</v>
      </c>
      <c r="N118" s="65">
        <f t="shared" si="116"/>
        <v>9</v>
      </c>
      <c r="O118" s="65">
        <f t="shared" si="116"/>
        <v>10.5</v>
      </c>
      <c r="P118" s="65">
        <f t="shared" si="116"/>
        <v>12</v>
      </c>
      <c r="Q118" s="65">
        <f t="shared" si="116"/>
        <v>13.5</v>
      </c>
      <c r="R118" s="65">
        <f t="shared" si="116"/>
        <v>15</v>
      </c>
      <c r="S118" s="65">
        <f t="shared" si="116"/>
        <v>18</v>
      </c>
      <c r="T118" s="65">
        <f t="shared" si="116"/>
        <v>21</v>
      </c>
      <c r="U118" s="65">
        <f t="shared" si="116"/>
        <v>24</v>
      </c>
      <c r="V118" s="65">
        <f t="shared" si="116"/>
        <v>27</v>
      </c>
      <c r="W118" s="65">
        <f t="shared" si="116"/>
        <v>30</v>
      </c>
      <c r="X118" s="65">
        <f t="shared" si="116"/>
        <v>45</v>
      </c>
      <c r="Y118" s="65">
        <f t="shared" si="116"/>
        <v>60</v>
      </c>
      <c r="Z118" s="70"/>
      <c r="AA118" s="70"/>
    </row>
    <row r="119" ht="16.5" customHeight="1">
      <c r="A119" s="48" t="str">
        <f t="shared" ref="A119:E119" si="117">A66</f>
        <v>USD</v>
      </c>
      <c r="B119" s="48" t="str">
        <f t="shared" si="117"/>
        <v>$</v>
      </c>
      <c r="C119" s="48" t="str">
        <f t="shared" si="117"/>
        <v>美元</v>
      </c>
      <c r="D119" s="48" t="str">
        <f t="shared" si="117"/>
        <v/>
      </c>
      <c r="E119" s="64">
        <f t="shared" si="117"/>
        <v>0.002</v>
      </c>
      <c r="F119" s="65">
        <f t="shared" ref="F119:Y119" si="118">F66*1.5</f>
        <v>0.3</v>
      </c>
      <c r="G119" s="65">
        <f t="shared" si="118"/>
        <v>0.6</v>
      </c>
      <c r="H119" s="65">
        <f t="shared" si="118"/>
        <v>1.5</v>
      </c>
      <c r="I119" s="65">
        <f t="shared" si="118"/>
        <v>3</v>
      </c>
      <c r="J119" s="65">
        <f t="shared" si="118"/>
        <v>3.6</v>
      </c>
      <c r="K119" s="65">
        <f t="shared" si="118"/>
        <v>4.5</v>
      </c>
      <c r="L119" s="65">
        <f t="shared" si="118"/>
        <v>6</v>
      </c>
      <c r="M119" s="65">
        <f t="shared" si="118"/>
        <v>7.5</v>
      </c>
      <c r="N119" s="65">
        <f t="shared" si="118"/>
        <v>9</v>
      </c>
      <c r="O119" s="65">
        <f t="shared" si="118"/>
        <v>10.5</v>
      </c>
      <c r="P119" s="65">
        <f t="shared" si="118"/>
        <v>12</v>
      </c>
      <c r="Q119" s="65">
        <f t="shared" si="118"/>
        <v>13.5</v>
      </c>
      <c r="R119" s="65">
        <f t="shared" si="118"/>
        <v>15</v>
      </c>
      <c r="S119" s="65">
        <f t="shared" si="118"/>
        <v>18</v>
      </c>
      <c r="T119" s="65">
        <f t="shared" si="118"/>
        <v>21</v>
      </c>
      <c r="U119" s="65">
        <f t="shared" si="118"/>
        <v>24</v>
      </c>
      <c r="V119" s="65">
        <f t="shared" si="118"/>
        <v>27</v>
      </c>
      <c r="W119" s="65">
        <f t="shared" si="118"/>
        <v>30</v>
      </c>
      <c r="X119" s="65">
        <f t="shared" si="118"/>
        <v>45</v>
      </c>
      <c r="Y119" s="65">
        <f t="shared" si="118"/>
        <v>60</v>
      </c>
      <c r="Z119" s="70"/>
      <c r="AA119" s="70"/>
    </row>
    <row r="120" ht="16.5" customHeight="1">
      <c r="A120" s="48" t="str">
        <f t="shared" ref="A120:E120" si="119">A67</f>
        <v>BDT</v>
      </c>
      <c r="B120" s="48" t="str">
        <f t="shared" si="119"/>
        <v>৳</v>
      </c>
      <c r="C120" s="48" t="str">
        <f t="shared" si="119"/>
        <v>孟加拉塔卡</v>
      </c>
      <c r="D120" s="48" t="str">
        <f t="shared" si="119"/>
        <v/>
      </c>
      <c r="E120" s="64">
        <f t="shared" si="119"/>
        <v>0.002</v>
      </c>
      <c r="F120" s="65">
        <f t="shared" ref="F120:Y120" si="120">F67*1.5</f>
        <v>3</v>
      </c>
      <c r="G120" s="65">
        <f t="shared" si="120"/>
        <v>4.5</v>
      </c>
      <c r="H120" s="65">
        <f t="shared" si="120"/>
        <v>6</v>
      </c>
      <c r="I120" s="65">
        <f t="shared" si="120"/>
        <v>9</v>
      </c>
      <c r="J120" s="65">
        <f t="shared" si="120"/>
        <v>12</v>
      </c>
      <c r="K120" s="65">
        <f t="shared" si="120"/>
        <v>15</v>
      </c>
      <c r="L120" s="65">
        <f t="shared" si="120"/>
        <v>18</v>
      </c>
      <c r="M120" s="65">
        <f t="shared" si="120"/>
        <v>24</v>
      </c>
      <c r="N120" s="65">
        <f t="shared" si="120"/>
        <v>30</v>
      </c>
      <c r="O120" s="65">
        <f t="shared" si="120"/>
        <v>45</v>
      </c>
      <c r="P120" s="65">
        <f t="shared" si="120"/>
        <v>60</v>
      </c>
      <c r="Q120" s="65">
        <f t="shared" si="120"/>
        <v>90</v>
      </c>
      <c r="R120" s="65">
        <f t="shared" si="120"/>
        <v>150</v>
      </c>
      <c r="S120" s="65">
        <f t="shared" si="120"/>
        <v>300</v>
      </c>
      <c r="T120" s="65">
        <f t="shared" si="120"/>
        <v>450</v>
      </c>
      <c r="U120" s="65">
        <f t="shared" si="120"/>
        <v>900</v>
      </c>
      <c r="V120" s="65">
        <f t="shared" si="120"/>
        <v>1500</v>
      </c>
      <c r="W120" s="65">
        <f t="shared" si="120"/>
        <v>2250</v>
      </c>
      <c r="X120" s="65">
        <f t="shared" si="120"/>
        <v>3000</v>
      </c>
      <c r="Y120" s="65">
        <f t="shared" si="120"/>
        <v>4500</v>
      </c>
      <c r="Z120" s="70"/>
      <c r="AA120" s="70"/>
    </row>
    <row r="121" ht="16.5" customHeight="1">
      <c r="A121" s="48" t="str">
        <f t="shared" ref="A121:E121" si="121">A68</f>
        <v>PKR</v>
      </c>
      <c r="B121" s="48" t="str">
        <f t="shared" si="121"/>
        <v>₨</v>
      </c>
      <c r="C121" s="48" t="str">
        <f t="shared" si="121"/>
        <v>巴基斯坦盧比</v>
      </c>
      <c r="D121" s="48" t="str">
        <f t="shared" si="121"/>
        <v/>
      </c>
      <c r="E121" s="64">
        <f t="shared" si="121"/>
        <v>0.01</v>
      </c>
      <c r="F121" s="65">
        <f t="shared" ref="F121:Y121" si="122">F68*1.5</f>
        <v>7.5</v>
      </c>
      <c r="G121" s="65">
        <f t="shared" si="122"/>
        <v>15</v>
      </c>
      <c r="H121" s="65">
        <f t="shared" si="122"/>
        <v>22.5</v>
      </c>
      <c r="I121" s="65">
        <f t="shared" si="122"/>
        <v>30</v>
      </c>
      <c r="J121" s="65">
        <f t="shared" si="122"/>
        <v>45</v>
      </c>
      <c r="K121" s="65">
        <f t="shared" si="122"/>
        <v>60</v>
      </c>
      <c r="L121" s="65">
        <f t="shared" si="122"/>
        <v>75</v>
      </c>
      <c r="M121" s="65">
        <f t="shared" si="122"/>
        <v>90</v>
      </c>
      <c r="N121" s="65">
        <f t="shared" si="122"/>
        <v>120</v>
      </c>
      <c r="O121" s="65">
        <f t="shared" si="122"/>
        <v>150</v>
      </c>
      <c r="P121" s="65">
        <f t="shared" si="122"/>
        <v>225</v>
      </c>
      <c r="Q121" s="65">
        <f t="shared" si="122"/>
        <v>300</v>
      </c>
      <c r="R121" s="65">
        <f t="shared" si="122"/>
        <v>450</v>
      </c>
      <c r="S121" s="65">
        <f t="shared" si="122"/>
        <v>750</v>
      </c>
      <c r="T121" s="65">
        <f t="shared" si="122"/>
        <v>1500</v>
      </c>
      <c r="U121" s="65">
        <f t="shared" si="122"/>
        <v>2250</v>
      </c>
      <c r="V121" s="65">
        <f t="shared" si="122"/>
        <v>4500</v>
      </c>
      <c r="W121" s="65">
        <f t="shared" si="122"/>
        <v>7500</v>
      </c>
      <c r="X121" s="65">
        <f t="shared" si="122"/>
        <v>11250</v>
      </c>
      <c r="Y121" s="65">
        <f t="shared" si="122"/>
        <v>15000</v>
      </c>
      <c r="Z121" s="70"/>
      <c r="AA121" s="70"/>
    </row>
    <row r="122" ht="16.5" customHeight="1">
      <c r="A122" s="48" t="str">
        <f t="shared" ref="A122:E122" si="123">A69</f>
        <v>MMK</v>
      </c>
      <c r="B122" s="48" t="str">
        <f t="shared" si="123"/>
        <v>K</v>
      </c>
      <c r="C122" s="48" t="str">
        <f t="shared" si="123"/>
        <v>緬甸元(K)</v>
      </c>
      <c r="D122" s="48">
        <f t="shared" si="123"/>
        <v>1000</v>
      </c>
      <c r="E122" s="64">
        <f t="shared" si="123"/>
        <v>0.002</v>
      </c>
      <c r="F122" s="65">
        <f t="shared" ref="F122:Y122" si="124">F69*1.5</f>
        <v>0.3</v>
      </c>
      <c r="G122" s="65">
        <f t="shared" si="124"/>
        <v>0.6</v>
      </c>
      <c r="H122" s="65">
        <f t="shared" si="124"/>
        <v>1.5</v>
      </c>
      <c r="I122" s="65">
        <f t="shared" si="124"/>
        <v>3</v>
      </c>
      <c r="J122" s="65">
        <f t="shared" si="124"/>
        <v>3.6</v>
      </c>
      <c r="K122" s="65">
        <f t="shared" si="124"/>
        <v>4.5</v>
      </c>
      <c r="L122" s="65">
        <f t="shared" si="124"/>
        <v>6</v>
      </c>
      <c r="M122" s="65">
        <f t="shared" si="124"/>
        <v>7.5</v>
      </c>
      <c r="N122" s="65">
        <f t="shared" si="124"/>
        <v>9</v>
      </c>
      <c r="O122" s="65">
        <f t="shared" si="124"/>
        <v>10.5</v>
      </c>
      <c r="P122" s="65">
        <f t="shared" si="124"/>
        <v>12</v>
      </c>
      <c r="Q122" s="65">
        <f t="shared" si="124"/>
        <v>13.5</v>
      </c>
      <c r="R122" s="65">
        <f t="shared" si="124"/>
        <v>15</v>
      </c>
      <c r="S122" s="65">
        <f t="shared" si="124"/>
        <v>18</v>
      </c>
      <c r="T122" s="65">
        <f t="shared" si="124"/>
        <v>21</v>
      </c>
      <c r="U122" s="65">
        <f t="shared" si="124"/>
        <v>24</v>
      </c>
      <c r="V122" s="65">
        <f t="shared" si="124"/>
        <v>30</v>
      </c>
      <c r="W122" s="65">
        <f t="shared" si="124"/>
        <v>45</v>
      </c>
      <c r="X122" s="65">
        <f t="shared" si="124"/>
        <v>60</v>
      </c>
      <c r="Y122" s="65">
        <f t="shared" si="124"/>
        <v>90</v>
      </c>
      <c r="Z122" s="70"/>
      <c r="AA122" s="70"/>
    </row>
    <row r="123" ht="16.5" customHeight="1">
      <c r="A123" s="48" t="str">
        <f t="shared" ref="A123:E123" si="125">A70</f>
        <v>MMH</v>
      </c>
      <c r="B123" s="48" t="str">
        <f t="shared" si="125"/>
        <v>K</v>
      </c>
      <c r="C123" s="48" t="str">
        <f t="shared" si="125"/>
        <v>緬甸元(H)</v>
      </c>
      <c r="D123" s="48">
        <f t="shared" si="125"/>
        <v>100</v>
      </c>
      <c r="E123" s="64">
        <f t="shared" si="125"/>
        <v>0.004</v>
      </c>
      <c r="F123" s="65">
        <f t="shared" ref="F123:Y123" si="126">F70*1.5</f>
        <v>0.6</v>
      </c>
      <c r="G123" s="65">
        <f t="shared" si="126"/>
        <v>1.2</v>
      </c>
      <c r="H123" s="65">
        <f t="shared" si="126"/>
        <v>3</v>
      </c>
      <c r="I123" s="65">
        <f t="shared" si="126"/>
        <v>6</v>
      </c>
      <c r="J123" s="65">
        <f t="shared" si="126"/>
        <v>7.2</v>
      </c>
      <c r="K123" s="65">
        <f t="shared" si="126"/>
        <v>9</v>
      </c>
      <c r="L123" s="65">
        <f t="shared" si="126"/>
        <v>12</v>
      </c>
      <c r="M123" s="65">
        <f t="shared" si="126"/>
        <v>15</v>
      </c>
      <c r="N123" s="65">
        <f t="shared" si="126"/>
        <v>18</v>
      </c>
      <c r="O123" s="65">
        <f t="shared" si="126"/>
        <v>24</v>
      </c>
      <c r="P123" s="65">
        <f t="shared" si="126"/>
        <v>30</v>
      </c>
      <c r="Q123" s="65">
        <f t="shared" si="126"/>
        <v>36</v>
      </c>
      <c r="R123" s="65">
        <f t="shared" si="126"/>
        <v>48</v>
      </c>
      <c r="S123" s="65">
        <f t="shared" si="126"/>
        <v>60</v>
      </c>
      <c r="T123" s="65">
        <f t="shared" si="126"/>
        <v>90</v>
      </c>
      <c r="U123" s="65">
        <f t="shared" si="126"/>
        <v>120</v>
      </c>
      <c r="V123" s="65">
        <f t="shared" si="126"/>
        <v>180</v>
      </c>
      <c r="W123" s="65">
        <f t="shared" si="126"/>
        <v>300</v>
      </c>
      <c r="X123" s="65">
        <f t="shared" si="126"/>
        <v>600</v>
      </c>
      <c r="Y123" s="65">
        <f t="shared" si="126"/>
        <v>900</v>
      </c>
      <c r="Z123" s="70"/>
      <c r="AA123" s="70"/>
    </row>
    <row r="124" ht="16.5" customHeight="1">
      <c r="A124" s="48" t="str">
        <f t="shared" ref="A124:E124" si="127">A71</f>
        <v>PHP</v>
      </c>
      <c r="B124" s="48" t="str">
        <f t="shared" si="127"/>
        <v>₱</v>
      </c>
      <c r="C124" s="48" t="str">
        <f t="shared" si="127"/>
        <v>菲律賓披索</v>
      </c>
      <c r="D124" s="48" t="str">
        <f t="shared" si="127"/>
        <v/>
      </c>
      <c r="E124" s="64">
        <f t="shared" si="127"/>
        <v>0.002</v>
      </c>
      <c r="F124" s="65">
        <f t="shared" ref="F124:Y124" si="128">F71*1.5</f>
        <v>1.5</v>
      </c>
      <c r="G124" s="65">
        <f t="shared" si="128"/>
        <v>3</v>
      </c>
      <c r="H124" s="65">
        <f t="shared" si="128"/>
        <v>4.5</v>
      </c>
      <c r="I124" s="65">
        <f t="shared" si="128"/>
        <v>6</v>
      </c>
      <c r="J124" s="65">
        <f t="shared" si="128"/>
        <v>7.5</v>
      </c>
      <c r="K124" s="65">
        <f t="shared" si="128"/>
        <v>9</v>
      </c>
      <c r="L124" s="65">
        <f t="shared" si="128"/>
        <v>12</v>
      </c>
      <c r="M124" s="65">
        <f t="shared" si="128"/>
        <v>15</v>
      </c>
      <c r="N124" s="65">
        <f t="shared" si="128"/>
        <v>18</v>
      </c>
      <c r="O124" s="65">
        <f t="shared" si="128"/>
        <v>24</v>
      </c>
      <c r="P124" s="65">
        <f t="shared" si="128"/>
        <v>30</v>
      </c>
      <c r="Q124" s="65">
        <f t="shared" si="128"/>
        <v>45</v>
      </c>
      <c r="R124" s="65">
        <f t="shared" si="128"/>
        <v>60</v>
      </c>
      <c r="S124" s="65">
        <f t="shared" si="128"/>
        <v>90</v>
      </c>
      <c r="T124" s="65">
        <f t="shared" si="128"/>
        <v>150</v>
      </c>
      <c r="U124" s="65">
        <f t="shared" si="128"/>
        <v>300</v>
      </c>
      <c r="V124" s="65">
        <f t="shared" si="128"/>
        <v>450</v>
      </c>
      <c r="W124" s="65">
        <f t="shared" si="128"/>
        <v>900</v>
      </c>
      <c r="X124" s="65">
        <f t="shared" si="128"/>
        <v>1500</v>
      </c>
      <c r="Y124" s="65">
        <f t="shared" si="128"/>
        <v>2250</v>
      </c>
      <c r="Z124" s="70"/>
      <c r="AA124" s="70"/>
    </row>
    <row r="125" ht="16.5" customHeight="1">
      <c r="A125" s="48" t="str">
        <f t="shared" ref="A125:E125" si="129">A72</f>
        <v>CNY</v>
      </c>
      <c r="B125" s="48" t="str">
        <f t="shared" si="129"/>
        <v>￥</v>
      </c>
      <c r="C125" s="48" t="str">
        <f t="shared" si="129"/>
        <v>人民幣</v>
      </c>
      <c r="D125" s="48" t="str">
        <f t="shared" si="129"/>
        <v/>
      </c>
      <c r="E125" s="64">
        <f t="shared" si="129"/>
        <v>0.002</v>
      </c>
      <c r="F125" s="65">
        <f t="shared" ref="F125:Y125" si="130">F72*1.5</f>
        <v>0.3</v>
      </c>
      <c r="G125" s="65">
        <f t="shared" si="130"/>
        <v>0.6</v>
      </c>
      <c r="H125" s="65">
        <f t="shared" si="130"/>
        <v>1.5</v>
      </c>
      <c r="I125" s="65">
        <f t="shared" si="130"/>
        <v>3</v>
      </c>
      <c r="J125" s="65">
        <f t="shared" si="130"/>
        <v>3.6</v>
      </c>
      <c r="K125" s="65">
        <f t="shared" si="130"/>
        <v>4.5</v>
      </c>
      <c r="L125" s="65">
        <f t="shared" si="130"/>
        <v>6</v>
      </c>
      <c r="M125" s="65">
        <f t="shared" si="130"/>
        <v>7.5</v>
      </c>
      <c r="N125" s="65">
        <f t="shared" si="130"/>
        <v>9</v>
      </c>
      <c r="O125" s="65">
        <f t="shared" si="130"/>
        <v>12</v>
      </c>
      <c r="P125" s="65">
        <f t="shared" si="130"/>
        <v>15</v>
      </c>
      <c r="Q125" s="65">
        <f t="shared" si="130"/>
        <v>18</v>
      </c>
      <c r="R125" s="65">
        <f t="shared" si="130"/>
        <v>24</v>
      </c>
      <c r="S125" s="65">
        <f t="shared" si="130"/>
        <v>30</v>
      </c>
      <c r="T125" s="65">
        <f t="shared" si="130"/>
        <v>45</v>
      </c>
      <c r="U125" s="65">
        <f t="shared" si="130"/>
        <v>60</v>
      </c>
      <c r="V125" s="65">
        <f t="shared" si="130"/>
        <v>90</v>
      </c>
      <c r="W125" s="65">
        <f t="shared" si="130"/>
        <v>150</v>
      </c>
      <c r="X125" s="65">
        <f t="shared" si="130"/>
        <v>300</v>
      </c>
      <c r="Y125" s="65">
        <f t="shared" si="130"/>
        <v>450</v>
      </c>
      <c r="Z125" s="70"/>
      <c r="AA125" s="70"/>
    </row>
    <row r="126" ht="16.5" customHeight="1">
      <c r="A126" s="48" t="str">
        <f t="shared" ref="A126:E126" si="131">A73</f>
        <v>MXN</v>
      </c>
      <c r="B126" s="48" t="str">
        <f t="shared" si="131"/>
        <v>Mex$</v>
      </c>
      <c r="C126" s="48" t="str">
        <f t="shared" si="131"/>
        <v>墨⻄哥披索</v>
      </c>
      <c r="D126" s="48" t="str">
        <f t="shared" si="131"/>
        <v/>
      </c>
      <c r="E126" s="64">
        <f t="shared" si="131"/>
        <v>0.002</v>
      </c>
      <c r="F126" s="65">
        <f t="shared" ref="F126:Y126" si="132">F73*1.5</f>
        <v>0.6</v>
      </c>
      <c r="G126" s="65">
        <f t="shared" si="132"/>
        <v>1.5</v>
      </c>
      <c r="H126" s="65">
        <f t="shared" si="132"/>
        <v>3</v>
      </c>
      <c r="I126" s="65">
        <f t="shared" si="132"/>
        <v>3.6</v>
      </c>
      <c r="J126" s="65">
        <f t="shared" si="132"/>
        <v>4.5</v>
      </c>
      <c r="K126" s="65">
        <f t="shared" si="132"/>
        <v>6</v>
      </c>
      <c r="L126" s="65">
        <f t="shared" si="132"/>
        <v>7.5</v>
      </c>
      <c r="M126" s="65">
        <f t="shared" si="132"/>
        <v>9</v>
      </c>
      <c r="N126" s="65">
        <f t="shared" si="132"/>
        <v>12</v>
      </c>
      <c r="O126" s="65">
        <f t="shared" si="132"/>
        <v>15</v>
      </c>
      <c r="P126" s="65">
        <f t="shared" si="132"/>
        <v>18</v>
      </c>
      <c r="Q126" s="65">
        <f t="shared" si="132"/>
        <v>24</v>
      </c>
      <c r="R126" s="65">
        <f t="shared" si="132"/>
        <v>30</v>
      </c>
      <c r="S126" s="65">
        <f t="shared" si="132"/>
        <v>45</v>
      </c>
      <c r="T126" s="65">
        <f t="shared" si="132"/>
        <v>60</v>
      </c>
      <c r="U126" s="65">
        <f t="shared" si="132"/>
        <v>90</v>
      </c>
      <c r="V126" s="65">
        <f t="shared" si="132"/>
        <v>150</v>
      </c>
      <c r="W126" s="65">
        <f t="shared" si="132"/>
        <v>300</v>
      </c>
      <c r="X126" s="65">
        <f t="shared" si="132"/>
        <v>450</v>
      </c>
      <c r="Y126" s="65">
        <f t="shared" si="132"/>
        <v>900</v>
      </c>
      <c r="Z126" s="70"/>
      <c r="AA126" s="70"/>
    </row>
    <row r="127" ht="16.5" customHeight="1">
      <c r="A127" s="48" t="str">
        <f t="shared" ref="A127:E127" si="133">A74</f>
        <v>BRL</v>
      </c>
      <c r="B127" s="48" t="str">
        <f t="shared" si="133"/>
        <v>R$</v>
      </c>
      <c r="C127" s="48" t="str">
        <f t="shared" si="133"/>
        <v>巴西雷亞爾</v>
      </c>
      <c r="D127" s="48" t="str">
        <f t="shared" si="133"/>
        <v/>
      </c>
      <c r="E127" s="64">
        <f t="shared" si="133"/>
        <v>0.002</v>
      </c>
      <c r="F127" s="65">
        <f t="shared" ref="F127:Y127" si="134">F74*1.5</f>
        <v>0.3</v>
      </c>
      <c r="G127" s="65">
        <f t="shared" si="134"/>
        <v>0.6</v>
      </c>
      <c r="H127" s="65">
        <f t="shared" si="134"/>
        <v>1.5</v>
      </c>
      <c r="I127" s="65">
        <f t="shared" si="134"/>
        <v>3</v>
      </c>
      <c r="J127" s="65">
        <f t="shared" si="134"/>
        <v>3.6</v>
      </c>
      <c r="K127" s="65">
        <f t="shared" si="134"/>
        <v>4.5</v>
      </c>
      <c r="L127" s="65">
        <f t="shared" si="134"/>
        <v>6</v>
      </c>
      <c r="M127" s="65">
        <f t="shared" si="134"/>
        <v>7.5</v>
      </c>
      <c r="N127" s="65">
        <f t="shared" si="134"/>
        <v>9</v>
      </c>
      <c r="O127" s="65">
        <f t="shared" si="134"/>
        <v>10.5</v>
      </c>
      <c r="P127" s="65">
        <f t="shared" si="134"/>
        <v>12</v>
      </c>
      <c r="Q127" s="65">
        <f t="shared" si="134"/>
        <v>15</v>
      </c>
      <c r="R127" s="65">
        <f t="shared" si="134"/>
        <v>18</v>
      </c>
      <c r="S127" s="65">
        <f t="shared" si="134"/>
        <v>24</v>
      </c>
      <c r="T127" s="65">
        <f t="shared" si="134"/>
        <v>30</v>
      </c>
      <c r="U127" s="65">
        <f t="shared" si="134"/>
        <v>45</v>
      </c>
      <c r="V127" s="65">
        <f t="shared" si="134"/>
        <v>60</v>
      </c>
      <c r="W127" s="65">
        <f t="shared" si="134"/>
        <v>90</v>
      </c>
      <c r="X127" s="65">
        <f t="shared" si="134"/>
        <v>150</v>
      </c>
      <c r="Y127" s="65">
        <f t="shared" si="134"/>
        <v>300</v>
      </c>
      <c r="Z127" s="70"/>
      <c r="AA127" s="70"/>
    </row>
    <row r="128" ht="16.5" customHeight="1">
      <c r="A128" s="48" t="str">
        <f t="shared" ref="A128:E128" si="135">A75</f>
        <v>AUD</v>
      </c>
      <c r="B128" s="48" t="str">
        <f t="shared" si="135"/>
        <v>A$</v>
      </c>
      <c r="C128" s="48" t="str">
        <f t="shared" si="135"/>
        <v>澳洲元</v>
      </c>
      <c r="D128" s="48" t="str">
        <f t="shared" si="135"/>
        <v/>
      </c>
      <c r="E128" s="64">
        <f t="shared" si="135"/>
        <v>0.002</v>
      </c>
      <c r="F128" s="65">
        <f t="shared" ref="F128:Y128" si="136">F75*1.5</f>
        <v>0.3</v>
      </c>
      <c r="G128" s="65">
        <f t="shared" si="136"/>
        <v>0.6</v>
      </c>
      <c r="H128" s="65">
        <f t="shared" si="136"/>
        <v>1.5</v>
      </c>
      <c r="I128" s="65">
        <f t="shared" si="136"/>
        <v>3</v>
      </c>
      <c r="J128" s="65">
        <f t="shared" si="136"/>
        <v>3.6</v>
      </c>
      <c r="K128" s="65">
        <f t="shared" si="136"/>
        <v>4.5</v>
      </c>
      <c r="L128" s="65">
        <f t="shared" si="136"/>
        <v>6</v>
      </c>
      <c r="M128" s="65">
        <f t="shared" si="136"/>
        <v>7.5</v>
      </c>
      <c r="N128" s="65">
        <f t="shared" si="136"/>
        <v>9</v>
      </c>
      <c r="O128" s="65">
        <f t="shared" si="136"/>
        <v>10.5</v>
      </c>
      <c r="P128" s="65">
        <f t="shared" si="136"/>
        <v>12</v>
      </c>
      <c r="Q128" s="65">
        <f t="shared" si="136"/>
        <v>13.5</v>
      </c>
      <c r="R128" s="65">
        <f t="shared" si="136"/>
        <v>15</v>
      </c>
      <c r="S128" s="65">
        <f t="shared" si="136"/>
        <v>18</v>
      </c>
      <c r="T128" s="65">
        <f t="shared" si="136"/>
        <v>21</v>
      </c>
      <c r="U128" s="65">
        <f t="shared" si="136"/>
        <v>24</v>
      </c>
      <c r="V128" s="65">
        <f t="shared" si="136"/>
        <v>30</v>
      </c>
      <c r="W128" s="65">
        <f t="shared" si="136"/>
        <v>45</v>
      </c>
      <c r="X128" s="65">
        <f t="shared" si="136"/>
        <v>60</v>
      </c>
      <c r="Y128" s="65">
        <f t="shared" si="136"/>
        <v>90</v>
      </c>
      <c r="Z128" s="70"/>
      <c r="AA128" s="70"/>
    </row>
    <row r="129" ht="16.5" customHeight="1">
      <c r="A129" s="48" t="str">
        <f t="shared" ref="A129:E129" si="137">A76</f>
        <v>JPY</v>
      </c>
      <c r="B129" s="48" t="str">
        <f t="shared" si="137"/>
        <v>￥</v>
      </c>
      <c r="C129" s="48" t="str">
        <f t="shared" si="137"/>
        <v>日圓</v>
      </c>
      <c r="D129" s="48" t="str">
        <f t="shared" si="137"/>
        <v/>
      </c>
      <c r="E129" s="64">
        <f t="shared" si="137"/>
        <v>0.004</v>
      </c>
      <c r="F129" s="65">
        <f t="shared" ref="F129:Y129" si="138">F76*1.5</f>
        <v>6</v>
      </c>
      <c r="G129" s="65">
        <f t="shared" si="138"/>
        <v>9</v>
      </c>
      <c r="H129" s="65">
        <f t="shared" si="138"/>
        <v>12</v>
      </c>
      <c r="I129" s="65">
        <f t="shared" si="138"/>
        <v>18</v>
      </c>
      <c r="J129" s="65">
        <f t="shared" si="138"/>
        <v>24</v>
      </c>
      <c r="K129" s="65">
        <f t="shared" si="138"/>
        <v>30</v>
      </c>
      <c r="L129" s="65">
        <f t="shared" si="138"/>
        <v>36</v>
      </c>
      <c r="M129" s="65">
        <f t="shared" si="138"/>
        <v>48</v>
      </c>
      <c r="N129" s="65">
        <f t="shared" si="138"/>
        <v>60</v>
      </c>
      <c r="O129" s="65">
        <f t="shared" si="138"/>
        <v>90</v>
      </c>
      <c r="P129" s="65">
        <f t="shared" si="138"/>
        <v>120</v>
      </c>
      <c r="Q129" s="65">
        <f t="shared" si="138"/>
        <v>180</v>
      </c>
      <c r="R129" s="65">
        <f t="shared" si="138"/>
        <v>300</v>
      </c>
      <c r="S129" s="65">
        <f t="shared" si="138"/>
        <v>600</v>
      </c>
      <c r="T129" s="65">
        <f t="shared" si="138"/>
        <v>900</v>
      </c>
      <c r="U129" s="65">
        <f t="shared" si="138"/>
        <v>1800</v>
      </c>
      <c r="V129" s="65">
        <f t="shared" si="138"/>
        <v>3000</v>
      </c>
      <c r="W129" s="65">
        <f t="shared" si="138"/>
        <v>4500</v>
      </c>
      <c r="X129" s="65">
        <f t="shared" si="138"/>
        <v>6000</v>
      </c>
      <c r="Y129" s="65">
        <f t="shared" si="138"/>
        <v>9000</v>
      </c>
      <c r="Z129" s="70"/>
      <c r="AA129" s="70"/>
    </row>
    <row r="130" ht="16.5" customHeight="1">
      <c r="A130" s="48" t="str">
        <f t="shared" ref="A130:E130" si="139">A77</f>
        <v>KRW</v>
      </c>
      <c r="B130" s="48" t="str">
        <f t="shared" si="139"/>
        <v>₩</v>
      </c>
      <c r="C130" s="48" t="str">
        <f t="shared" si="139"/>
        <v>韓圓</v>
      </c>
      <c r="D130" s="48" t="str">
        <f t="shared" si="139"/>
        <v/>
      </c>
      <c r="E130" s="64">
        <f t="shared" si="139"/>
        <v>0.02</v>
      </c>
      <c r="F130" s="65">
        <f t="shared" ref="F130:Y130" si="140">F77*1.5</f>
        <v>60</v>
      </c>
      <c r="G130" s="65">
        <f t="shared" si="140"/>
        <v>90</v>
      </c>
      <c r="H130" s="65">
        <f t="shared" si="140"/>
        <v>120</v>
      </c>
      <c r="I130" s="65">
        <f t="shared" si="140"/>
        <v>180</v>
      </c>
      <c r="J130" s="65">
        <f t="shared" si="140"/>
        <v>210</v>
      </c>
      <c r="K130" s="65">
        <f t="shared" si="140"/>
        <v>240</v>
      </c>
      <c r="L130" s="65">
        <f t="shared" si="140"/>
        <v>270</v>
      </c>
      <c r="M130" s="65">
        <f t="shared" si="140"/>
        <v>300</v>
      </c>
      <c r="N130" s="65">
        <f t="shared" si="140"/>
        <v>450</v>
      </c>
      <c r="O130" s="65">
        <f t="shared" si="140"/>
        <v>600</v>
      </c>
      <c r="P130" s="65">
        <f t="shared" si="140"/>
        <v>900</v>
      </c>
      <c r="Q130" s="65">
        <f t="shared" si="140"/>
        <v>1500</v>
      </c>
      <c r="R130" s="65">
        <f t="shared" si="140"/>
        <v>3000</v>
      </c>
      <c r="S130" s="65">
        <f t="shared" si="140"/>
        <v>4500</v>
      </c>
      <c r="T130" s="65">
        <f t="shared" si="140"/>
        <v>9000</v>
      </c>
      <c r="U130" s="65">
        <f t="shared" si="140"/>
        <v>15000</v>
      </c>
      <c r="V130" s="65">
        <f t="shared" si="140"/>
        <v>22500</v>
      </c>
      <c r="W130" s="65">
        <f t="shared" si="140"/>
        <v>30000</v>
      </c>
      <c r="X130" s="65">
        <f t="shared" si="140"/>
        <v>45000</v>
      </c>
      <c r="Y130" s="65">
        <f t="shared" si="140"/>
        <v>75000</v>
      </c>
      <c r="Z130" s="70"/>
      <c r="AA130" s="70"/>
    </row>
    <row r="131" ht="16.5" customHeight="1">
      <c r="A131" s="48" t="str">
        <f t="shared" ref="A131:E131" si="141">A78</f>
        <v>CLP</v>
      </c>
      <c r="B131" s="48" t="str">
        <f t="shared" si="141"/>
        <v>$</v>
      </c>
      <c r="C131" s="48" t="str">
        <f t="shared" si="141"/>
        <v>智利披索</v>
      </c>
      <c r="D131" s="48" t="str">
        <f t="shared" si="141"/>
        <v/>
      </c>
      <c r="E131" s="64">
        <f t="shared" si="141"/>
        <v>0.03</v>
      </c>
      <c r="F131" s="65">
        <f t="shared" ref="F131:Y131" si="142">F78*1.5</f>
        <v>22.5</v>
      </c>
      <c r="G131" s="65">
        <f t="shared" si="142"/>
        <v>45</v>
      </c>
      <c r="H131" s="65">
        <f t="shared" si="142"/>
        <v>67.5</v>
      </c>
      <c r="I131" s="65">
        <f t="shared" si="142"/>
        <v>90</v>
      </c>
      <c r="J131" s="65">
        <f t="shared" si="142"/>
        <v>135</v>
      </c>
      <c r="K131" s="65">
        <f t="shared" si="142"/>
        <v>180</v>
      </c>
      <c r="L131" s="65">
        <f t="shared" si="142"/>
        <v>225</v>
      </c>
      <c r="M131" s="65">
        <f t="shared" si="142"/>
        <v>270</v>
      </c>
      <c r="N131" s="65">
        <f t="shared" si="142"/>
        <v>360</v>
      </c>
      <c r="O131" s="65">
        <f t="shared" si="142"/>
        <v>450</v>
      </c>
      <c r="P131" s="65">
        <f t="shared" si="142"/>
        <v>675</v>
      </c>
      <c r="Q131" s="65">
        <f t="shared" si="142"/>
        <v>900</v>
      </c>
      <c r="R131" s="65">
        <f t="shared" si="142"/>
        <v>1350</v>
      </c>
      <c r="S131" s="65">
        <f t="shared" si="142"/>
        <v>2250</v>
      </c>
      <c r="T131" s="65">
        <f t="shared" si="142"/>
        <v>4500</v>
      </c>
      <c r="U131" s="65">
        <f t="shared" si="142"/>
        <v>6750</v>
      </c>
      <c r="V131" s="65">
        <f t="shared" si="142"/>
        <v>13500</v>
      </c>
      <c r="W131" s="65">
        <f t="shared" si="142"/>
        <v>22500</v>
      </c>
      <c r="X131" s="65">
        <f t="shared" si="142"/>
        <v>33750</v>
      </c>
      <c r="Y131" s="65">
        <f t="shared" si="142"/>
        <v>45000</v>
      </c>
      <c r="Z131" s="70"/>
      <c r="AA131" s="70"/>
    </row>
    <row r="132" ht="16.5" customHeight="1">
      <c r="A132" s="48" t="str">
        <f t="shared" ref="A132:E132" si="143">A79</f>
        <v>MMKO</v>
      </c>
      <c r="B132" s="48" t="str">
        <f t="shared" si="143"/>
        <v>K</v>
      </c>
      <c r="C132" s="48" t="str">
        <f t="shared" si="143"/>
        <v>緬甸元</v>
      </c>
      <c r="D132" s="48" t="str">
        <f t="shared" si="143"/>
        <v/>
      </c>
      <c r="E132" s="64">
        <f t="shared" si="143"/>
        <v>0.05</v>
      </c>
      <c r="F132" s="65">
        <f t="shared" ref="F132:Y132" si="144">F79*1.5</f>
        <v>75</v>
      </c>
      <c r="G132" s="65">
        <f t="shared" si="144"/>
        <v>112.5</v>
      </c>
      <c r="H132" s="65">
        <f t="shared" si="144"/>
        <v>150</v>
      </c>
      <c r="I132" s="65">
        <f t="shared" si="144"/>
        <v>225</v>
      </c>
      <c r="J132" s="65">
        <f t="shared" si="144"/>
        <v>300</v>
      </c>
      <c r="K132" s="65">
        <f t="shared" si="144"/>
        <v>375</v>
      </c>
      <c r="L132" s="65">
        <f t="shared" si="144"/>
        <v>450</v>
      </c>
      <c r="M132" s="65">
        <f t="shared" si="144"/>
        <v>600</v>
      </c>
      <c r="N132" s="65">
        <f t="shared" si="144"/>
        <v>750</v>
      </c>
      <c r="O132" s="65">
        <f t="shared" si="144"/>
        <v>1125</v>
      </c>
      <c r="P132" s="65">
        <f t="shared" si="144"/>
        <v>1500</v>
      </c>
      <c r="Q132" s="65">
        <f t="shared" si="144"/>
        <v>2250</v>
      </c>
      <c r="R132" s="65">
        <f t="shared" si="144"/>
        <v>3750</v>
      </c>
      <c r="S132" s="65">
        <f t="shared" si="144"/>
        <v>7500</v>
      </c>
      <c r="T132" s="65">
        <f t="shared" si="144"/>
        <v>11250</v>
      </c>
      <c r="U132" s="65">
        <f t="shared" si="144"/>
        <v>22500</v>
      </c>
      <c r="V132" s="65">
        <f t="shared" si="144"/>
        <v>37500</v>
      </c>
      <c r="W132" s="65">
        <f t="shared" si="144"/>
        <v>56250</v>
      </c>
      <c r="X132" s="65">
        <f t="shared" si="144"/>
        <v>75000</v>
      </c>
      <c r="Y132" s="65">
        <f t="shared" si="144"/>
        <v>112500</v>
      </c>
      <c r="Z132" s="70"/>
      <c r="AA132" s="70"/>
    </row>
    <row r="133" ht="16.5" customHeight="1">
      <c r="A133" s="48" t="str">
        <f t="shared" ref="A133:E133" si="145">A80</f>
        <v>IDRO</v>
      </c>
      <c r="B133" s="48" t="str">
        <f t="shared" si="145"/>
        <v>Rp</v>
      </c>
      <c r="C133" s="48" t="str">
        <f t="shared" si="145"/>
        <v>印尼盧比</v>
      </c>
      <c r="D133" s="48" t="str">
        <f t="shared" si="145"/>
        <v/>
      </c>
      <c r="E133" s="64">
        <f t="shared" si="145"/>
        <v>0.5</v>
      </c>
      <c r="F133" s="65">
        <f t="shared" ref="F133:Y133" si="146">F80*1.5</f>
        <v>150</v>
      </c>
      <c r="G133" s="65">
        <f t="shared" si="146"/>
        <v>750</v>
      </c>
      <c r="H133" s="65">
        <f t="shared" si="146"/>
        <v>1125</v>
      </c>
      <c r="I133" s="65">
        <f t="shared" si="146"/>
        <v>1500</v>
      </c>
      <c r="J133" s="65">
        <f t="shared" si="146"/>
        <v>2250</v>
      </c>
      <c r="K133" s="65">
        <f t="shared" si="146"/>
        <v>3000</v>
      </c>
      <c r="L133" s="65">
        <f t="shared" si="146"/>
        <v>3750</v>
      </c>
      <c r="M133" s="65">
        <f t="shared" si="146"/>
        <v>4500</v>
      </c>
      <c r="N133" s="65">
        <f t="shared" si="146"/>
        <v>6000</v>
      </c>
      <c r="O133" s="65">
        <f t="shared" si="146"/>
        <v>7500</v>
      </c>
      <c r="P133" s="65">
        <f t="shared" si="146"/>
        <v>11250</v>
      </c>
      <c r="Q133" s="65">
        <f t="shared" si="146"/>
        <v>15000</v>
      </c>
      <c r="R133" s="65">
        <f t="shared" si="146"/>
        <v>22500</v>
      </c>
      <c r="S133" s="65">
        <f t="shared" si="146"/>
        <v>37500</v>
      </c>
      <c r="T133" s="65">
        <f t="shared" si="146"/>
        <v>75000</v>
      </c>
      <c r="U133" s="65">
        <f t="shared" si="146"/>
        <v>112500</v>
      </c>
      <c r="V133" s="65">
        <f t="shared" si="146"/>
        <v>225000</v>
      </c>
      <c r="W133" s="65">
        <f t="shared" si="146"/>
        <v>375000</v>
      </c>
      <c r="X133" s="65">
        <f t="shared" si="146"/>
        <v>562500</v>
      </c>
      <c r="Y133" s="65">
        <f t="shared" si="146"/>
        <v>750000</v>
      </c>
      <c r="Z133" s="70"/>
      <c r="AA133" s="70"/>
    </row>
    <row r="134" ht="16.5" customHeight="1">
      <c r="A134" s="48" t="str">
        <f t="shared" ref="A134:E134" si="147">A81</f>
        <v>RUB</v>
      </c>
      <c r="B134" s="48" t="str">
        <f t="shared" si="147"/>
        <v>₽</v>
      </c>
      <c r="C134" s="48" t="str">
        <f t="shared" si="147"/>
        <v>盧布</v>
      </c>
      <c r="D134" s="48" t="str">
        <f t="shared" si="147"/>
        <v/>
      </c>
      <c r="E134" s="64">
        <f t="shared" si="147"/>
        <v>0.002</v>
      </c>
      <c r="F134" s="65">
        <f t="shared" ref="F134:Y134" si="148">F81*1.5</f>
        <v>3</v>
      </c>
      <c r="G134" s="65">
        <f t="shared" si="148"/>
        <v>4.5</v>
      </c>
      <c r="H134" s="65">
        <f t="shared" si="148"/>
        <v>6</v>
      </c>
      <c r="I134" s="65">
        <f t="shared" si="148"/>
        <v>9</v>
      </c>
      <c r="J134" s="65">
        <f t="shared" si="148"/>
        <v>12</v>
      </c>
      <c r="K134" s="65">
        <f t="shared" si="148"/>
        <v>15</v>
      </c>
      <c r="L134" s="65">
        <f t="shared" si="148"/>
        <v>18</v>
      </c>
      <c r="M134" s="65">
        <f t="shared" si="148"/>
        <v>24</v>
      </c>
      <c r="N134" s="65">
        <f t="shared" si="148"/>
        <v>30</v>
      </c>
      <c r="O134" s="65">
        <f t="shared" si="148"/>
        <v>45</v>
      </c>
      <c r="P134" s="65">
        <f t="shared" si="148"/>
        <v>60</v>
      </c>
      <c r="Q134" s="65">
        <f t="shared" si="148"/>
        <v>90</v>
      </c>
      <c r="R134" s="65">
        <f t="shared" si="148"/>
        <v>150</v>
      </c>
      <c r="S134" s="65">
        <f t="shared" si="148"/>
        <v>300</v>
      </c>
      <c r="T134" s="65">
        <f t="shared" si="148"/>
        <v>450</v>
      </c>
      <c r="U134" s="65">
        <f t="shared" si="148"/>
        <v>900</v>
      </c>
      <c r="V134" s="65">
        <f t="shared" si="148"/>
        <v>1500</v>
      </c>
      <c r="W134" s="65">
        <f t="shared" si="148"/>
        <v>2250</v>
      </c>
      <c r="X134" s="65">
        <f t="shared" si="148"/>
        <v>3000</v>
      </c>
      <c r="Y134" s="65">
        <f t="shared" si="148"/>
        <v>4500</v>
      </c>
      <c r="Z134" s="70"/>
      <c r="AA134" s="70"/>
    </row>
    <row r="135" ht="16.5" customHeight="1">
      <c r="A135" s="48" t="str">
        <f t="shared" ref="A135:E135" si="149">A82</f>
        <v>LKR</v>
      </c>
      <c r="B135" s="48" t="str">
        <f t="shared" si="149"/>
        <v>₨</v>
      </c>
      <c r="C135" s="48" t="str">
        <f t="shared" si="149"/>
        <v>斯里蘭卡盧比</v>
      </c>
      <c r="D135" s="48" t="str">
        <f t="shared" si="149"/>
        <v/>
      </c>
      <c r="E135" s="64">
        <f t="shared" si="149"/>
        <v>0.01</v>
      </c>
      <c r="F135" s="65">
        <f t="shared" ref="F135:Y135" si="150">F82*1.5</f>
        <v>7.5</v>
      </c>
      <c r="G135" s="65">
        <f t="shared" si="150"/>
        <v>15</v>
      </c>
      <c r="H135" s="65">
        <f t="shared" si="150"/>
        <v>22.5</v>
      </c>
      <c r="I135" s="65">
        <f t="shared" si="150"/>
        <v>30</v>
      </c>
      <c r="J135" s="65">
        <f t="shared" si="150"/>
        <v>45</v>
      </c>
      <c r="K135" s="65">
        <f t="shared" si="150"/>
        <v>60</v>
      </c>
      <c r="L135" s="65">
        <f t="shared" si="150"/>
        <v>75</v>
      </c>
      <c r="M135" s="65">
        <f t="shared" si="150"/>
        <v>90</v>
      </c>
      <c r="N135" s="65">
        <f t="shared" si="150"/>
        <v>120</v>
      </c>
      <c r="O135" s="65">
        <f t="shared" si="150"/>
        <v>150</v>
      </c>
      <c r="P135" s="65">
        <f t="shared" si="150"/>
        <v>225</v>
      </c>
      <c r="Q135" s="65">
        <f t="shared" si="150"/>
        <v>300</v>
      </c>
      <c r="R135" s="65">
        <f t="shared" si="150"/>
        <v>450</v>
      </c>
      <c r="S135" s="65">
        <f t="shared" si="150"/>
        <v>750</v>
      </c>
      <c r="T135" s="65">
        <f t="shared" si="150"/>
        <v>1500</v>
      </c>
      <c r="U135" s="65">
        <f t="shared" si="150"/>
        <v>2250</v>
      </c>
      <c r="V135" s="65">
        <f t="shared" si="150"/>
        <v>4500</v>
      </c>
      <c r="W135" s="65">
        <f t="shared" si="150"/>
        <v>7500</v>
      </c>
      <c r="X135" s="65">
        <f t="shared" si="150"/>
        <v>11250</v>
      </c>
      <c r="Y135" s="65">
        <f t="shared" si="150"/>
        <v>15000</v>
      </c>
      <c r="Z135" s="70"/>
      <c r="AA135" s="70"/>
    </row>
    <row r="136" ht="16.5" customHeight="1">
      <c r="A136" s="48" t="str">
        <f t="shared" ref="A136:E136" si="151">A83</f>
        <v>ETB</v>
      </c>
      <c r="B136" s="48" t="str">
        <f t="shared" si="151"/>
        <v>Br‎</v>
      </c>
      <c r="C136" s="48" t="str">
        <f t="shared" si="151"/>
        <v>衣索比亞比爾</v>
      </c>
      <c r="D136" s="48" t="str">
        <f t="shared" si="151"/>
        <v/>
      </c>
      <c r="E136" s="64">
        <f t="shared" si="151"/>
        <v>0.002</v>
      </c>
      <c r="F136" s="65">
        <f t="shared" ref="F136:Y136" si="152">F83*1.5</f>
        <v>1.5</v>
      </c>
      <c r="G136" s="65">
        <f t="shared" si="152"/>
        <v>3</v>
      </c>
      <c r="H136" s="65">
        <f t="shared" si="152"/>
        <v>4.5</v>
      </c>
      <c r="I136" s="65">
        <f t="shared" si="152"/>
        <v>6</v>
      </c>
      <c r="J136" s="65">
        <f t="shared" si="152"/>
        <v>9</v>
      </c>
      <c r="K136" s="65">
        <f t="shared" si="152"/>
        <v>12</v>
      </c>
      <c r="L136" s="65">
        <f t="shared" si="152"/>
        <v>15</v>
      </c>
      <c r="M136" s="65">
        <f t="shared" si="152"/>
        <v>18</v>
      </c>
      <c r="N136" s="65">
        <f t="shared" si="152"/>
        <v>24</v>
      </c>
      <c r="O136" s="65">
        <f t="shared" si="152"/>
        <v>30</v>
      </c>
      <c r="P136" s="65">
        <f t="shared" si="152"/>
        <v>45</v>
      </c>
      <c r="Q136" s="65">
        <f t="shared" si="152"/>
        <v>60</v>
      </c>
      <c r="R136" s="65">
        <f t="shared" si="152"/>
        <v>90</v>
      </c>
      <c r="S136" s="65">
        <f t="shared" si="152"/>
        <v>150</v>
      </c>
      <c r="T136" s="65">
        <f t="shared" si="152"/>
        <v>300</v>
      </c>
      <c r="U136" s="65">
        <f t="shared" si="152"/>
        <v>450</v>
      </c>
      <c r="V136" s="65">
        <f t="shared" si="152"/>
        <v>900</v>
      </c>
      <c r="W136" s="65">
        <f t="shared" si="152"/>
        <v>1500</v>
      </c>
      <c r="X136" s="65">
        <f t="shared" si="152"/>
        <v>2250</v>
      </c>
      <c r="Y136" s="65">
        <f t="shared" si="152"/>
        <v>3000</v>
      </c>
      <c r="Z136" s="70"/>
      <c r="AA136" s="70"/>
    </row>
    <row r="137" ht="16.5" customHeight="1">
      <c r="A137" s="48" t="str">
        <f t="shared" ref="A137:E137" si="153">A84</f>
        <v>UGX</v>
      </c>
      <c r="B137" s="48" t="str">
        <f t="shared" si="153"/>
        <v>USh</v>
      </c>
      <c r="C137" s="48" t="str">
        <f t="shared" si="153"/>
        <v>烏干達先令</v>
      </c>
      <c r="D137" s="48" t="str">
        <f t="shared" si="153"/>
        <v/>
      </c>
      <c r="E137" s="64">
        <f t="shared" si="153"/>
        <v>0.1</v>
      </c>
      <c r="F137" s="65">
        <f t="shared" ref="F137:Y137" si="154">F84*1.5</f>
        <v>150</v>
      </c>
      <c r="G137" s="65">
        <f t="shared" si="154"/>
        <v>225</v>
      </c>
      <c r="H137" s="65">
        <f t="shared" si="154"/>
        <v>300</v>
      </c>
      <c r="I137" s="65">
        <f t="shared" si="154"/>
        <v>450</v>
      </c>
      <c r="J137" s="65">
        <f t="shared" si="154"/>
        <v>600</v>
      </c>
      <c r="K137" s="65">
        <f t="shared" si="154"/>
        <v>750</v>
      </c>
      <c r="L137" s="65">
        <f t="shared" si="154"/>
        <v>900</v>
      </c>
      <c r="M137" s="65">
        <f t="shared" si="154"/>
        <v>1200</v>
      </c>
      <c r="N137" s="65">
        <f t="shared" si="154"/>
        <v>1500</v>
      </c>
      <c r="O137" s="65">
        <f t="shared" si="154"/>
        <v>2250</v>
      </c>
      <c r="P137" s="65">
        <f t="shared" si="154"/>
        <v>3000</v>
      </c>
      <c r="Q137" s="65">
        <f t="shared" si="154"/>
        <v>4500</v>
      </c>
      <c r="R137" s="65">
        <f t="shared" si="154"/>
        <v>7500</v>
      </c>
      <c r="S137" s="65">
        <f t="shared" si="154"/>
        <v>15000</v>
      </c>
      <c r="T137" s="65">
        <f t="shared" si="154"/>
        <v>22500</v>
      </c>
      <c r="U137" s="65">
        <f t="shared" si="154"/>
        <v>45000</v>
      </c>
      <c r="V137" s="65">
        <f t="shared" si="154"/>
        <v>75000</v>
      </c>
      <c r="W137" s="65">
        <f t="shared" si="154"/>
        <v>112500</v>
      </c>
      <c r="X137" s="65">
        <f t="shared" si="154"/>
        <v>150000</v>
      </c>
      <c r="Y137" s="65">
        <f t="shared" si="154"/>
        <v>225000</v>
      </c>
      <c r="Z137" s="70"/>
      <c r="AA137" s="70"/>
    </row>
    <row r="138" ht="16.5" customHeight="1">
      <c r="A138" s="48" t="str">
        <f t="shared" ref="A138:E138" si="155">A85</f>
        <v>EUR</v>
      </c>
      <c r="B138" s="48" t="str">
        <f t="shared" si="155"/>
        <v>€</v>
      </c>
      <c r="C138" s="48" t="str">
        <f t="shared" si="155"/>
        <v>歐元</v>
      </c>
      <c r="D138" s="48" t="str">
        <f t="shared" si="155"/>
        <v/>
      </c>
      <c r="E138" s="64">
        <f t="shared" si="155"/>
        <v>0.002</v>
      </c>
      <c r="F138" s="65">
        <f t="shared" ref="F138:Y138" si="156">F85*1.5</f>
        <v>0.3</v>
      </c>
      <c r="G138" s="65">
        <f t="shared" si="156"/>
        <v>0.6</v>
      </c>
      <c r="H138" s="65">
        <f t="shared" si="156"/>
        <v>1.5</v>
      </c>
      <c r="I138" s="65">
        <f t="shared" si="156"/>
        <v>3</v>
      </c>
      <c r="J138" s="65">
        <f t="shared" si="156"/>
        <v>3.6</v>
      </c>
      <c r="K138" s="65">
        <f t="shared" si="156"/>
        <v>4.5</v>
      </c>
      <c r="L138" s="65">
        <f t="shared" si="156"/>
        <v>6</v>
      </c>
      <c r="M138" s="65">
        <f t="shared" si="156"/>
        <v>7.5</v>
      </c>
      <c r="N138" s="65">
        <f t="shared" si="156"/>
        <v>9</v>
      </c>
      <c r="O138" s="65">
        <f t="shared" si="156"/>
        <v>10.5</v>
      </c>
      <c r="P138" s="65">
        <f t="shared" si="156"/>
        <v>12</v>
      </c>
      <c r="Q138" s="65">
        <f t="shared" si="156"/>
        <v>13.5</v>
      </c>
      <c r="R138" s="65">
        <f t="shared" si="156"/>
        <v>15</v>
      </c>
      <c r="S138" s="65">
        <f t="shared" si="156"/>
        <v>18</v>
      </c>
      <c r="T138" s="65">
        <f t="shared" si="156"/>
        <v>21</v>
      </c>
      <c r="U138" s="65">
        <f t="shared" si="156"/>
        <v>24</v>
      </c>
      <c r="V138" s="65">
        <f t="shared" si="156"/>
        <v>27</v>
      </c>
      <c r="W138" s="65">
        <f t="shared" si="156"/>
        <v>30</v>
      </c>
      <c r="X138" s="65">
        <f t="shared" si="156"/>
        <v>45</v>
      </c>
      <c r="Y138" s="65">
        <f t="shared" si="156"/>
        <v>60</v>
      </c>
      <c r="Z138" s="70"/>
      <c r="AA138" s="70"/>
    </row>
    <row r="139" ht="16.5" customHeight="1">
      <c r="A139" s="48" t="str">
        <f t="shared" ref="A139:E139" si="157">A86</f>
        <v>ARS</v>
      </c>
      <c r="B139" s="48" t="str">
        <f t="shared" si="157"/>
        <v>$</v>
      </c>
      <c r="C139" s="48" t="str">
        <f t="shared" si="157"/>
        <v>阿根廷披索</v>
      </c>
      <c r="D139" s="48" t="str">
        <f t="shared" si="157"/>
        <v/>
      </c>
      <c r="E139" s="64">
        <f t="shared" si="157"/>
        <v>0.02</v>
      </c>
      <c r="F139" s="65">
        <f t="shared" ref="F139:Y139" si="158">F86*1.5</f>
        <v>30</v>
      </c>
      <c r="G139" s="65">
        <f t="shared" si="158"/>
        <v>45</v>
      </c>
      <c r="H139" s="65">
        <f t="shared" si="158"/>
        <v>60</v>
      </c>
      <c r="I139" s="65">
        <f t="shared" si="158"/>
        <v>90</v>
      </c>
      <c r="J139" s="65">
        <f t="shared" si="158"/>
        <v>120</v>
      </c>
      <c r="K139" s="65">
        <f t="shared" si="158"/>
        <v>150</v>
      </c>
      <c r="L139" s="65">
        <f t="shared" si="158"/>
        <v>180</v>
      </c>
      <c r="M139" s="65">
        <f t="shared" si="158"/>
        <v>240</v>
      </c>
      <c r="N139" s="65">
        <f t="shared" si="158"/>
        <v>300</v>
      </c>
      <c r="O139" s="65">
        <f t="shared" si="158"/>
        <v>450</v>
      </c>
      <c r="P139" s="65">
        <f t="shared" si="158"/>
        <v>600</v>
      </c>
      <c r="Q139" s="65">
        <f t="shared" si="158"/>
        <v>900</v>
      </c>
      <c r="R139" s="65">
        <f t="shared" si="158"/>
        <v>1500</v>
      </c>
      <c r="S139" s="65">
        <f t="shared" si="158"/>
        <v>3000</v>
      </c>
      <c r="T139" s="65">
        <f t="shared" si="158"/>
        <v>4500</v>
      </c>
      <c r="U139" s="65">
        <f t="shared" si="158"/>
        <v>9000</v>
      </c>
      <c r="V139" s="65">
        <f t="shared" si="158"/>
        <v>15000</v>
      </c>
      <c r="W139" s="65">
        <f t="shared" si="158"/>
        <v>22500</v>
      </c>
      <c r="X139" s="65">
        <f t="shared" si="158"/>
        <v>30000</v>
      </c>
      <c r="Y139" s="65">
        <f t="shared" si="158"/>
        <v>45000</v>
      </c>
      <c r="Z139" s="70"/>
      <c r="AA139" s="70"/>
    </row>
    <row r="140" ht="16.5" customHeight="1">
      <c r="A140" s="48" t="str">
        <f t="shared" ref="A140:E140" si="159">A87</f>
        <v>NGN</v>
      </c>
      <c r="B140" s="48" t="str">
        <f t="shared" si="159"/>
        <v>₦</v>
      </c>
      <c r="C140" s="48" t="str">
        <f t="shared" si="159"/>
        <v>奈及利亞奈拉</v>
      </c>
      <c r="D140" s="48" t="str">
        <f t="shared" si="159"/>
        <v/>
      </c>
      <c r="E140" s="64">
        <f t="shared" si="159"/>
        <v>0.02</v>
      </c>
      <c r="F140" s="65">
        <f t="shared" ref="F140:Y140" si="160">F87*1.5</f>
        <v>15</v>
      </c>
      <c r="G140" s="65">
        <f t="shared" si="160"/>
        <v>30</v>
      </c>
      <c r="H140" s="65">
        <f t="shared" si="160"/>
        <v>45</v>
      </c>
      <c r="I140" s="65">
        <f t="shared" si="160"/>
        <v>60</v>
      </c>
      <c r="J140" s="65">
        <f t="shared" si="160"/>
        <v>90</v>
      </c>
      <c r="K140" s="65">
        <f t="shared" si="160"/>
        <v>120</v>
      </c>
      <c r="L140" s="65">
        <f t="shared" si="160"/>
        <v>180</v>
      </c>
      <c r="M140" s="65">
        <f t="shared" si="160"/>
        <v>240</v>
      </c>
      <c r="N140" s="65">
        <f t="shared" si="160"/>
        <v>300</v>
      </c>
      <c r="O140" s="65">
        <f t="shared" si="160"/>
        <v>450</v>
      </c>
      <c r="P140" s="65">
        <f t="shared" si="160"/>
        <v>600</v>
      </c>
      <c r="Q140" s="65">
        <f t="shared" si="160"/>
        <v>900</v>
      </c>
      <c r="R140" s="65">
        <f t="shared" si="160"/>
        <v>1500</v>
      </c>
      <c r="S140" s="65">
        <f t="shared" si="160"/>
        <v>3000</v>
      </c>
      <c r="T140" s="65">
        <f t="shared" si="160"/>
        <v>4500</v>
      </c>
      <c r="U140" s="65">
        <f t="shared" si="160"/>
        <v>9000</v>
      </c>
      <c r="V140" s="65">
        <f t="shared" si="160"/>
        <v>15000</v>
      </c>
      <c r="W140" s="65">
        <f t="shared" si="160"/>
        <v>22500</v>
      </c>
      <c r="X140" s="65">
        <f t="shared" si="160"/>
        <v>30000</v>
      </c>
      <c r="Y140" s="65">
        <f t="shared" si="160"/>
        <v>45000</v>
      </c>
      <c r="Z140" s="70"/>
      <c r="AA140" s="70"/>
    </row>
    <row r="141" ht="16.5" customHeight="1">
      <c r="A141" s="48" t="str">
        <f t="shared" ref="A141:E141" si="161">A88</f>
        <v>KES</v>
      </c>
      <c r="B141" s="48" t="str">
        <f t="shared" si="161"/>
        <v>KSh</v>
      </c>
      <c r="C141" s="48" t="str">
        <f t="shared" si="161"/>
        <v>肯亞先令</v>
      </c>
      <c r="D141" s="48" t="str">
        <f t="shared" si="161"/>
        <v/>
      </c>
      <c r="E141" s="64">
        <f t="shared" si="161"/>
        <v>0.002</v>
      </c>
      <c r="F141" s="65">
        <f t="shared" ref="F141:Y141" si="162">F88*1.5</f>
        <v>6</v>
      </c>
      <c r="G141" s="65">
        <f t="shared" si="162"/>
        <v>9</v>
      </c>
      <c r="H141" s="65">
        <f t="shared" si="162"/>
        <v>12</v>
      </c>
      <c r="I141" s="65">
        <f t="shared" si="162"/>
        <v>18</v>
      </c>
      <c r="J141" s="65">
        <f t="shared" si="162"/>
        <v>21</v>
      </c>
      <c r="K141" s="65">
        <f t="shared" si="162"/>
        <v>24</v>
      </c>
      <c r="L141" s="65">
        <f t="shared" si="162"/>
        <v>27</v>
      </c>
      <c r="M141" s="65">
        <f t="shared" si="162"/>
        <v>30</v>
      </c>
      <c r="N141" s="65">
        <f t="shared" si="162"/>
        <v>45</v>
      </c>
      <c r="O141" s="65">
        <f t="shared" si="162"/>
        <v>60</v>
      </c>
      <c r="P141" s="65">
        <f t="shared" si="162"/>
        <v>90</v>
      </c>
      <c r="Q141" s="65">
        <f t="shared" si="162"/>
        <v>150</v>
      </c>
      <c r="R141" s="65">
        <f t="shared" si="162"/>
        <v>300</v>
      </c>
      <c r="S141" s="65">
        <f t="shared" si="162"/>
        <v>450</v>
      </c>
      <c r="T141" s="65">
        <f t="shared" si="162"/>
        <v>900</v>
      </c>
      <c r="U141" s="65">
        <f t="shared" si="162"/>
        <v>1500</v>
      </c>
      <c r="V141" s="65">
        <f t="shared" si="162"/>
        <v>2250</v>
      </c>
      <c r="W141" s="65">
        <f t="shared" si="162"/>
        <v>3000</v>
      </c>
      <c r="X141" s="65">
        <f t="shared" si="162"/>
        <v>4500</v>
      </c>
      <c r="Y141" s="65">
        <f t="shared" si="162"/>
        <v>7500</v>
      </c>
      <c r="Z141" s="70"/>
      <c r="AA141" s="70"/>
    </row>
    <row r="142" ht="16.5" customHeight="1">
      <c r="A142" s="48" t="str">
        <f t="shared" ref="A142:E142" si="163">A89</f>
        <v>ZAR</v>
      </c>
      <c r="B142" s="48" t="str">
        <f t="shared" si="163"/>
        <v>R</v>
      </c>
      <c r="C142" s="48" t="str">
        <f t="shared" si="163"/>
        <v>南非鍰</v>
      </c>
      <c r="D142" s="48" t="str">
        <f t="shared" si="163"/>
        <v/>
      </c>
      <c r="E142" s="64">
        <f t="shared" si="163"/>
        <v>0.002</v>
      </c>
      <c r="F142" s="65">
        <f t="shared" ref="F142:Y142" si="164">F89*1.5</f>
        <v>0.6</v>
      </c>
      <c r="G142" s="65">
        <f t="shared" si="164"/>
        <v>1.5</v>
      </c>
      <c r="H142" s="65">
        <f t="shared" si="164"/>
        <v>3</v>
      </c>
      <c r="I142" s="65">
        <f t="shared" si="164"/>
        <v>3.6</v>
      </c>
      <c r="J142" s="65">
        <f t="shared" si="164"/>
        <v>4.5</v>
      </c>
      <c r="K142" s="65">
        <f t="shared" si="164"/>
        <v>6</v>
      </c>
      <c r="L142" s="65">
        <f t="shared" si="164"/>
        <v>7.5</v>
      </c>
      <c r="M142" s="65">
        <f t="shared" si="164"/>
        <v>9</v>
      </c>
      <c r="N142" s="65">
        <f t="shared" si="164"/>
        <v>12</v>
      </c>
      <c r="O142" s="65">
        <f t="shared" si="164"/>
        <v>15</v>
      </c>
      <c r="P142" s="65">
        <f t="shared" si="164"/>
        <v>18</v>
      </c>
      <c r="Q142" s="65">
        <f t="shared" si="164"/>
        <v>24</v>
      </c>
      <c r="R142" s="65">
        <f t="shared" si="164"/>
        <v>30</v>
      </c>
      <c r="S142" s="65">
        <f t="shared" si="164"/>
        <v>45</v>
      </c>
      <c r="T142" s="65">
        <f t="shared" si="164"/>
        <v>60</v>
      </c>
      <c r="U142" s="65">
        <f t="shared" si="164"/>
        <v>90</v>
      </c>
      <c r="V142" s="65">
        <f t="shared" si="164"/>
        <v>150</v>
      </c>
      <c r="W142" s="65">
        <f t="shared" si="164"/>
        <v>300</v>
      </c>
      <c r="X142" s="65">
        <f t="shared" si="164"/>
        <v>450</v>
      </c>
      <c r="Y142" s="65">
        <f t="shared" si="164"/>
        <v>900</v>
      </c>
      <c r="Z142" s="70"/>
      <c r="AA142" s="70"/>
    </row>
    <row r="143" ht="16.5" customHeight="1">
      <c r="A143" s="48" t="str">
        <f t="shared" ref="A143:E143" si="165">A90</f>
        <v>TRY</v>
      </c>
      <c r="B143" s="48" t="str">
        <f t="shared" si="165"/>
        <v>₺</v>
      </c>
      <c r="C143" s="48" t="str">
        <f t="shared" si="165"/>
        <v>土耳其里拉</v>
      </c>
      <c r="D143" s="48" t="str">
        <f t="shared" si="165"/>
        <v/>
      </c>
      <c r="E143" s="64">
        <f t="shared" si="165"/>
        <v>0.002</v>
      </c>
      <c r="F143" s="65">
        <f t="shared" ref="F143:Y143" si="166">F90*1.5</f>
        <v>1.5</v>
      </c>
      <c r="G143" s="65">
        <f t="shared" si="166"/>
        <v>3</v>
      </c>
      <c r="H143" s="65">
        <f t="shared" si="166"/>
        <v>3.6</v>
      </c>
      <c r="I143" s="65">
        <f t="shared" si="166"/>
        <v>4.5</v>
      </c>
      <c r="J143" s="65">
        <f t="shared" si="166"/>
        <v>6</v>
      </c>
      <c r="K143" s="65">
        <f t="shared" si="166"/>
        <v>7.5</v>
      </c>
      <c r="L143" s="65">
        <f t="shared" si="166"/>
        <v>9</v>
      </c>
      <c r="M143" s="65">
        <f t="shared" si="166"/>
        <v>12</v>
      </c>
      <c r="N143" s="65">
        <f t="shared" si="166"/>
        <v>15</v>
      </c>
      <c r="O143" s="65">
        <f t="shared" si="166"/>
        <v>18</v>
      </c>
      <c r="P143" s="65">
        <f t="shared" si="166"/>
        <v>24</v>
      </c>
      <c r="Q143" s="65">
        <f t="shared" si="166"/>
        <v>30</v>
      </c>
      <c r="R143" s="65">
        <f t="shared" si="166"/>
        <v>45</v>
      </c>
      <c r="S143" s="65">
        <f t="shared" si="166"/>
        <v>60</v>
      </c>
      <c r="T143" s="65">
        <f t="shared" si="166"/>
        <v>90</v>
      </c>
      <c r="U143" s="65">
        <f t="shared" si="166"/>
        <v>150</v>
      </c>
      <c r="V143" s="65">
        <f t="shared" si="166"/>
        <v>300</v>
      </c>
      <c r="W143" s="65">
        <f t="shared" si="166"/>
        <v>450</v>
      </c>
      <c r="X143" s="65">
        <f t="shared" si="166"/>
        <v>900</v>
      </c>
      <c r="Y143" s="65">
        <f t="shared" si="166"/>
        <v>1500</v>
      </c>
      <c r="Z143" s="70"/>
      <c r="AA143" s="70"/>
    </row>
    <row r="144" ht="16.5" customHeight="1">
      <c r="A144" s="48" t="str">
        <f t="shared" ref="A144:E144" si="167">A91</f>
        <v>GBP</v>
      </c>
      <c r="B144" s="48" t="str">
        <f t="shared" si="167"/>
        <v>£</v>
      </c>
      <c r="C144" s="48" t="str">
        <f t="shared" si="167"/>
        <v>英鎊</v>
      </c>
      <c r="D144" s="48" t="str">
        <f t="shared" si="167"/>
        <v/>
      </c>
      <c r="E144" s="64">
        <f t="shared" si="167"/>
        <v>0.002</v>
      </c>
      <c r="F144" s="65">
        <f t="shared" ref="F144:Y144" si="168">F91*1.5</f>
        <v>0.3</v>
      </c>
      <c r="G144" s="65">
        <f t="shared" si="168"/>
        <v>0.6</v>
      </c>
      <c r="H144" s="65">
        <f t="shared" si="168"/>
        <v>1.5</v>
      </c>
      <c r="I144" s="65">
        <f t="shared" si="168"/>
        <v>3</v>
      </c>
      <c r="J144" s="65">
        <f t="shared" si="168"/>
        <v>3.6</v>
      </c>
      <c r="K144" s="65">
        <f t="shared" si="168"/>
        <v>4.5</v>
      </c>
      <c r="L144" s="65">
        <f t="shared" si="168"/>
        <v>6</v>
      </c>
      <c r="M144" s="65">
        <f t="shared" si="168"/>
        <v>7.5</v>
      </c>
      <c r="N144" s="65">
        <f t="shared" si="168"/>
        <v>9</v>
      </c>
      <c r="O144" s="65">
        <f t="shared" si="168"/>
        <v>10.5</v>
      </c>
      <c r="P144" s="65">
        <f t="shared" si="168"/>
        <v>12</v>
      </c>
      <c r="Q144" s="65">
        <f t="shared" si="168"/>
        <v>13.5</v>
      </c>
      <c r="R144" s="65">
        <f t="shared" si="168"/>
        <v>15</v>
      </c>
      <c r="S144" s="65">
        <f t="shared" si="168"/>
        <v>18</v>
      </c>
      <c r="T144" s="65">
        <f t="shared" si="168"/>
        <v>21</v>
      </c>
      <c r="U144" s="65">
        <f t="shared" si="168"/>
        <v>24</v>
      </c>
      <c r="V144" s="65">
        <f t="shared" si="168"/>
        <v>27</v>
      </c>
      <c r="W144" s="65">
        <f t="shared" si="168"/>
        <v>30</v>
      </c>
      <c r="X144" s="65">
        <f t="shared" si="168"/>
        <v>45</v>
      </c>
      <c r="Y144" s="65">
        <f t="shared" si="168"/>
        <v>60</v>
      </c>
      <c r="Z144" s="70"/>
      <c r="AA144" s="70"/>
    </row>
    <row r="145" ht="16.5" customHeight="1">
      <c r="A145" s="48" t="str">
        <f t="shared" ref="A145:E145" si="169">A92</f>
        <v>NPR</v>
      </c>
      <c r="B145" s="48" t="str">
        <f t="shared" si="169"/>
        <v>रू</v>
      </c>
      <c r="C145" s="48" t="str">
        <f t="shared" si="169"/>
        <v>尼泊爾盧比</v>
      </c>
      <c r="D145" s="48" t="str">
        <f t="shared" si="169"/>
        <v/>
      </c>
      <c r="E145" s="64">
        <f t="shared" si="169"/>
        <v>0.002</v>
      </c>
      <c r="F145" s="65">
        <f t="shared" ref="F145:Y145" si="170">F92*1.5</f>
        <v>6</v>
      </c>
      <c r="G145" s="65">
        <f t="shared" si="170"/>
        <v>9</v>
      </c>
      <c r="H145" s="65">
        <f t="shared" si="170"/>
        <v>12</v>
      </c>
      <c r="I145" s="65">
        <f t="shared" si="170"/>
        <v>18</v>
      </c>
      <c r="J145" s="65">
        <f t="shared" si="170"/>
        <v>21</v>
      </c>
      <c r="K145" s="65">
        <f t="shared" si="170"/>
        <v>24</v>
      </c>
      <c r="L145" s="65">
        <f t="shared" si="170"/>
        <v>27</v>
      </c>
      <c r="M145" s="65">
        <f t="shared" si="170"/>
        <v>30</v>
      </c>
      <c r="N145" s="65">
        <f t="shared" si="170"/>
        <v>45</v>
      </c>
      <c r="O145" s="65">
        <f t="shared" si="170"/>
        <v>60</v>
      </c>
      <c r="P145" s="65">
        <f t="shared" si="170"/>
        <v>90</v>
      </c>
      <c r="Q145" s="65">
        <f t="shared" si="170"/>
        <v>150</v>
      </c>
      <c r="R145" s="65">
        <f t="shared" si="170"/>
        <v>300</v>
      </c>
      <c r="S145" s="65">
        <f t="shared" si="170"/>
        <v>450</v>
      </c>
      <c r="T145" s="65">
        <f t="shared" si="170"/>
        <v>900</v>
      </c>
      <c r="U145" s="65">
        <f t="shared" si="170"/>
        <v>1500</v>
      </c>
      <c r="V145" s="65">
        <f t="shared" si="170"/>
        <v>2250</v>
      </c>
      <c r="W145" s="65">
        <f t="shared" si="170"/>
        <v>3000</v>
      </c>
      <c r="X145" s="65">
        <f t="shared" si="170"/>
        <v>4500</v>
      </c>
      <c r="Y145" s="65">
        <f t="shared" si="170"/>
        <v>7500</v>
      </c>
    </row>
    <row r="146" ht="16.5" customHeight="1">
      <c r="A146" s="48" t="str">
        <f t="shared" ref="A146:E146" si="171">A93</f>
        <v>CHF</v>
      </c>
      <c r="B146" s="48" t="str">
        <f t="shared" si="171"/>
        <v>CHF</v>
      </c>
      <c r="C146" s="48" t="str">
        <f t="shared" si="171"/>
        <v>瑞士法郎</v>
      </c>
      <c r="D146" s="48" t="str">
        <f t="shared" si="171"/>
        <v/>
      </c>
      <c r="E146" s="64">
        <f t="shared" si="171"/>
        <v>0.002</v>
      </c>
      <c r="F146" s="65">
        <f t="shared" ref="F146:Y146" si="172">F93*1.5</f>
        <v>0.3</v>
      </c>
      <c r="G146" s="65">
        <f t="shared" si="172"/>
        <v>0.6</v>
      </c>
      <c r="H146" s="65">
        <f t="shared" si="172"/>
        <v>1.5</v>
      </c>
      <c r="I146" s="65">
        <f t="shared" si="172"/>
        <v>3</v>
      </c>
      <c r="J146" s="65">
        <f t="shared" si="172"/>
        <v>3.6</v>
      </c>
      <c r="K146" s="65">
        <f t="shared" si="172"/>
        <v>4.5</v>
      </c>
      <c r="L146" s="65">
        <f t="shared" si="172"/>
        <v>6</v>
      </c>
      <c r="M146" s="65">
        <f t="shared" si="172"/>
        <v>7.5</v>
      </c>
      <c r="N146" s="65">
        <f t="shared" si="172"/>
        <v>9</v>
      </c>
      <c r="O146" s="65">
        <f t="shared" si="172"/>
        <v>10.5</v>
      </c>
      <c r="P146" s="65">
        <f t="shared" si="172"/>
        <v>12</v>
      </c>
      <c r="Q146" s="65">
        <f t="shared" si="172"/>
        <v>13.5</v>
      </c>
      <c r="R146" s="65">
        <f t="shared" si="172"/>
        <v>15</v>
      </c>
      <c r="S146" s="65">
        <f t="shared" si="172"/>
        <v>18</v>
      </c>
      <c r="T146" s="65">
        <f t="shared" si="172"/>
        <v>21</v>
      </c>
      <c r="U146" s="65">
        <f t="shared" si="172"/>
        <v>24</v>
      </c>
      <c r="V146" s="65">
        <f t="shared" si="172"/>
        <v>27</v>
      </c>
      <c r="W146" s="65">
        <f t="shared" si="172"/>
        <v>30</v>
      </c>
      <c r="X146" s="65">
        <f t="shared" si="172"/>
        <v>45</v>
      </c>
      <c r="Y146" s="65">
        <f t="shared" si="172"/>
        <v>60</v>
      </c>
    </row>
    <row r="147" ht="16.5" customHeight="1">
      <c r="A147" s="48" t="str">
        <f t="shared" ref="A147:E147" si="173">A94</f>
        <v>CAD</v>
      </c>
      <c r="B147" s="48" t="str">
        <f t="shared" si="173"/>
        <v>$</v>
      </c>
      <c r="C147" s="48" t="str">
        <f t="shared" si="173"/>
        <v>加幣</v>
      </c>
      <c r="D147" s="48" t="str">
        <f t="shared" si="173"/>
        <v/>
      </c>
      <c r="E147" s="64">
        <f t="shared" si="173"/>
        <v>0.002</v>
      </c>
      <c r="F147" s="65">
        <f t="shared" ref="F147:Y147" si="174">F94*1.5</f>
        <v>0.3</v>
      </c>
      <c r="G147" s="65">
        <f t="shared" si="174"/>
        <v>0.6</v>
      </c>
      <c r="H147" s="65">
        <f t="shared" si="174"/>
        <v>1.5</v>
      </c>
      <c r="I147" s="65">
        <f t="shared" si="174"/>
        <v>3</v>
      </c>
      <c r="J147" s="65">
        <f t="shared" si="174"/>
        <v>3.6</v>
      </c>
      <c r="K147" s="65">
        <f t="shared" si="174"/>
        <v>4.5</v>
      </c>
      <c r="L147" s="65">
        <f t="shared" si="174"/>
        <v>6</v>
      </c>
      <c r="M147" s="65">
        <f t="shared" si="174"/>
        <v>7.5</v>
      </c>
      <c r="N147" s="65">
        <f t="shared" si="174"/>
        <v>9</v>
      </c>
      <c r="O147" s="65">
        <f t="shared" si="174"/>
        <v>10.5</v>
      </c>
      <c r="P147" s="65">
        <f t="shared" si="174"/>
        <v>12</v>
      </c>
      <c r="Q147" s="65">
        <f t="shared" si="174"/>
        <v>13.5</v>
      </c>
      <c r="R147" s="65">
        <f t="shared" si="174"/>
        <v>15</v>
      </c>
      <c r="S147" s="65">
        <f t="shared" si="174"/>
        <v>18</v>
      </c>
      <c r="T147" s="65">
        <f t="shared" si="174"/>
        <v>21</v>
      </c>
      <c r="U147" s="65">
        <f t="shared" si="174"/>
        <v>24</v>
      </c>
      <c r="V147" s="65">
        <f t="shared" si="174"/>
        <v>27</v>
      </c>
      <c r="W147" s="65">
        <f t="shared" si="174"/>
        <v>30</v>
      </c>
      <c r="X147" s="65">
        <f t="shared" si="174"/>
        <v>45</v>
      </c>
      <c r="Y147" s="65">
        <f t="shared" si="174"/>
        <v>60</v>
      </c>
    </row>
    <row r="148" ht="16.5" customHeight="1">
      <c r="A148" s="48" t="str">
        <f t="shared" ref="A148:E148" si="175">A95</f>
        <v>PEN</v>
      </c>
      <c r="B148" s="48" t="str">
        <f t="shared" si="175"/>
        <v>PEN</v>
      </c>
      <c r="C148" s="48" t="str">
        <f t="shared" si="175"/>
        <v>秘魯新索爾</v>
      </c>
      <c r="D148" s="48" t="str">
        <f t="shared" si="175"/>
        <v/>
      </c>
      <c r="E148" s="64">
        <f t="shared" si="175"/>
        <v>0.002</v>
      </c>
      <c r="F148" s="65">
        <f t="shared" ref="F148:Y148" si="176">F95*1.5</f>
        <v>0.3</v>
      </c>
      <c r="G148" s="65">
        <f t="shared" si="176"/>
        <v>0.6</v>
      </c>
      <c r="H148" s="65">
        <f t="shared" si="176"/>
        <v>1.5</v>
      </c>
      <c r="I148" s="65">
        <f t="shared" si="176"/>
        <v>3</v>
      </c>
      <c r="J148" s="65">
        <f t="shared" si="176"/>
        <v>3.6</v>
      </c>
      <c r="K148" s="65">
        <f t="shared" si="176"/>
        <v>4.5</v>
      </c>
      <c r="L148" s="65">
        <f t="shared" si="176"/>
        <v>6</v>
      </c>
      <c r="M148" s="65">
        <f t="shared" si="176"/>
        <v>7.5</v>
      </c>
      <c r="N148" s="65">
        <f t="shared" si="176"/>
        <v>9</v>
      </c>
      <c r="O148" s="65">
        <f t="shared" si="176"/>
        <v>10.5</v>
      </c>
      <c r="P148" s="65">
        <f t="shared" si="176"/>
        <v>12</v>
      </c>
      <c r="Q148" s="65">
        <f t="shared" si="176"/>
        <v>15</v>
      </c>
      <c r="R148" s="65">
        <f t="shared" si="176"/>
        <v>18</v>
      </c>
      <c r="S148" s="65">
        <f t="shared" si="176"/>
        <v>24</v>
      </c>
      <c r="T148" s="65">
        <f t="shared" si="176"/>
        <v>27</v>
      </c>
      <c r="U148" s="65">
        <f t="shared" si="176"/>
        <v>30</v>
      </c>
      <c r="V148" s="65">
        <f t="shared" si="176"/>
        <v>45</v>
      </c>
      <c r="W148" s="65">
        <f t="shared" si="176"/>
        <v>60</v>
      </c>
      <c r="X148" s="65">
        <f t="shared" si="176"/>
        <v>90</v>
      </c>
      <c r="Y148" s="65">
        <f t="shared" si="176"/>
        <v>150</v>
      </c>
    </row>
    <row r="149" ht="16.5" customHeight="1">
      <c r="A149" s="48" t="str">
        <f t="shared" ref="A149:E149" si="177">A96</f>
        <v>AED</v>
      </c>
      <c r="B149" s="48" t="str">
        <f t="shared" si="177"/>
        <v>AED</v>
      </c>
      <c r="C149" s="48" t="str">
        <f t="shared" si="177"/>
        <v>阿聯迪拉姆</v>
      </c>
      <c r="D149" s="48" t="str">
        <f t="shared" si="177"/>
        <v/>
      </c>
      <c r="E149" s="64">
        <f t="shared" si="177"/>
        <v>0.002</v>
      </c>
      <c r="F149" s="65">
        <f t="shared" ref="F149:Y149" si="178">F96*1.5</f>
        <v>0.3</v>
      </c>
      <c r="G149" s="65">
        <f t="shared" si="178"/>
        <v>0.6</v>
      </c>
      <c r="H149" s="65">
        <f t="shared" si="178"/>
        <v>1.5</v>
      </c>
      <c r="I149" s="65">
        <f t="shared" si="178"/>
        <v>3</v>
      </c>
      <c r="J149" s="65">
        <f t="shared" si="178"/>
        <v>3.6</v>
      </c>
      <c r="K149" s="65">
        <f t="shared" si="178"/>
        <v>4.5</v>
      </c>
      <c r="L149" s="65">
        <f t="shared" si="178"/>
        <v>6</v>
      </c>
      <c r="M149" s="65">
        <f t="shared" si="178"/>
        <v>7.5</v>
      </c>
      <c r="N149" s="65">
        <f t="shared" si="178"/>
        <v>9</v>
      </c>
      <c r="O149" s="65">
        <f t="shared" si="178"/>
        <v>10.5</v>
      </c>
      <c r="P149" s="65">
        <f t="shared" si="178"/>
        <v>12</v>
      </c>
      <c r="Q149" s="65">
        <f t="shared" si="178"/>
        <v>15</v>
      </c>
      <c r="R149" s="65">
        <f t="shared" si="178"/>
        <v>18</v>
      </c>
      <c r="S149" s="65">
        <f t="shared" si="178"/>
        <v>24</v>
      </c>
      <c r="T149" s="65">
        <f t="shared" si="178"/>
        <v>27</v>
      </c>
      <c r="U149" s="65">
        <f t="shared" si="178"/>
        <v>30</v>
      </c>
      <c r="V149" s="65">
        <f t="shared" si="178"/>
        <v>45</v>
      </c>
      <c r="W149" s="65">
        <f t="shared" si="178"/>
        <v>60</v>
      </c>
      <c r="X149" s="65">
        <f t="shared" si="178"/>
        <v>90</v>
      </c>
      <c r="Y149" s="65">
        <f t="shared" si="178"/>
        <v>150</v>
      </c>
    </row>
    <row r="150" ht="16.5" customHeight="1">
      <c r="A150" s="48" t="str">
        <f t="shared" ref="A150:E150" si="179">A97</f>
        <v>BND</v>
      </c>
      <c r="B150" s="48" t="str">
        <f t="shared" si="179"/>
        <v>B$</v>
      </c>
      <c r="C150" s="48" t="str">
        <f t="shared" si="179"/>
        <v>汶萊幣</v>
      </c>
      <c r="D150" s="48" t="str">
        <f t="shared" si="179"/>
        <v/>
      </c>
      <c r="E150" s="64">
        <f t="shared" si="179"/>
        <v>0.002</v>
      </c>
      <c r="F150" s="65">
        <f t="shared" ref="F150:Y150" si="180">F97*1.5</f>
        <v>0.3</v>
      </c>
      <c r="G150" s="65">
        <f t="shared" si="180"/>
        <v>0.6</v>
      </c>
      <c r="H150" s="65">
        <f t="shared" si="180"/>
        <v>1.5</v>
      </c>
      <c r="I150" s="65">
        <f t="shared" si="180"/>
        <v>3</v>
      </c>
      <c r="J150" s="65">
        <f t="shared" si="180"/>
        <v>3.6</v>
      </c>
      <c r="K150" s="65">
        <f t="shared" si="180"/>
        <v>4.5</v>
      </c>
      <c r="L150" s="65">
        <f t="shared" si="180"/>
        <v>6</v>
      </c>
      <c r="M150" s="65">
        <f t="shared" si="180"/>
        <v>7.5</v>
      </c>
      <c r="N150" s="65">
        <f t="shared" si="180"/>
        <v>9</v>
      </c>
      <c r="O150" s="65">
        <f t="shared" si="180"/>
        <v>10.5</v>
      </c>
      <c r="P150" s="65">
        <f t="shared" si="180"/>
        <v>12</v>
      </c>
      <c r="Q150" s="65">
        <f t="shared" si="180"/>
        <v>13.5</v>
      </c>
      <c r="R150" s="65">
        <f t="shared" si="180"/>
        <v>15</v>
      </c>
      <c r="S150" s="65">
        <f t="shared" si="180"/>
        <v>18</v>
      </c>
      <c r="T150" s="65">
        <f t="shared" si="180"/>
        <v>21</v>
      </c>
      <c r="U150" s="65">
        <f t="shared" si="180"/>
        <v>24</v>
      </c>
      <c r="V150" s="65">
        <f t="shared" si="180"/>
        <v>30</v>
      </c>
      <c r="W150" s="65">
        <f t="shared" si="180"/>
        <v>45</v>
      </c>
      <c r="X150" s="65">
        <f t="shared" si="180"/>
        <v>60</v>
      </c>
      <c r="Y150" s="65">
        <f t="shared" si="180"/>
        <v>90</v>
      </c>
    </row>
    <row r="151" ht="16.5" customHeight="1">
      <c r="A151" s="48" t="str">
        <f t="shared" ref="A151:E151" si="181">A98</f>
        <v>COP</v>
      </c>
      <c r="B151" s="48" t="str">
        <f t="shared" si="181"/>
        <v>$</v>
      </c>
      <c r="C151" s="48" t="str">
        <f t="shared" si="181"/>
        <v>哥倫比亞披索</v>
      </c>
      <c r="D151" s="48" t="str">
        <f t="shared" si="181"/>
        <v/>
      </c>
      <c r="E151" s="64">
        <f t="shared" si="181"/>
        <v>0.1</v>
      </c>
      <c r="F151" s="65">
        <f t="shared" ref="F151:Y151" si="182">F98*1.5</f>
        <v>150</v>
      </c>
      <c r="G151" s="65">
        <f t="shared" si="182"/>
        <v>225</v>
      </c>
      <c r="H151" s="65">
        <f t="shared" si="182"/>
        <v>300</v>
      </c>
      <c r="I151" s="65">
        <f t="shared" si="182"/>
        <v>450</v>
      </c>
      <c r="J151" s="65">
        <f t="shared" si="182"/>
        <v>600</v>
      </c>
      <c r="K151" s="65">
        <f t="shared" si="182"/>
        <v>750</v>
      </c>
      <c r="L151" s="65">
        <f t="shared" si="182"/>
        <v>900</v>
      </c>
      <c r="M151" s="65">
        <f t="shared" si="182"/>
        <v>1200</v>
      </c>
      <c r="N151" s="65">
        <f t="shared" si="182"/>
        <v>1500</v>
      </c>
      <c r="O151" s="65">
        <f t="shared" si="182"/>
        <v>2250</v>
      </c>
      <c r="P151" s="65">
        <f t="shared" si="182"/>
        <v>3000</v>
      </c>
      <c r="Q151" s="65">
        <f t="shared" si="182"/>
        <v>4500</v>
      </c>
      <c r="R151" s="65">
        <f t="shared" si="182"/>
        <v>7500</v>
      </c>
      <c r="S151" s="65">
        <f t="shared" si="182"/>
        <v>15000</v>
      </c>
      <c r="T151" s="65">
        <f t="shared" si="182"/>
        <v>22500</v>
      </c>
      <c r="U151" s="65">
        <f t="shared" si="182"/>
        <v>45000</v>
      </c>
      <c r="V151" s="65">
        <f t="shared" si="182"/>
        <v>75000</v>
      </c>
      <c r="W151" s="65">
        <f t="shared" si="182"/>
        <v>112500</v>
      </c>
      <c r="X151" s="65">
        <f t="shared" si="182"/>
        <v>150000</v>
      </c>
      <c r="Y151" s="65">
        <f t="shared" si="182"/>
        <v>225000</v>
      </c>
    </row>
    <row r="152" ht="16.5" customHeight="1">
      <c r="A152" s="48" t="str">
        <f t="shared" ref="A152:E152" si="183">A99</f>
        <v>VNDO</v>
      </c>
      <c r="B152" s="48" t="str">
        <f t="shared" si="183"/>
        <v>₫</v>
      </c>
      <c r="C152" s="48" t="str">
        <f t="shared" si="183"/>
        <v>越南盾</v>
      </c>
      <c r="D152" s="48" t="str">
        <f t="shared" si="183"/>
        <v/>
      </c>
      <c r="E152" s="64">
        <f t="shared" si="183"/>
        <v>0.5</v>
      </c>
      <c r="F152" s="65">
        <f t="shared" ref="F152:Y152" si="184">F99*1.5</f>
        <v>750</v>
      </c>
      <c r="G152" s="65">
        <f t="shared" si="184"/>
        <v>1125</v>
      </c>
      <c r="H152" s="65">
        <f t="shared" si="184"/>
        <v>1500</v>
      </c>
      <c r="I152" s="65">
        <f t="shared" si="184"/>
        <v>2250</v>
      </c>
      <c r="J152" s="65">
        <f t="shared" si="184"/>
        <v>3000</v>
      </c>
      <c r="K152" s="65">
        <f t="shared" si="184"/>
        <v>3750</v>
      </c>
      <c r="L152" s="65">
        <f t="shared" si="184"/>
        <v>4500</v>
      </c>
      <c r="M152" s="65">
        <f t="shared" si="184"/>
        <v>6000</v>
      </c>
      <c r="N152" s="65">
        <f t="shared" si="184"/>
        <v>7500</v>
      </c>
      <c r="O152" s="65">
        <f t="shared" si="184"/>
        <v>11250</v>
      </c>
      <c r="P152" s="65">
        <f t="shared" si="184"/>
        <v>15000</v>
      </c>
      <c r="Q152" s="65">
        <f t="shared" si="184"/>
        <v>22500</v>
      </c>
      <c r="R152" s="65">
        <f t="shared" si="184"/>
        <v>37500</v>
      </c>
      <c r="S152" s="65">
        <f t="shared" si="184"/>
        <v>75000</v>
      </c>
      <c r="T152" s="65">
        <f t="shared" si="184"/>
        <v>112500</v>
      </c>
      <c r="U152" s="65">
        <f t="shared" si="184"/>
        <v>225000</v>
      </c>
      <c r="V152" s="65">
        <f t="shared" si="184"/>
        <v>375000</v>
      </c>
      <c r="W152" s="65">
        <f t="shared" si="184"/>
        <v>562500</v>
      </c>
      <c r="X152" s="65">
        <f t="shared" si="184"/>
        <v>750000</v>
      </c>
      <c r="Y152" s="65">
        <f t="shared" si="184"/>
        <v>1125000</v>
      </c>
    </row>
    <row r="153" ht="16.5" customHeight="1">
      <c r="A153" s="48" t="str">
        <f t="shared" ref="A153:E153" si="185">A100</f>
        <v>MYRC</v>
      </c>
      <c r="B153" s="48" t="str">
        <f t="shared" si="185"/>
        <v>RM</v>
      </c>
      <c r="C153" s="48" t="str">
        <f t="shared" si="185"/>
        <v>馬來西亞令吉</v>
      </c>
      <c r="D153" s="48">
        <f t="shared" si="185"/>
        <v>0.01</v>
      </c>
      <c r="E153" s="64">
        <f t="shared" si="185"/>
        <v>0.01</v>
      </c>
      <c r="F153" s="65">
        <f t="shared" ref="F153:Y153" si="186">F100*1.5</f>
        <v>15</v>
      </c>
      <c r="G153" s="65">
        <f t="shared" si="186"/>
        <v>22.5</v>
      </c>
      <c r="H153" s="65">
        <f t="shared" si="186"/>
        <v>30</v>
      </c>
      <c r="I153" s="65">
        <f t="shared" si="186"/>
        <v>45</v>
      </c>
      <c r="J153" s="65">
        <f t="shared" si="186"/>
        <v>60</v>
      </c>
      <c r="K153" s="65">
        <f t="shared" si="186"/>
        <v>75</v>
      </c>
      <c r="L153" s="65">
        <f t="shared" si="186"/>
        <v>90</v>
      </c>
      <c r="M153" s="65">
        <f t="shared" si="186"/>
        <v>120</v>
      </c>
      <c r="N153" s="65">
        <f t="shared" si="186"/>
        <v>150</v>
      </c>
      <c r="O153" s="65">
        <f t="shared" si="186"/>
        <v>225</v>
      </c>
      <c r="P153" s="65">
        <f t="shared" si="186"/>
        <v>300</v>
      </c>
      <c r="Q153" s="65">
        <f t="shared" si="186"/>
        <v>450</v>
      </c>
      <c r="R153" s="65">
        <f t="shared" si="186"/>
        <v>750</v>
      </c>
      <c r="S153" s="65">
        <f t="shared" si="186"/>
        <v>1500</v>
      </c>
      <c r="T153" s="65">
        <f t="shared" si="186"/>
        <v>2250</v>
      </c>
      <c r="U153" s="65">
        <f t="shared" si="186"/>
        <v>4500</v>
      </c>
      <c r="V153" s="65">
        <f t="shared" si="186"/>
        <v>7500</v>
      </c>
      <c r="W153" s="65">
        <f t="shared" si="186"/>
        <v>11250</v>
      </c>
      <c r="X153" s="65">
        <f t="shared" si="186"/>
        <v>15000</v>
      </c>
      <c r="Y153" s="65">
        <f t="shared" si="186"/>
        <v>22500</v>
      </c>
    </row>
    <row r="154" ht="16.5" customHeight="1">
      <c r="A154" s="48" t="str">
        <f t="shared" ref="A154:E154" si="187">A101</f>
        <v>XSD</v>
      </c>
      <c r="B154" s="48" t="str">
        <f t="shared" si="187"/>
        <v/>
      </c>
      <c r="C154" s="48" t="str">
        <f t="shared" si="187"/>
        <v>星幣</v>
      </c>
      <c r="D154" s="48" t="str">
        <f t="shared" si="187"/>
        <v/>
      </c>
      <c r="E154" s="64">
        <f t="shared" si="187"/>
        <v>1</v>
      </c>
      <c r="F154" s="65">
        <f t="shared" ref="F154:Y154" si="188">F101*1.5</f>
        <v>150</v>
      </c>
      <c r="G154" s="65">
        <f t="shared" si="188"/>
        <v>300</v>
      </c>
      <c r="H154" s="65">
        <f t="shared" si="188"/>
        <v>750</v>
      </c>
      <c r="I154" s="65">
        <f t="shared" si="188"/>
        <v>1500</v>
      </c>
      <c r="J154" s="65">
        <f t="shared" si="188"/>
        <v>1800</v>
      </c>
      <c r="K154" s="65">
        <f t="shared" si="188"/>
        <v>2250</v>
      </c>
      <c r="L154" s="65">
        <f t="shared" si="188"/>
        <v>3000</v>
      </c>
      <c r="M154" s="65">
        <f t="shared" si="188"/>
        <v>3750</v>
      </c>
      <c r="N154" s="65">
        <f t="shared" si="188"/>
        <v>4500</v>
      </c>
      <c r="O154" s="65">
        <f t="shared" si="188"/>
        <v>5250</v>
      </c>
      <c r="P154" s="65">
        <f t="shared" si="188"/>
        <v>6000</v>
      </c>
      <c r="Q154" s="65">
        <f t="shared" si="188"/>
        <v>7500</v>
      </c>
      <c r="R154" s="65">
        <f t="shared" si="188"/>
        <v>9000</v>
      </c>
      <c r="S154" s="65">
        <f t="shared" si="188"/>
        <v>12000</v>
      </c>
      <c r="T154" s="65">
        <f t="shared" si="188"/>
        <v>13500</v>
      </c>
      <c r="U154" s="65">
        <f t="shared" si="188"/>
        <v>15000</v>
      </c>
      <c r="V154" s="65">
        <f t="shared" si="188"/>
        <v>22500</v>
      </c>
      <c r="W154" s="65">
        <f t="shared" si="188"/>
        <v>30000</v>
      </c>
      <c r="X154" s="65">
        <f t="shared" si="188"/>
        <v>45000</v>
      </c>
      <c r="Y154" s="65">
        <f t="shared" si="188"/>
        <v>75000</v>
      </c>
    </row>
    <row r="155" ht="16.5" customHeight="1">
      <c r="A155" s="48" t="str">
        <f t="shared" ref="A155:E155" si="189">A102</f>
        <v>DZD</v>
      </c>
      <c r="B155" s="48" t="str">
        <f t="shared" si="189"/>
        <v>دج</v>
      </c>
      <c r="C155" s="48" t="str">
        <f t="shared" si="189"/>
        <v>阿爾及利亞第納爾</v>
      </c>
      <c r="D155" s="48" t="str">
        <f t="shared" si="189"/>
        <v/>
      </c>
      <c r="E155" s="64">
        <f t="shared" si="189"/>
        <v>0.002</v>
      </c>
      <c r="F155" s="65">
        <f t="shared" ref="F155:Y155" si="190">F102*1.5</f>
        <v>6</v>
      </c>
      <c r="G155" s="65">
        <f t="shared" si="190"/>
        <v>9</v>
      </c>
      <c r="H155" s="65">
        <f t="shared" si="190"/>
        <v>12</v>
      </c>
      <c r="I155" s="65">
        <f t="shared" si="190"/>
        <v>18</v>
      </c>
      <c r="J155" s="65">
        <f t="shared" si="190"/>
        <v>21</v>
      </c>
      <c r="K155" s="65">
        <f t="shared" si="190"/>
        <v>24</v>
      </c>
      <c r="L155" s="65">
        <f t="shared" si="190"/>
        <v>27</v>
      </c>
      <c r="M155" s="65">
        <f t="shared" si="190"/>
        <v>30</v>
      </c>
      <c r="N155" s="65">
        <f t="shared" si="190"/>
        <v>45</v>
      </c>
      <c r="O155" s="65">
        <f t="shared" si="190"/>
        <v>60</v>
      </c>
      <c r="P155" s="65">
        <f t="shared" si="190"/>
        <v>90</v>
      </c>
      <c r="Q155" s="65">
        <f t="shared" si="190"/>
        <v>150</v>
      </c>
      <c r="R155" s="65">
        <f t="shared" si="190"/>
        <v>300</v>
      </c>
      <c r="S155" s="65">
        <f t="shared" si="190"/>
        <v>450</v>
      </c>
      <c r="T155" s="65">
        <f t="shared" si="190"/>
        <v>900</v>
      </c>
      <c r="U155" s="65">
        <f t="shared" si="190"/>
        <v>1500</v>
      </c>
      <c r="V155" s="65">
        <f t="shared" si="190"/>
        <v>2250</v>
      </c>
      <c r="W155" s="65">
        <f t="shared" si="190"/>
        <v>3000</v>
      </c>
      <c r="X155" s="65">
        <f t="shared" si="190"/>
        <v>4500</v>
      </c>
      <c r="Y155" s="65">
        <f t="shared" si="190"/>
        <v>7500</v>
      </c>
    </row>
    <row r="156" ht="16.5" customHeight="1">
      <c r="A156" s="48" t="str">
        <f t="shared" ref="A156:E156" si="191">A103</f>
        <v>MAD</v>
      </c>
      <c r="B156" s="48" t="str">
        <f t="shared" si="191"/>
        <v>DH</v>
      </c>
      <c r="C156" s="48" t="str">
        <f t="shared" si="191"/>
        <v>摩洛哥迪拉姆</v>
      </c>
      <c r="D156" s="48" t="str">
        <f t="shared" si="191"/>
        <v/>
      </c>
      <c r="E156" s="64">
        <f t="shared" si="191"/>
        <v>0.002</v>
      </c>
      <c r="F156" s="65">
        <f t="shared" ref="F156:Y156" si="192">F103*1.5</f>
        <v>0.3</v>
      </c>
      <c r="G156" s="65">
        <f t="shared" si="192"/>
        <v>0.6</v>
      </c>
      <c r="H156" s="65">
        <f t="shared" si="192"/>
        <v>1.5</v>
      </c>
      <c r="I156" s="65">
        <f t="shared" si="192"/>
        <v>3</v>
      </c>
      <c r="J156" s="65">
        <f t="shared" si="192"/>
        <v>3.6</v>
      </c>
      <c r="K156" s="65">
        <f t="shared" si="192"/>
        <v>4.5</v>
      </c>
      <c r="L156" s="65">
        <f t="shared" si="192"/>
        <v>6</v>
      </c>
      <c r="M156" s="65">
        <f t="shared" si="192"/>
        <v>7.5</v>
      </c>
      <c r="N156" s="65">
        <f t="shared" si="192"/>
        <v>9</v>
      </c>
      <c r="O156" s="65">
        <f t="shared" si="192"/>
        <v>12</v>
      </c>
      <c r="P156" s="65">
        <f t="shared" si="192"/>
        <v>15</v>
      </c>
      <c r="Q156" s="65">
        <f t="shared" si="192"/>
        <v>18</v>
      </c>
      <c r="R156" s="65">
        <f t="shared" si="192"/>
        <v>24</v>
      </c>
      <c r="S156" s="65">
        <f t="shared" si="192"/>
        <v>30</v>
      </c>
      <c r="T156" s="65">
        <f t="shared" si="192"/>
        <v>45</v>
      </c>
      <c r="U156" s="65">
        <f t="shared" si="192"/>
        <v>60</v>
      </c>
      <c r="V156" s="65">
        <f t="shared" si="192"/>
        <v>90</v>
      </c>
      <c r="W156" s="65">
        <f t="shared" si="192"/>
        <v>150</v>
      </c>
      <c r="X156" s="65">
        <f t="shared" si="192"/>
        <v>300</v>
      </c>
      <c r="Y156" s="65">
        <f t="shared" si="192"/>
        <v>450</v>
      </c>
    </row>
    <row r="157" ht="16.5" customHeight="1">
      <c r="A157" s="48" t="str">
        <f t="shared" ref="A157:E157" si="193">A104</f>
        <v>FRF</v>
      </c>
      <c r="B157" s="48" t="str">
        <f t="shared" si="193"/>
        <v>₣</v>
      </c>
      <c r="C157" s="48" t="str">
        <f t="shared" si="193"/>
        <v>法國法郎</v>
      </c>
      <c r="D157" s="48" t="str">
        <f t="shared" si="193"/>
        <v/>
      </c>
      <c r="E157" s="64">
        <f t="shared" si="193"/>
        <v>0.002</v>
      </c>
      <c r="F157" s="65">
        <f t="shared" ref="F157:Y157" si="194">F104*1.5</f>
        <v>0.3</v>
      </c>
      <c r="G157" s="65">
        <f t="shared" si="194"/>
        <v>0.6</v>
      </c>
      <c r="H157" s="65">
        <f t="shared" si="194"/>
        <v>1.5</v>
      </c>
      <c r="I157" s="65">
        <f t="shared" si="194"/>
        <v>3</v>
      </c>
      <c r="J157" s="65">
        <f t="shared" si="194"/>
        <v>3.6</v>
      </c>
      <c r="K157" s="65">
        <f t="shared" si="194"/>
        <v>4.5</v>
      </c>
      <c r="L157" s="65">
        <f t="shared" si="194"/>
        <v>6</v>
      </c>
      <c r="M157" s="65">
        <f t="shared" si="194"/>
        <v>7.5</v>
      </c>
      <c r="N157" s="65">
        <f t="shared" si="194"/>
        <v>9</v>
      </c>
      <c r="O157" s="65">
        <f t="shared" si="194"/>
        <v>12</v>
      </c>
      <c r="P157" s="65">
        <f t="shared" si="194"/>
        <v>15</v>
      </c>
      <c r="Q157" s="65">
        <f t="shared" si="194"/>
        <v>18</v>
      </c>
      <c r="R157" s="65">
        <f t="shared" si="194"/>
        <v>24</v>
      </c>
      <c r="S157" s="65">
        <f t="shared" si="194"/>
        <v>30</v>
      </c>
      <c r="T157" s="65">
        <f t="shared" si="194"/>
        <v>45</v>
      </c>
      <c r="U157" s="65">
        <f t="shared" si="194"/>
        <v>60</v>
      </c>
      <c r="V157" s="65">
        <f t="shared" si="194"/>
        <v>90</v>
      </c>
      <c r="W157" s="65">
        <f t="shared" si="194"/>
        <v>150</v>
      </c>
      <c r="X157" s="65">
        <f t="shared" si="194"/>
        <v>300</v>
      </c>
      <c r="Y157" s="65">
        <f t="shared" si="194"/>
        <v>450</v>
      </c>
    </row>
    <row r="158" ht="16.5" customHeight="1">
      <c r="A158" s="48" t="str">
        <f t="shared" ref="A158:E158" si="195">A105</f>
        <v>GHS</v>
      </c>
      <c r="B158" s="48" t="str">
        <f t="shared" si="195"/>
        <v>Gp</v>
      </c>
      <c r="C158" s="48" t="str">
        <f t="shared" si="195"/>
        <v>迦納塞地</v>
      </c>
      <c r="D158" s="48" t="str">
        <f t="shared" si="195"/>
        <v/>
      </c>
      <c r="E158" s="64">
        <f t="shared" si="195"/>
        <v>0.002</v>
      </c>
      <c r="F158" s="65">
        <f t="shared" ref="F158:Y158" si="196">F105*1.5</f>
        <v>0.6</v>
      </c>
      <c r="G158" s="65">
        <f t="shared" si="196"/>
        <v>1.5</v>
      </c>
      <c r="H158" s="65">
        <f t="shared" si="196"/>
        <v>3</v>
      </c>
      <c r="I158" s="65">
        <f t="shared" si="196"/>
        <v>3.6</v>
      </c>
      <c r="J158" s="65">
        <f t="shared" si="196"/>
        <v>4.5</v>
      </c>
      <c r="K158" s="65">
        <f t="shared" si="196"/>
        <v>6</v>
      </c>
      <c r="L158" s="65">
        <f t="shared" si="196"/>
        <v>7.5</v>
      </c>
      <c r="M158" s="65">
        <f t="shared" si="196"/>
        <v>9</v>
      </c>
      <c r="N158" s="65">
        <f t="shared" si="196"/>
        <v>12</v>
      </c>
      <c r="O158" s="65">
        <f t="shared" si="196"/>
        <v>15</v>
      </c>
      <c r="P158" s="65">
        <f t="shared" si="196"/>
        <v>18</v>
      </c>
      <c r="Q158" s="65">
        <f t="shared" si="196"/>
        <v>24</v>
      </c>
      <c r="R158" s="65">
        <f t="shared" si="196"/>
        <v>30</v>
      </c>
      <c r="S158" s="65">
        <f t="shared" si="196"/>
        <v>45</v>
      </c>
      <c r="T158" s="65">
        <f t="shared" si="196"/>
        <v>60</v>
      </c>
      <c r="U158" s="65">
        <f t="shared" si="196"/>
        <v>90</v>
      </c>
      <c r="V158" s="65">
        <f t="shared" si="196"/>
        <v>150</v>
      </c>
      <c r="W158" s="65">
        <f t="shared" si="196"/>
        <v>300</v>
      </c>
      <c r="X158" s="65">
        <f t="shared" si="196"/>
        <v>450</v>
      </c>
      <c r="Y158" s="65">
        <f t="shared" si="196"/>
        <v>900</v>
      </c>
    </row>
    <row r="159" ht="16.5" customHeight="1">
      <c r="A159" s="48" t="str">
        <f t="shared" ref="A159:E159" si="197">A106</f>
        <v>RCC</v>
      </c>
      <c r="B159" s="48" t="str">
        <f t="shared" si="197"/>
        <v/>
      </c>
      <c r="C159" s="48" t="str">
        <f t="shared" si="197"/>
        <v>RCC幣</v>
      </c>
      <c r="D159" s="48" t="str">
        <f t="shared" si="197"/>
        <v/>
      </c>
      <c r="E159" s="64">
        <f t="shared" si="197"/>
        <v>0.002</v>
      </c>
      <c r="F159" s="65">
        <f t="shared" ref="F159:Y159" si="198">F106*1.5</f>
        <v>0.3</v>
      </c>
      <c r="G159" s="65">
        <f t="shared" si="198"/>
        <v>0.6</v>
      </c>
      <c r="H159" s="65">
        <f t="shared" si="198"/>
        <v>1.5</v>
      </c>
      <c r="I159" s="65">
        <f t="shared" si="198"/>
        <v>3</v>
      </c>
      <c r="J159" s="65">
        <f t="shared" si="198"/>
        <v>3.6</v>
      </c>
      <c r="K159" s="65">
        <f t="shared" si="198"/>
        <v>4.5</v>
      </c>
      <c r="L159" s="65">
        <f t="shared" si="198"/>
        <v>6</v>
      </c>
      <c r="M159" s="65">
        <f t="shared" si="198"/>
        <v>7.5</v>
      </c>
      <c r="N159" s="65">
        <f t="shared" si="198"/>
        <v>9</v>
      </c>
      <c r="O159" s="65">
        <f t="shared" si="198"/>
        <v>10.5</v>
      </c>
      <c r="P159" s="65">
        <f t="shared" si="198"/>
        <v>12</v>
      </c>
      <c r="Q159" s="65">
        <f t="shared" si="198"/>
        <v>13.5</v>
      </c>
      <c r="R159" s="65">
        <f t="shared" si="198"/>
        <v>15</v>
      </c>
      <c r="S159" s="65">
        <f t="shared" si="198"/>
        <v>18</v>
      </c>
      <c r="T159" s="65">
        <f t="shared" si="198"/>
        <v>21</v>
      </c>
      <c r="U159" s="65">
        <f t="shared" si="198"/>
        <v>24</v>
      </c>
      <c r="V159" s="65">
        <f t="shared" si="198"/>
        <v>27</v>
      </c>
      <c r="W159" s="65">
        <f t="shared" si="198"/>
        <v>30</v>
      </c>
      <c r="X159" s="65">
        <f t="shared" si="198"/>
        <v>45</v>
      </c>
      <c r="Y159" s="65">
        <f t="shared" si="198"/>
        <v>60</v>
      </c>
    </row>
    <row r="160" ht="16.5" customHeight="1">
      <c r="A160" s="48" t="str">
        <f t="shared" ref="A160:E160" si="199">A107</f>
        <v>KBB</v>
      </c>
      <c r="B160" s="48" t="str">
        <f t="shared" si="199"/>
        <v/>
      </c>
      <c r="C160" s="48" t="str">
        <f t="shared" si="199"/>
        <v>爸幣</v>
      </c>
      <c r="D160" s="48" t="str">
        <f t="shared" si="199"/>
        <v/>
      </c>
      <c r="E160" s="64">
        <f t="shared" si="199"/>
        <v>0.01</v>
      </c>
      <c r="F160" s="65">
        <f t="shared" ref="F160:Y160" si="200">F107*1.5</f>
        <v>7.5</v>
      </c>
      <c r="G160" s="65">
        <f t="shared" si="200"/>
        <v>15</v>
      </c>
      <c r="H160" s="65">
        <f t="shared" si="200"/>
        <v>22.5</v>
      </c>
      <c r="I160" s="65">
        <f t="shared" si="200"/>
        <v>30</v>
      </c>
      <c r="J160" s="65">
        <f t="shared" si="200"/>
        <v>45</v>
      </c>
      <c r="K160" s="65">
        <f t="shared" si="200"/>
        <v>60</v>
      </c>
      <c r="L160" s="65">
        <f t="shared" si="200"/>
        <v>75</v>
      </c>
      <c r="M160" s="65">
        <f t="shared" si="200"/>
        <v>90</v>
      </c>
      <c r="N160" s="65">
        <f t="shared" si="200"/>
        <v>120</v>
      </c>
      <c r="O160" s="65">
        <f t="shared" si="200"/>
        <v>150</v>
      </c>
      <c r="P160" s="65">
        <f t="shared" si="200"/>
        <v>225</v>
      </c>
      <c r="Q160" s="65">
        <f t="shared" si="200"/>
        <v>300</v>
      </c>
      <c r="R160" s="65">
        <f t="shared" si="200"/>
        <v>450</v>
      </c>
      <c r="S160" s="65">
        <f t="shared" si="200"/>
        <v>750</v>
      </c>
      <c r="T160" s="65">
        <f t="shared" si="200"/>
        <v>1500</v>
      </c>
      <c r="U160" s="65">
        <f t="shared" si="200"/>
        <v>2250</v>
      </c>
      <c r="V160" s="65">
        <f t="shared" si="200"/>
        <v>4500</v>
      </c>
      <c r="W160" s="65">
        <f t="shared" si="200"/>
        <v>7500</v>
      </c>
      <c r="X160" s="65">
        <f t="shared" si="200"/>
        <v>11250</v>
      </c>
      <c r="Y160" s="65">
        <f t="shared" si="200"/>
        <v>15000</v>
      </c>
    </row>
    <row r="161" ht="16.5" customHeight="1">
      <c r="A161" s="48" t="str">
        <f t="shared" ref="A161:E161" si="201">A108</f>
        <v>XSMY</v>
      </c>
      <c r="B161" s="48" t="str">
        <f t="shared" si="201"/>
        <v/>
      </c>
      <c r="C161" s="48" t="str">
        <f t="shared" si="201"/>
        <v>星城馬來西亞</v>
      </c>
      <c r="D161" s="48" t="str">
        <f t="shared" si="201"/>
        <v/>
      </c>
      <c r="E161" s="64">
        <f t="shared" si="201"/>
        <v>1</v>
      </c>
      <c r="F161" s="65">
        <f t="shared" ref="F161:Y161" si="202">F108*1.5</f>
        <v>150</v>
      </c>
      <c r="G161" s="65">
        <f t="shared" si="202"/>
        <v>300</v>
      </c>
      <c r="H161" s="65">
        <f t="shared" si="202"/>
        <v>750</v>
      </c>
      <c r="I161" s="65">
        <f t="shared" si="202"/>
        <v>1500</v>
      </c>
      <c r="J161" s="65">
        <f t="shared" si="202"/>
        <v>1800</v>
      </c>
      <c r="K161" s="65">
        <f t="shared" si="202"/>
        <v>2250</v>
      </c>
      <c r="L161" s="65">
        <f t="shared" si="202"/>
        <v>3000</v>
      </c>
      <c r="M161" s="65">
        <f t="shared" si="202"/>
        <v>3750</v>
      </c>
      <c r="N161" s="65">
        <f t="shared" si="202"/>
        <v>4500</v>
      </c>
      <c r="O161" s="65">
        <f t="shared" si="202"/>
        <v>5250</v>
      </c>
      <c r="P161" s="65">
        <f t="shared" si="202"/>
        <v>6000</v>
      </c>
      <c r="Q161" s="65">
        <f t="shared" si="202"/>
        <v>7500</v>
      </c>
      <c r="R161" s="65">
        <f t="shared" si="202"/>
        <v>9000</v>
      </c>
      <c r="S161" s="65">
        <f t="shared" si="202"/>
        <v>12000</v>
      </c>
      <c r="T161" s="65">
        <f t="shared" si="202"/>
        <v>13500</v>
      </c>
      <c r="U161" s="65">
        <f t="shared" si="202"/>
        <v>15000</v>
      </c>
      <c r="V161" s="65">
        <f t="shared" si="202"/>
        <v>22500</v>
      </c>
      <c r="W161" s="65">
        <f t="shared" si="202"/>
        <v>30000</v>
      </c>
      <c r="X161" s="65">
        <f t="shared" si="202"/>
        <v>45000</v>
      </c>
      <c r="Y161" s="65">
        <f t="shared" si="202"/>
        <v>75000</v>
      </c>
    </row>
    <row r="162" ht="16.5" customHeight="1"/>
    <row r="163" ht="16.5" customHeight="1">
      <c r="A163" s="88" t="s">
        <v>75</v>
      </c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70"/>
    </row>
    <row r="164" ht="16.5" customHeight="1">
      <c r="A164" s="43" t="str">
        <f t="shared" ref="A164:Y164" si="203">A111</f>
        <v>貨幣簡稱</v>
      </c>
      <c r="B164" s="44" t="str">
        <f t="shared" si="203"/>
        <v>貨幣符號</v>
      </c>
      <c r="C164" s="44" t="str">
        <f t="shared" si="203"/>
        <v>中文名稱</v>
      </c>
      <c r="D164" s="44" t="str">
        <f t="shared" si="203"/>
        <v>貨幣轉換</v>
      </c>
      <c r="E164" s="44" t="str">
        <f t="shared" si="203"/>
        <v>Denom</v>
      </c>
      <c r="F164" s="44" t="str">
        <f t="shared" si="203"/>
        <v>第 1 組</v>
      </c>
      <c r="G164" s="44" t="str">
        <f t="shared" si="203"/>
        <v>第 2 組</v>
      </c>
      <c r="H164" s="44" t="str">
        <f t="shared" si="203"/>
        <v>第 3 組</v>
      </c>
      <c r="I164" s="44" t="str">
        <f t="shared" si="203"/>
        <v>第 4 組</v>
      </c>
      <c r="J164" s="44" t="str">
        <f t="shared" si="203"/>
        <v>第 5 組</v>
      </c>
      <c r="K164" s="44" t="str">
        <f t="shared" si="203"/>
        <v>第 6 組</v>
      </c>
      <c r="L164" s="44" t="str">
        <f t="shared" si="203"/>
        <v>第 7 組</v>
      </c>
      <c r="M164" s="44" t="str">
        <f t="shared" si="203"/>
        <v>第 8 組</v>
      </c>
      <c r="N164" s="44" t="str">
        <f t="shared" si="203"/>
        <v>第 9 組</v>
      </c>
      <c r="O164" s="44" t="str">
        <f t="shared" si="203"/>
        <v>第 10 組</v>
      </c>
      <c r="P164" s="44" t="str">
        <f t="shared" si="203"/>
        <v>第 11 組</v>
      </c>
      <c r="Q164" s="44" t="str">
        <f t="shared" si="203"/>
        <v>第 12 組</v>
      </c>
      <c r="R164" s="44" t="str">
        <f t="shared" si="203"/>
        <v>第 13 組</v>
      </c>
      <c r="S164" s="44" t="str">
        <f t="shared" si="203"/>
        <v>第 14 組</v>
      </c>
      <c r="T164" s="44" t="str">
        <f t="shared" si="203"/>
        <v>第 15 組</v>
      </c>
      <c r="U164" s="44" t="str">
        <f t="shared" si="203"/>
        <v>第 16 組</v>
      </c>
      <c r="V164" s="44" t="str">
        <f t="shared" si="203"/>
        <v>第 17 組</v>
      </c>
      <c r="W164" s="44" t="str">
        <f t="shared" si="203"/>
        <v>第 18 組</v>
      </c>
      <c r="X164" s="44" t="str">
        <f t="shared" si="203"/>
        <v>第 19 組</v>
      </c>
      <c r="Y164" s="61" t="str">
        <f t="shared" si="203"/>
        <v>第 20 組</v>
      </c>
      <c r="Z164" s="70"/>
    </row>
    <row r="165" ht="16.5" customHeight="1">
      <c r="A165" s="48" t="str">
        <f t="shared" ref="A165:E165" si="204">A112</f>
        <v>THB</v>
      </c>
      <c r="B165" s="48" t="str">
        <f t="shared" si="204"/>
        <v>฿</v>
      </c>
      <c r="C165" s="48" t="str">
        <f t="shared" si="204"/>
        <v>泰銖</v>
      </c>
      <c r="D165" s="48" t="str">
        <f t="shared" si="204"/>
        <v/>
      </c>
      <c r="E165" s="64">
        <f t="shared" si="204"/>
        <v>0.002</v>
      </c>
      <c r="F165" s="65">
        <f t="shared" ref="F165:Y165" si="205">F112*2</f>
        <v>3</v>
      </c>
      <c r="G165" s="65">
        <f t="shared" si="205"/>
        <v>6</v>
      </c>
      <c r="H165" s="65">
        <f t="shared" si="205"/>
        <v>9</v>
      </c>
      <c r="I165" s="65">
        <f t="shared" si="205"/>
        <v>12</v>
      </c>
      <c r="J165" s="65">
        <f t="shared" si="205"/>
        <v>15</v>
      </c>
      <c r="K165" s="65">
        <f t="shared" si="205"/>
        <v>18</v>
      </c>
      <c r="L165" s="65">
        <f t="shared" si="205"/>
        <v>24</v>
      </c>
      <c r="M165" s="65">
        <f t="shared" si="205"/>
        <v>30</v>
      </c>
      <c r="N165" s="65">
        <f t="shared" si="205"/>
        <v>36</v>
      </c>
      <c r="O165" s="65">
        <f t="shared" si="205"/>
        <v>48</v>
      </c>
      <c r="P165" s="65">
        <f t="shared" si="205"/>
        <v>60</v>
      </c>
      <c r="Q165" s="65">
        <f t="shared" si="205"/>
        <v>90</v>
      </c>
      <c r="R165" s="65">
        <f t="shared" si="205"/>
        <v>120</v>
      </c>
      <c r="S165" s="65">
        <f t="shared" si="205"/>
        <v>180</v>
      </c>
      <c r="T165" s="65">
        <f t="shared" si="205"/>
        <v>300</v>
      </c>
      <c r="U165" s="65">
        <f t="shared" si="205"/>
        <v>600</v>
      </c>
      <c r="V165" s="65">
        <f t="shared" si="205"/>
        <v>900</v>
      </c>
      <c r="W165" s="65">
        <f t="shared" si="205"/>
        <v>1800</v>
      </c>
      <c r="X165" s="65">
        <f t="shared" si="205"/>
        <v>3000</v>
      </c>
      <c r="Y165" s="65">
        <f t="shared" si="205"/>
        <v>4500</v>
      </c>
      <c r="Z165" s="70"/>
    </row>
    <row r="166" ht="16.5" customHeight="1">
      <c r="A166" s="48" t="str">
        <f t="shared" ref="A166:E166" si="206">A113</f>
        <v>HKD</v>
      </c>
      <c r="B166" s="48" t="str">
        <f t="shared" si="206"/>
        <v>HK$</v>
      </c>
      <c r="C166" s="48" t="str">
        <f t="shared" si="206"/>
        <v>港幣</v>
      </c>
      <c r="D166" s="48" t="str">
        <f t="shared" si="206"/>
        <v/>
      </c>
      <c r="E166" s="64">
        <f t="shared" si="206"/>
        <v>0.002</v>
      </c>
      <c r="F166" s="65">
        <f t="shared" ref="F166:Y166" si="207">F113*2</f>
        <v>0.6</v>
      </c>
      <c r="G166" s="65">
        <f t="shared" si="207"/>
        <v>1.2</v>
      </c>
      <c r="H166" s="65">
        <f t="shared" si="207"/>
        <v>3</v>
      </c>
      <c r="I166" s="65">
        <f t="shared" si="207"/>
        <v>6</v>
      </c>
      <c r="J166" s="65">
        <f t="shared" si="207"/>
        <v>7.2</v>
      </c>
      <c r="K166" s="65">
        <f t="shared" si="207"/>
        <v>9</v>
      </c>
      <c r="L166" s="65">
        <f t="shared" si="207"/>
        <v>12</v>
      </c>
      <c r="M166" s="65">
        <f t="shared" si="207"/>
        <v>15</v>
      </c>
      <c r="N166" s="65">
        <f t="shared" si="207"/>
        <v>18</v>
      </c>
      <c r="O166" s="65">
        <f t="shared" si="207"/>
        <v>24</v>
      </c>
      <c r="P166" s="65">
        <f t="shared" si="207"/>
        <v>30</v>
      </c>
      <c r="Q166" s="65">
        <f t="shared" si="207"/>
        <v>36</v>
      </c>
      <c r="R166" s="65">
        <f t="shared" si="207"/>
        <v>48</v>
      </c>
      <c r="S166" s="65">
        <f t="shared" si="207"/>
        <v>60</v>
      </c>
      <c r="T166" s="65">
        <f t="shared" si="207"/>
        <v>90</v>
      </c>
      <c r="U166" s="65">
        <f t="shared" si="207"/>
        <v>120</v>
      </c>
      <c r="V166" s="65">
        <f t="shared" si="207"/>
        <v>180</v>
      </c>
      <c r="W166" s="65">
        <f t="shared" si="207"/>
        <v>300</v>
      </c>
      <c r="X166" s="65">
        <f t="shared" si="207"/>
        <v>600</v>
      </c>
      <c r="Y166" s="65">
        <f t="shared" si="207"/>
        <v>900</v>
      </c>
      <c r="Z166" s="70"/>
    </row>
    <row r="167" ht="16.5" customHeight="1">
      <c r="A167" s="48" t="str">
        <f t="shared" ref="A167:E167" si="208">A114</f>
        <v>INR</v>
      </c>
      <c r="B167" s="48" t="str">
        <f t="shared" si="208"/>
        <v>₹</v>
      </c>
      <c r="C167" s="48" t="str">
        <f t="shared" si="208"/>
        <v>印度盧比</v>
      </c>
      <c r="D167" s="48" t="str">
        <f t="shared" si="208"/>
        <v/>
      </c>
      <c r="E167" s="64">
        <f t="shared" si="208"/>
        <v>0.002</v>
      </c>
      <c r="F167" s="65">
        <f t="shared" ref="F167:Y167" si="209">F114*2</f>
        <v>6</v>
      </c>
      <c r="G167" s="65">
        <f t="shared" si="209"/>
        <v>9</v>
      </c>
      <c r="H167" s="65">
        <f t="shared" si="209"/>
        <v>12</v>
      </c>
      <c r="I167" s="65">
        <f t="shared" si="209"/>
        <v>18</v>
      </c>
      <c r="J167" s="65">
        <f t="shared" si="209"/>
        <v>24</v>
      </c>
      <c r="K167" s="65">
        <f t="shared" si="209"/>
        <v>30</v>
      </c>
      <c r="L167" s="65">
        <f t="shared" si="209"/>
        <v>36</v>
      </c>
      <c r="M167" s="65">
        <f t="shared" si="209"/>
        <v>48</v>
      </c>
      <c r="N167" s="65">
        <f t="shared" si="209"/>
        <v>60</v>
      </c>
      <c r="O167" s="65">
        <f t="shared" si="209"/>
        <v>90</v>
      </c>
      <c r="P167" s="65">
        <f t="shared" si="209"/>
        <v>120</v>
      </c>
      <c r="Q167" s="65">
        <f t="shared" si="209"/>
        <v>180</v>
      </c>
      <c r="R167" s="65">
        <f t="shared" si="209"/>
        <v>300</v>
      </c>
      <c r="S167" s="65">
        <f t="shared" si="209"/>
        <v>600</v>
      </c>
      <c r="T167" s="65">
        <f t="shared" si="209"/>
        <v>900</v>
      </c>
      <c r="U167" s="65">
        <f t="shared" si="209"/>
        <v>1800</v>
      </c>
      <c r="V167" s="65">
        <f t="shared" si="209"/>
        <v>3000</v>
      </c>
      <c r="W167" s="65">
        <f t="shared" si="209"/>
        <v>4500</v>
      </c>
      <c r="X167" s="65">
        <f t="shared" si="209"/>
        <v>6000</v>
      </c>
      <c r="Y167" s="65">
        <f t="shared" si="209"/>
        <v>9000</v>
      </c>
      <c r="Z167" s="70"/>
    </row>
    <row r="168" ht="16.5" customHeight="1">
      <c r="A168" s="48" t="str">
        <f t="shared" ref="A168:E168" si="210">A115</f>
        <v>IDR</v>
      </c>
      <c r="B168" s="48" t="str">
        <f t="shared" si="210"/>
        <v>Rp</v>
      </c>
      <c r="C168" s="48" t="str">
        <f t="shared" si="210"/>
        <v>印尼盧比(K)</v>
      </c>
      <c r="D168" s="48">
        <f t="shared" si="210"/>
        <v>1000</v>
      </c>
      <c r="E168" s="64">
        <f t="shared" si="210"/>
        <v>0.002</v>
      </c>
      <c r="F168" s="65">
        <f t="shared" ref="F168:Y168" si="211">F115*2</f>
        <v>1.2</v>
      </c>
      <c r="G168" s="65">
        <f t="shared" si="211"/>
        <v>3</v>
      </c>
      <c r="H168" s="65">
        <f t="shared" si="211"/>
        <v>6</v>
      </c>
      <c r="I168" s="65">
        <f t="shared" si="211"/>
        <v>7.2</v>
      </c>
      <c r="J168" s="65">
        <f t="shared" si="211"/>
        <v>9</v>
      </c>
      <c r="K168" s="65">
        <f t="shared" si="211"/>
        <v>12</v>
      </c>
      <c r="L168" s="65">
        <f t="shared" si="211"/>
        <v>15</v>
      </c>
      <c r="M168" s="65">
        <f t="shared" si="211"/>
        <v>18</v>
      </c>
      <c r="N168" s="65">
        <f t="shared" si="211"/>
        <v>24</v>
      </c>
      <c r="O168" s="65">
        <f t="shared" si="211"/>
        <v>30</v>
      </c>
      <c r="P168" s="65">
        <f t="shared" si="211"/>
        <v>36</v>
      </c>
      <c r="Q168" s="65">
        <f t="shared" si="211"/>
        <v>48</v>
      </c>
      <c r="R168" s="65">
        <f t="shared" si="211"/>
        <v>60</v>
      </c>
      <c r="S168" s="65">
        <f t="shared" si="211"/>
        <v>90</v>
      </c>
      <c r="T168" s="65">
        <f t="shared" si="211"/>
        <v>120</v>
      </c>
      <c r="U168" s="65">
        <f t="shared" si="211"/>
        <v>180</v>
      </c>
      <c r="V168" s="65">
        <f t="shared" si="211"/>
        <v>300</v>
      </c>
      <c r="W168" s="65">
        <f t="shared" si="211"/>
        <v>600</v>
      </c>
      <c r="X168" s="65">
        <f t="shared" si="211"/>
        <v>900</v>
      </c>
      <c r="Y168" s="65">
        <f t="shared" si="211"/>
        <v>1800</v>
      </c>
      <c r="Z168" s="70"/>
    </row>
    <row r="169" ht="16.5" customHeight="1">
      <c r="A169" s="48" t="str">
        <f t="shared" ref="A169:E169" si="212">A116</f>
        <v>VND</v>
      </c>
      <c r="B169" s="48" t="str">
        <f t="shared" si="212"/>
        <v>₫</v>
      </c>
      <c r="C169" s="48" t="str">
        <f t="shared" si="212"/>
        <v>越南盾(K)</v>
      </c>
      <c r="D169" s="48">
        <f t="shared" si="212"/>
        <v>1000</v>
      </c>
      <c r="E169" s="64">
        <f t="shared" si="212"/>
        <v>0.002</v>
      </c>
      <c r="F169" s="65">
        <f t="shared" ref="F169:Y169" si="213">F116*2</f>
        <v>3</v>
      </c>
      <c r="G169" s="65">
        <f t="shared" si="213"/>
        <v>6</v>
      </c>
      <c r="H169" s="65">
        <f t="shared" si="213"/>
        <v>7.2</v>
      </c>
      <c r="I169" s="65">
        <f t="shared" si="213"/>
        <v>9</v>
      </c>
      <c r="J169" s="65">
        <f t="shared" si="213"/>
        <v>12</v>
      </c>
      <c r="K169" s="65">
        <f t="shared" si="213"/>
        <v>15</v>
      </c>
      <c r="L169" s="65">
        <f t="shared" si="213"/>
        <v>18</v>
      </c>
      <c r="M169" s="65">
        <f t="shared" si="213"/>
        <v>24</v>
      </c>
      <c r="N169" s="65">
        <f t="shared" si="213"/>
        <v>30</v>
      </c>
      <c r="O169" s="65">
        <f t="shared" si="213"/>
        <v>36</v>
      </c>
      <c r="P169" s="65">
        <f t="shared" si="213"/>
        <v>48</v>
      </c>
      <c r="Q169" s="65">
        <f t="shared" si="213"/>
        <v>60</v>
      </c>
      <c r="R169" s="65">
        <f t="shared" si="213"/>
        <v>90</v>
      </c>
      <c r="S169" s="65">
        <f t="shared" si="213"/>
        <v>120</v>
      </c>
      <c r="T169" s="65">
        <f t="shared" si="213"/>
        <v>180</v>
      </c>
      <c r="U169" s="65">
        <f t="shared" si="213"/>
        <v>300</v>
      </c>
      <c r="V169" s="65">
        <f t="shared" si="213"/>
        <v>600</v>
      </c>
      <c r="W169" s="65">
        <f t="shared" si="213"/>
        <v>900</v>
      </c>
      <c r="X169" s="65">
        <f t="shared" si="213"/>
        <v>1800</v>
      </c>
      <c r="Y169" s="65">
        <f t="shared" si="213"/>
        <v>3000</v>
      </c>
      <c r="Z169" s="70"/>
    </row>
    <row r="170" ht="16.5" customHeight="1">
      <c r="A170" s="48" t="str">
        <f t="shared" ref="A170:E170" si="214">A117</f>
        <v>MYR</v>
      </c>
      <c r="B170" s="48" t="str">
        <f t="shared" si="214"/>
        <v>RM</v>
      </c>
      <c r="C170" s="48" t="str">
        <f t="shared" si="214"/>
        <v>馬來西亞令吉</v>
      </c>
      <c r="D170" s="48" t="str">
        <f t="shared" si="214"/>
        <v/>
      </c>
      <c r="E170" s="64">
        <f t="shared" si="214"/>
        <v>0.002</v>
      </c>
      <c r="F170" s="65">
        <f t="shared" ref="F170:Y170" si="215">F117*2</f>
        <v>0.6</v>
      </c>
      <c r="G170" s="65">
        <f t="shared" si="215"/>
        <v>1.2</v>
      </c>
      <c r="H170" s="65">
        <f t="shared" si="215"/>
        <v>3</v>
      </c>
      <c r="I170" s="65">
        <f t="shared" si="215"/>
        <v>6</v>
      </c>
      <c r="J170" s="65">
        <f t="shared" si="215"/>
        <v>7.2</v>
      </c>
      <c r="K170" s="65">
        <f t="shared" si="215"/>
        <v>9</v>
      </c>
      <c r="L170" s="65">
        <f t="shared" si="215"/>
        <v>12</v>
      </c>
      <c r="M170" s="65">
        <f t="shared" si="215"/>
        <v>15</v>
      </c>
      <c r="N170" s="65">
        <f t="shared" si="215"/>
        <v>18</v>
      </c>
      <c r="O170" s="65">
        <f t="shared" si="215"/>
        <v>21</v>
      </c>
      <c r="P170" s="65">
        <f t="shared" si="215"/>
        <v>24</v>
      </c>
      <c r="Q170" s="65">
        <f t="shared" si="215"/>
        <v>30</v>
      </c>
      <c r="R170" s="65">
        <f t="shared" si="215"/>
        <v>36</v>
      </c>
      <c r="S170" s="65">
        <f t="shared" si="215"/>
        <v>48</v>
      </c>
      <c r="T170" s="65">
        <f t="shared" si="215"/>
        <v>60</v>
      </c>
      <c r="U170" s="65">
        <f t="shared" si="215"/>
        <v>90</v>
      </c>
      <c r="V170" s="65">
        <f t="shared" si="215"/>
        <v>120</v>
      </c>
      <c r="W170" s="65">
        <f t="shared" si="215"/>
        <v>180</v>
      </c>
      <c r="X170" s="65">
        <f t="shared" si="215"/>
        <v>300</v>
      </c>
      <c r="Y170" s="65">
        <f t="shared" si="215"/>
        <v>600</v>
      </c>
      <c r="Z170" s="70"/>
    </row>
    <row r="171" ht="16.5" customHeight="1">
      <c r="A171" s="48" t="str">
        <f t="shared" ref="A171:E171" si="216">A118</f>
        <v>SGD</v>
      </c>
      <c r="B171" s="48" t="str">
        <f t="shared" si="216"/>
        <v>S$</v>
      </c>
      <c r="C171" s="48" t="str">
        <f t="shared" si="216"/>
        <v>新加坡幣</v>
      </c>
      <c r="D171" s="48" t="str">
        <f t="shared" si="216"/>
        <v/>
      </c>
      <c r="E171" s="64">
        <f t="shared" si="216"/>
        <v>0.002</v>
      </c>
      <c r="F171" s="65">
        <f t="shared" ref="F171:Y171" si="217">F118*2</f>
        <v>0.6</v>
      </c>
      <c r="G171" s="65">
        <f t="shared" si="217"/>
        <v>1.2</v>
      </c>
      <c r="H171" s="65">
        <f t="shared" si="217"/>
        <v>3</v>
      </c>
      <c r="I171" s="65">
        <f t="shared" si="217"/>
        <v>6</v>
      </c>
      <c r="J171" s="65">
        <f t="shared" si="217"/>
        <v>7.2</v>
      </c>
      <c r="K171" s="65">
        <f t="shared" si="217"/>
        <v>9</v>
      </c>
      <c r="L171" s="65">
        <f t="shared" si="217"/>
        <v>12</v>
      </c>
      <c r="M171" s="65">
        <f t="shared" si="217"/>
        <v>15</v>
      </c>
      <c r="N171" s="65">
        <f t="shared" si="217"/>
        <v>18</v>
      </c>
      <c r="O171" s="65">
        <f t="shared" si="217"/>
        <v>21</v>
      </c>
      <c r="P171" s="65">
        <f t="shared" si="217"/>
        <v>24</v>
      </c>
      <c r="Q171" s="65">
        <f t="shared" si="217"/>
        <v>27</v>
      </c>
      <c r="R171" s="65">
        <f t="shared" si="217"/>
        <v>30</v>
      </c>
      <c r="S171" s="65">
        <f t="shared" si="217"/>
        <v>36</v>
      </c>
      <c r="T171" s="65">
        <f t="shared" si="217"/>
        <v>42</v>
      </c>
      <c r="U171" s="65">
        <f t="shared" si="217"/>
        <v>48</v>
      </c>
      <c r="V171" s="65">
        <f t="shared" si="217"/>
        <v>54</v>
      </c>
      <c r="W171" s="65">
        <f t="shared" si="217"/>
        <v>60</v>
      </c>
      <c r="X171" s="65">
        <f t="shared" si="217"/>
        <v>90</v>
      </c>
      <c r="Y171" s="65">
        <f t="shared" si="217"/>
        <v>120</v>
      </c>
      <c r="Z171" s="70"/>
    </row>
    <row r="172" ht="16.5" customHeight="1">
      <c r="A172" s="48" t="str">
        <f t="shared" ref="A172:E172" si="218">A119</f>
        <v>USD</v>
      </c>
      <c r="B172" s="48" t="str">
        <f t="shared" si="218"/>
        <v>$</v>
      </c>
      <c r="C172" s="48" t="str">
        <f t="shared" si="218"/>
        <v>美元</v>
      </c>
      <c r="D172" s="48" t="str">
        <f t="shared" si="218"/>
        <v/>
      </c>
      <c r="E172" s="64">
        <f t="shared" si="218"/>
        <v>0.002</v>
      </c>
      <c r="F172" s="65">
        <f t="shared" ref="F172:Y172" si="219">F119*2</f>
        <v>0.6</v>
      </c>
      <c r="G172" s="65">
        <f t="shared" si="219"/>
        <v>1.2</v>
      </c>
      <c r="H172" s="65">
        <f t="shared" si="219"/>
        <v>3</v>
      </c>
      <c r="I172" s="65">
        <f t="shared" si="219"/>
        <v>6</v>
      </c>
      <c r="J172" s="65">
        <f t="shared" si="219"/>
        <v>7.2</v>
      </c>
      <c r="K172" s="65">
        <f t="shared" si="219"/>
        <v>9</v>
      </c>
      <c r="L172" s="65">
        <f t="shared" si="219"/>
        <v>12</v>
      </c>
      <c r="M172" s="65">
        <f t="shared" si="219"/>
        <v>15</v>
      </c>
      <c r="N172" s="65">
        <f t="shared" si="219"/>
        <v>18</v>
      </c>
      <c r="O172" s="65">
        <f t="shared" si="219"/>
        <v>21</v>
      </c>
      <c r="P172" s="65">
        <f t="shared" si="219"/>
        <v>24</v>
      </c>
      <c r="Q172" s="65">
        <f t="shared" si="219"/>
        <v>27</v>
      </c>
      <c r="R172" s="65">
        <f t="shared" si="219"/>
        <v>30</v>
      </c>
      <c r="S172" s="65">
        <f t="shared" si="219"/>
        <v>36</v>
      </c>
      <c r="T172" s="65">
        <f t="shared" si="219"/>
        <v>42</v>
      </c>
      <c r="U172" s="65">
        <f t="shared" si="219"/>
        <v>48</v>
      </c>
      <c r="V172" s="65">
        <f t="shared" si="219"/>
        <v>54</v>
      </c>
      <c r="W172" s="65">
        <f t="shared" si="219"/>
        <v>60</v>
      </c>
      <c r="X172" s="65">
        <f t="shared" si="219"/>
        <v>90</v>
      </c>
      <c r="Y172" s="65">
        <f t="shared" si="219"/>
        <v>120</v>
      </c>
      <c r="Z172" s="70"/>
    </row>
    <row r="173" ht="16.5" customHeight="1">
      <c r="A173" s="48" t="str">
        <f t="shared" ref="A173:E173" si="220">A120</f>
        <v>BDT</v>
      </c>
      <c r="B173" s="48" t="str">
        <f t="shared" si="220"/>
        <v>৳</v>
      </c>
      <c r="C173" s="48" t="str">
        <f t="shared" si="220"/>
        <v>孟加拉塔卡</v>
      </c>
      <c r="D173" s="48" t="str">
        <f t="shared" si="220"/>
        <v/>
      </c>
      <c r="E173" s="64">
        <f t="shared" si="220"/>
        <v>0.002</v>
      </c>
      <c r="F173" s="65">
        <f t="shared" ref="F173:Y173" si="221">F120*2</f>
        <v>6</v>
      </c>
      <c r="G173" s="65">
        <f t="shared" si="221"/>
        <v>9</v>
      </c>
      <c r="H173" s="65">
        <f t="shared" si="221"/>
        <v>12</v>
      </c>
      <c r="I173" s="65">
        <f t="shared" si="221"/>
        <v>18</v>
      </c>
      <c r="J173" s="65">
        <f t="shared" si="221"/>
        <v>24</v>
      </c>
      <c r="K173" s="65">
        <f t="shared" si="221"/>
        <v>30</v>
      </c>
      <c r="L173" s="65">
        <f t="shared" si="221"/>
        <v>36</v>
      </c>
      <c r="M173" s="65">
        <f t="shared" si="221"/>
        <v>48</v>
      </c>
      <c r="N173" s="65">
        <f t="shared" si="221"/>
        <v>60</v>
      </c>
      <c r="O173" s="65">
        <f t="shared" si="221"/>
        <v>90</v>
      </c>
      <c r="P173" s="65">
        <f t="shared" si="221"/>
        <v>120</v>
      </c>
      <c r="Q173" s="65">
        <f t="shared" si="221"/>
        <v>180</v>
      </c>
      <c r="R173" s="65">
        <f t="shared" si="221"/>
        <v>300</v>
      </c>
      <c r="S173" s="65">
        <f t="shared" si="221"/>
        <v>600</v>
      </c>
      <c r="T173" s="65">
        <f t="shared" si="221"/>
        <v>900</v>
      </c>
      <c r="U173" s="65">
        <f t="shared" si="221"/>
        <v>1800</v>
      </c>
      <c r="V173" s="65">
        <f t="shared" si="221"/>
        <v>3000</v>
      </c>
      <c r="W173" s="65">
        <f t="shared" si="221"/>
        <v>4500</v>
      </c>
      <c r="X173" s="65">
        <f t="shared" si="221"/>
        <v>6000</v>
      </c>
      <c r="Y173" s="65">
        <f t="shared" si="221"/>
        <v>9000</v>
      </c>
      <c r="Z173" s="70"/>
    </row>
    <row r="174" ht="16.5" customHeight="1">
      <c r="A174" s="48" t="str">
        <f t="shared" ref="A174:E174" si="222">A121</f>
        <v>PKR</v>
      </c>
      <c r="B174" s="48" t="str">
        <f t="shared" si="222"/>
        <v>₨</v>
      </c>
      <c r="C174" s="48" t="str">
        <f t="shared" si="222"/>
        <v>巴基斯坦盧比</v>
      </c>
      <c r="D174" s="48" t="str">
        <f t="shared" si="222"/>
        <v/>
      </c>
      <c r="E174" s="64">
        <f t="shared" si="222"/>
        <v>0.01</v>
      </c>
      <c r="F174" s="65">
        <f t="shared" ref="F174:Y174" si="223">F121*2</f>
        <v>15</v>
      </c>
      <c r="G174" s="65">
        <f t="shared" si="223"/>
        <v>30</v>
      </c>
      <c r="H174" s="65">
        <f t="shared" si="223"/>
        <v>45</v>
      </c>
      <c r="I174" s="65">
        <f t="shared" si="223"/>
        <v>60</v>
      </c>
      <c r="J174" s="65">
        <f t="shared" si="223"/>
        <v>90</v>
      </c>
      <c r="K174" s="65">
        <f t="shared" si="223"/>
        <v>120</v>
      </c>
      <c r="L174" s="65">
        <f t="shared" si="223"/>
        <v>150</v>
      </c>
      <c r="M174" s="65">
        <f t="shared" si="223"/>
        <v>180</v>
      </c>
      <c r="N174" s="65">
        <f t="shared" si="223"/>
        <v>240</v>
      </c>
      <c r="O174" s="65">
        <f t="shared" si="223"/>
        <v>300</v>
      </c>
      <c r="P174" s="65">
        <f t="shared" si="223"/>
        <v>450</v>
      </c>
      <c r="Q174" s="65">
        <f t="shared" si="223"/>
        <v>600</v>
      </c>
      <c r="R174" s="65">
        <f t="shared" si="223"/>
        <v>900</v>
      </c>
      <c r="S174" s="65">
        <f t="shared" si="223"/>
        <v>1500</v>
      </c>
      <c r="T174" s="65">
        <f t="shared" si="223"/>
        <v>3000</v>
      </c>
      <c r="U174" s="65">
        <f t="shared" si="223"/>
        <v>4500</v>
      </c>
      <c r="V174" s="65">
        <f t="shared" si="223"/>
        <v>9000</v>
      </c>
      <c r="W174" s="65">
        <f t="shared" si="223"/>
        <v>15000</v>
      </c>
      <c r="X174" s="65">
        <f t="shared" si="223"/>
        <v>22500</v>
      </c>
      <c r="Y174" s="65">
        <f t="shared" si="223"/>
        <v>30000</v>
      </c>
      <c r="Z174" s="70"/>
    </row>
    <row r="175" ht="16.5" customHeight="1">
      <c r="A175" s="48" t="str">
        <f t="shared" ref="A175:E175" si="224">A122</f>
        <v>MMK</v>
      </c>
      <c r="B175" s="48" t="str">
        <f t="shared" si="224"/>
        <v>K</v>
      </c>
      <c r="C175" s="48" t="str">
        <f t="shared" si="224"/>
        <v>緬甸元(K)</v>
      </c>
      <c r="D175" s="48">
        <f t="shared" si="224"/>
        <v>1000</v>
      </c>
      <c r="E175" s="64">
        <f t="shared" si="224"/>
        <v>0.002</v>
      </c>
      <c r="F175" s="65">
        <f t="shared" ref="F175:Y175" si="225">F122*2</f>
        <v>0.6</v>
      </c>
      <c r="G175" s="65">
        <f t="shared" si="225"/>
        <v>1.2</v>
      </c>
      <c r="H175" s="65">
        <f t="shared" si="225"/>
        <v>3</v>
      </c>
      <c r="I175" s="65">
        <f t="shared" si="225"/>
        <v>6</v>
      </c>
      <c r="J175" s="65">
        <f t="shared" si="225"/>
        <v>7.2</v>
      </c>
      <c r="K175" s="65">
        <f t="shared" si="225"/>
        <v>9</v>
      </c>
      <c r="L175" s="65">
        <f t="shared" si="225"/>
        <v>12</v>
      </c>
      <c r="M175" s="65">
        <f t="shared" si="225"/>
        <v>15</v>
      </c>
      <c r="N175" s="65">
        <f t="shared" si="225"/>
        <v>18</v>
      </c>
      <c r="O175" s="65">
        <f t="shared" si="225"/>
        <v>21</v>
      </c>
      <c r="P175" s="65">
        <f t="shared" si="225"/>
        <v>24</v>
      </c>
      <c r="Q175" s="65">
        <f t="shared" si="225"/>
        <v>27</v>
      </c>
      <c r="R175" s="65">
        <f t="shared" si="225"/>
        <v>30</v>
      </c>
      <c r="S175" s="65">
        <f t="shared" si="225"/>
        <v>36</v>
      </c>
      <c r="T175" s="65">
        <f t="shared" si="225"/>
        <v>42</v>
      </c>
      <c r="U175" s="65">
        <f t="shared" si="225"/>
        <v>48</v>
      </c>
      <c r="V175" s="65">
        <f t="shared" si="225"/>
        <v>60</v>
      </c>
      <c r="W175" s="65">
        <f t="shared" si="225"/>
        <v>90</v>
      </c>
      <c r="X175" s="65">
        <f t="shared" si="225"/>
        <v>120</v>
      </c>
      <c r="Y175" s="65">
        <f t="shared" si="225"/>
        <v>180</v>
      </c>
      <c r="Z175" s="70"/>
    </row>
    <row r="176" ht="16.5" customHeight="1">
      <c r="A176" s="48" t="str">
        <f t="shared" ref="A176:E176" si="226">A123</f>
        <v>MMH</v>
      </c>
      <c r="B176" s="48" t="str">
        <f t="shared" si="226"/>
        <v>K</v>
      </c>
      <c r="C176" s="48" t="str">
        <f t="shared" si="226"/>
        <v>緬甸元(H)</v>
      </c>
      <c r="D176" s="48">
        <f t="shared" si="226"/>
        <v>100</v>
      </c>
      <c r="E176" s="64">
        <f t="shared" si="226"/>
        <v>0.004</v>
      </c>
      <c r="F176" s="65">
        <f t="shared" ref="F176:Y176" si="227">F123*2</f>
        <v>1.2</v>
      </c>
      <c r="G176" s="65">
        <f t="shared" si="227"/>
        <v>2.4</v>
      </c>
      <c r="H176" s="65">
        <f t="shared" si="227"/>
        <v>6</v>
      </c>
      <c r="I176" s="65">
        <f t="shared" si="227"/>
        <v>12</v>
      </c>
      <c r="J176" s="65">
        <f t="shared" si="227"/>
        <v>14.4</v>
      </c>
      <c r="K176" s="65">
        <f t="shared" si="227"/>
        <v>18</v>
      </c>
      <c r="L176" s="65">
        <f t="shared" si="227"/>
        <v>24</v>
      </c>
      <c r="M176" s="65">
        <f t="shared" si="227"/>
        <v>30</v>
      </c>
      <c r="N176" s="65">
        <f t="shared" si="227"/>
        <v>36</v>
      </c>
      <c r="O176" s="65">
        <f t="shared" si="227"/>
        <v>48</v>
      </c>
      <c r="P176" s="65">
        <f t="shared" si="227"/>
        <v>60</v>
      </c>
      <c r="Q176" s="65">
        <f t="shared" si="227"/>
        <v>72</v>
      </c>
      <c r="R176" s="65">
        <f t="shared" si="227"/>
        <v>96</v>
      </c>
      <c r="S176" s="65">
        <f t="shared" si="227"/>
        <v>120</v>
      </c>
      <c r="T176" s="65">
        <f t="shared" si="227"/>
        <v>180</v>
      </c>
      <c r="U176" s="65">
        <f t="shared" si="227"/>
        <v>240</v>
      </c>
      <c r="V176" s="65">
        <f t="shared" si="227"/>
        <v>360</v>
      </c>
      <c r="W176" s="65">
        <f t="shared" si="227"/>
        <v>600</v>
      </c>
      <c r="X176" s="65">
        <f t="shared" si="227"/>
        <v>1200</v>
      </c>
      <c r="Y176" s="65">
        <f t="shared" si="227"/>
        <v>1800</v>
      </c>
      <c r="Z176" s="70"/>
    </row>
    <row r="177" ht="16.5" customHeight="1">
      <c r="A177" s="48" t="str">
        <f t="shared" ref="A177:E177" si="228">A124</f>
        <v>PHP</v>
      </c>
      <c r="B177" s="48" t="str">
        <f t="shared" si="228"/>
        <v>₱</v>
      </c>
      <c r="C177" s="48" t="str">
        <f t="shared" si="228"/>
        <v>菲律賓披索</v>
      </c>
      <c r="D177" s="48" t="str">
        <f t="shared" si="228"/>
        <v/>
      </c>
      <c r="E177" s="64">
        <f t="shared" si="228"/>
        <v>0.002</v>
      </c>
      <c r="F177" s="65">
        <f t="shared" ref="F177:Y177" si="229">F124*2</f>
        <v>3</v>
      </c>
      <c r="G177" s="65">
        <f t="shared" si="229"/>
        <v>6</v>
      </c>
      <c r="H177" s="65">
        <f t="shared" si="229"/>
        <v>9</v>
      </c>
      <c r="I177" s="65">
        <f t="shared" si="229"/>
        <v>12</v>
      </c>
      <c r="J177" s="65">
        <f t="shared" si="229"/>
        <v>15</v>
      </c>
      <c r="K177" s="65">
        <f t="shared" si="229"/>
        <v>18</v>
      </c>
      <c r="L177" s="65">
        <f t="shared" si="229"/>
        <v>24</v>
      </c>
      <c r="M177" s="65">
        <f t="shared" si="229"/>
        <v>30</v>
      </c>
      <c r="N177" s="65">
        <f t="shared" si="229"/>
        <v>36</v>
      </c>
      <c r="O177" s="65">
        <f t="shared" si="229"/>
        <v>48</v>
      </c>
      <c r="P177" s="65">
        <f t="shared" si="229"/>
        <v>60</v>
      </c>
      <c r="Q177" s="65">
        <f t="shared" si="229"/>
        <v>90</v>
      </c>
      <c r="R177" s="65">
        <f t="shared" si="229"/>
        <v>120</v>
      </c>
      <c r="S177" s="65">
        <f t="shared" si="229"/>
        <v>180</v>
      </c>
      <c r="T177" s="65">
        <f t="shared" si="229"/>
        <v>300</v>
      </c>
      <c r="U177" s="65">
        <f t="shared" si="229"/>
        <v>600</v>
      </c>
      <c r="V177" s="65">
        <f t="shared" si="229"/>
        <v>900</v>
      </c>
      <c r="W177" s="65">
        <f t="shared" si="229"/>
        <v>1800</v>
      </c>
      <c r="X177" s="65">
        <f t="shared" si="229"/>
        <v>3000</v>
      </c>
      <c r="Y177" s="65">
        <f t="shared" si="229"/>
        <v>4500</v>
      </c>
      <c r="Z177" s="70"/>
    </row>
    <row r="178" ht="16.5" customHeight="1">
      <c r="A178" s="48" t="str">
        <f t="shared" ref="A178:E178" si="230">A125</f>
        <v>CNY</v>
      </c>
      <c r="B178" s="48" t="str">
        <f t="shared" si="230"/>
        <v>￥</v>
      </c>
      <c r="C178" s="48" t="str">
        <f t="shared" si="230"/>
        <v>人民幣</v>
      </c>
      <c r="D178" s="48" t="str">
        <f t="shared" si="230"/>
        <v/>
      </c>
      <c r="E178" s="64">
        <f t="shared" si="230"/>
        <v>0.002</v>
      </c>
      <c r="F178" s="65">
        <f t="shared" ref="F178:Y178" si="231">F125*2</f>
        <v>0.6</v>
      </c>
      <c r="G178" s="65">
        <f t="shared" si="231"/>
        <v>1.2</v>
      </c>
      <c r="H178" s="65">
        <f t="shared" si="231"/>
        <v>3</v>
      </c>
      <c r="I178" s="65">
        <f t="shared" si="231"/>
        <v>6</v>
      </c>
      <c r="J178" s="65">
        <f t="shared" si="231"/>
        <v>7.2</v>
      </c>
      <c r="K178" s="65">
        <f t="shared" si="231"/>
        <v>9</v>
      </c>
      <c r="L178" s="65">
        <f t="shared" si="231"/>
        <v>12</v>
      </c>
      <c r="M178" s="65">
        <f t="shared" si="231"/>
        <v>15</v>
      </c>
      <c r="N178" s="65">
        <f t="shared" si="231"/>
        <v>18</v>
      </c>
      <c r="O178" s="65">
        <f t="shared" si="231"/>
        <v>24</v>
      </c>
      <c r="P178" s="65">
        <f t="shared" si="231"/>
        <v>30</v>
      </c>
      <c r="Q178" s="65">
        <f t="shared" si="231"/>
        <v>36</v>
      </c>
      <c r="R178" s="65">
        <f t="shared" si="231"/>
        <v>48</v>
      </c>
      <c r="S178" s="65">
        <f t="shared" si="231"/>
        <v>60</v>
      </c>
      <c r="T178" s="65">
        <f t="shared" si="231"/>
        <v>90</v>
      </c>
      <c r="U178" s="65">
        <f t="shared" si="231"/>
        <v>120</v>
      </c>
      <c r="V178" s="65">
        <f t="shared" si="231"/>
        <v>180</v>
      </c>
      <c r="W178" s="65">
        <f t="shared" si="231"/>
        <v>300</v>
      </c>
      <c r="X178" s="65">
        <f t="shared" si="231"/>
        <v>600</v>
      </c>
      <c r="Y178" s="65">
        <f t="shared" si="231"/>
        <v>900</v>
      </c>
      <c r="Z178" s="70"/>
    </row>
    <row r="179" ht="16.5" customHeight="1">
      <c r="A179" s="48" t="str">
        <f t="shared" ref="A179:E179" si="232">A126</f>
        <v>MXN</v>
      </c>
      <c r="B179" s="48" t="str">
        <f t="shared" si="232"/>
        <v>Mex$</v>
      </c>
      <c r="C179" s="48" t="str">
        <f t="shared" si="232"/>
        <v>墨⻄哥披索</v>
      </c>
      <c r="D179" s="48" t="str">
        <f t="shared" si="232"/>
        <v/>
      </c>
      <c r="E179" s="64">
        <f t="shared" si="232"/>
        <v>0.002</v>
      </c>
      <c r="F179" s="65">
        <f t="shared" ref="F179:Y179" si="233">F126*2</f>
        <v>1.2</v>
      </c>
      <c r="G179" s="65">
        <f t="shared" si="233"/>
        <v>3</v>
      </c>
      <c r="H179" s="65">
        <f t="shared" si="233"/>
        <v>6</v>
      </c>
      <c r="I179" s="65">
        <f t="shared" si="233"/>
        <v>7.2</v>
      </c>
      <c r="J179" s="65">
        <f t="shared" si="233"/>
        <v>9</v>
      </c>
      <c r="K179" s="65">
        <f t="shared" si="233"/>
        <v>12</v>
      </c>
      <c r="L179" s="65">
        <f t="shared" si="233"/>
        <v>15</v>
      </c>
      <c r="M179" s="65">
        <f t="shared" si="233"/>
        <v>18</v>
      </c>
      <c r="N179" s="65">
        <f t="shared" si="233"/>
        <v>24</v>
      </c>
      <c r="O179" s="65">
        <f t="shared" si="233"/>
        <v>30</v>
      </c>
      <c r="P179" s="65">
        <f t="shared" si="233"/>
        <v>36</v>
      </c>
      <c r="Q179" s="65">
        <f t="shared" si="233"/>
        <v>48</v>
      </c>
      <c r="R179" s="65">
        <f t="shared" si="233"/>
        <v>60</v>
      </c>
      <c r="S179" s="65">
        <f t="shared" si="233"/>
        <v>90</v>
      </c>
      <c r="T179" s="65">
        <f t="shared" si="233"/>
        <v>120</v>
      </c>
      <c r="U179" s="65">
        <f t="shared" si="233"/>
        <v>180</v>
      </c>
      <c r="V179" s="65">
        <f t="shared" si="233"/>
        <v>300</v>
      </c>
      <c r="W179" s="65">
        <f t="shared" si="233"/>
        <v>600</v>
      </c>
      <c r="X179" s="65">
        <f t="shared" si="233"/>
        <v>900</v>
      </c>
      <c r="Y179" s="65">
        <f t="shared" si="233"/>
        <v>1800</v>
      </c>
      <c r="Z179" s="70"/>
    </row>
    <row r="180" ht="16.5" customHeight="1">
      <c r="A180" s="48" t="str">
        <f t="shared" ref="A180:E180" si="234">A127</f>
        <v>BRL</v>
      </c>
      <c r="B180" s="48" t="str">
        <f t="shared" si="234"/>
        <v>R$</v>
      </c>
      <c r="C180" s="48" t="str">
        <f t="shared" si="234"/>
        <v>巴西雷亞爾</v>
      </c>
      <c r="D180" s="48" t="str">
        <f t="shared" si="234"/>
        <v/>
      </c>
      <c r="E180" s="64">
        <f t="shared" si="234"/>
        <v>0.002</v>
      </c>
      <c r="F180" s="65">
        <f t="shared" ref="F180:Y180" si="235">F127*2</f>
        <v>0.6</v>
      </c>
      <c r="G180" s="65">
        <f t="shared" si="235"/>
        <v>1.2</v>
      </c>
      <c r="H180" s="65">
        <f t="shared" si="235"/>
        <v>3</v>
      </c>
      <c r="I180" s="65">
        <f t="shared" si="235"/>
        <v>6</v>
      </c>
      <c r="J180" s="65">
        <f t="shared" si="235"/>
        <v>7.2</v>
      </c>
      <c r="K180" s="65">
        <f t="shared" si="235"/>
        <v>9</v>
      </c>
      <c r="L180" s="65">
        <f t="shared" si="235"/>
        <v>12</v>
      </c>
      <c r="M180" s="65">
        <f t="shared" si="235"/>
        <v>15</v>
      </c>
      <c r="N180" s="65">
        <f t="shared" si="235"/>
        <v>18</v>
      </c>
      <c r="O180" s="65">
        <f t="shared" si="235"/>
        <v>21</v>
      </c>
      <c r="P180" s="65">
        <f t="shared" si="235"/>
        <v>24</v>
      </c>
      <c r="Q180" s="65">
        <f t="shared" si="235"/>
        <v>30</v>
      </c>
      <c r="R180" s="65">
        <f t="shared" si="235"/>
        <v>36</v>
      </c>
      <c r="S180" s="65">
        <f t="shared" si="235"/>
        <v>48</v>
      </c>
      <c r="T180" s="65">
        <f t="shared" si="235"/>
        <v>60</v>
      </c>
      <c r="U180" s="65">
        <f t="shared" si="235"/>
        <v>90</v>
      </c>
      <c r="V180" s="65">
        <f t="shared" si="235"/>
        <v>120</v>
      </c>
      <c r="W180" s="65">
        <f t="shared" si="235"/>
        <v>180</v>
      </c>
      <c r="X180" s="65">
        <f t="shared" si="235"/>
        <v>300</v>
      </c>
      <c r="Y180" s="65">
        <f t="shared" si="235"/>
        <v>600</v>
      </c>
      <c r="Z180" s="70"/>
    </row>
    <row r="181" ht="16.5" customHeight="1">
      <c r="A181" s="48" t="str">
        <f t="shared" ref="A181:E181" si="236">A128</f>
        <v>AUD</v>
      </c>
      <c r="B181" s="48" t="str">
        <f t="shared" si="236"/>
        <v>A$</v>
      </c>
      <c r="C181" s="48" t="str">
        <f t="shared" si="236"/>
        <v>澳洲元</v>
      </c>
      <c r="D181" s="48" t="str">
        <f t="shared" si="236"/>
        <v/>
      </c>
      <c r="E181" s="64">
        <f t="shared" si="236"/>
        <v>0.002</v>
      </c>
      <c r="F181" s="65">
        <f t="shared" ref="F181:Y181" si="237">F128*2</f>
        <v>0.6</v>
      </c>
      <c r="G181" s="65">
        <f t="shared" si="237"/>
        <v>1.2</v>
      </c>
      <c r="H181" s="65">
        <f t="shared" si="237"/>
        <v>3</v>
      </c>
      <c r="I181" s="65">
        <f t="shared" si="237"/>
        <v>6</v>
      </c>
      <c r="J181" s="65">
        <f t="shared" si="237"/>
        <v>7.2</v>
      </c>
      <c r="K181" s="65">
        <f t="shared" si="237"/>
        <v>9</v>
      </c>
      <c r="L181" s="65">
        <f t="shared" si="237"/>
        <v>12</v>
      </c>
      <c r="M181" s="65">
        <f t="shared" si="237"/>
        <v>15</v>
      </c>
      <c r="N181" s="65">
        <f t="shared" si="237"/>
        <v>18</v>
      </c>
      <c r="O181" s="65">
        <f t="shared" si="237"/>
        <v>21</v>
      </c>
      <c r="P181" s="65">
        <f t="shared" si="237"/>
        <v>24</v>
      </c>
      <c r="Q181" s="65">
        <f t="shared" si="237"/>
        <v>27</v>
      </c>
      <c r="R181" s="65">
        <f t="shared" si="237"/>
        <v>30</v>
      </c>
      <c r="S181" s="65">
        <f t="shared" si="237"/>
        <v>36</v>
      </c>
      <c r="T181" s="65">
        <f t="shared" si="237"/>
        <v>42</v>
      </c>
      <c r="U181" s="65">
        <f t="shared" si="237"/>
        <v>48</v>
      </c>
      <c r="V181" s="65">
        <f t="shared" si="237"/>
        <v>60</v>
      </c>
      <c r="W181" s="65">
        <f t="shared" si="237"/>
        <v>90</v>
      </c>
      <c r="X181" s="65">
        <f t="shared" si="237"/>
        <v>120</v>
      </c>
      <c r="Y181" s="65">
        <f t="shared" si="237"/>
        <v>180</v>
      </c>
      <c r="Z181" s="70"/>
    </row>
    <row r="182" ht="16.5" customHeight="1">
      <c r="A182" s="48" t="str">
        <f t="shared" ref="A182:E182" si="238">A129</f>
        <v>JPY</v>
      </c>
      <c r="B182" s="48" t="str">
        <f t="shared" si="238"/>
        <v>￥</v>
      </c>
      <c r="C182" s="48" t="str">
        <f t="shared" si="238"/>
        <v>日圓</v>
      </c>
      <c r="D182" s="48" t="str">
        <f t="shared" si="238"/>
        <v/>
      </c>
      <c r="E182" s="64">
        <f t="shared" si="238"/>
        <v>0.004</v>
      </c>
      <c r="F182" s="65">
        <f t="shared" ref="F182:Y182" si="239">F129*2</f>
        <v>12</v>
      </c>
      <c r="G182" s="65">
        <f t="shared" si="239"/>
        <v>18</v>
      </c>
      <c r="H182" s="65">
        <f t="shared" si="239"/>
        <v>24</v>
      </c>
      <c r="I182" s="65">
        <f t="shared" si="239"/>
        <v>36</v>
      </c>
      <c r="J182" s="65">
        <f t="shared" si="239"/>
        <v>48</v>
      </c>
      <c r="K182" s="65">
        <f t="shared" si="239"/>
        <v>60</v>
      </c>
      <c r="L182" s="65">
        <f t="shared" si="239"/>
        <v>72</v>
      </c>
      <c r="M182" s="65">
        <f t="shared" si="239"/>
        <v>96</v>
      </c>
      <c r="N182" s="65">
        <f t="shared" si="239"/>
        <v>120</v>
      </c>
      <c r="O182" s="65">
        <f t="shared" si="239"/>
        <v>180</v>
      </c>
      <c r="P182" s="65">
        <f t="shared" si="239"/>
        <v>240</v>
      </c>
      <c r="Q182" s="65">
        <f t="shared" si="239"/>
        <v>360</v>
      </c>
      <c r="R182" s="65">
        <f t="shared" si="239"/>
        <v>600</v>
      </c>
      <c r="S182" s="65">
        <f t="shared" si="239"/>
        <v>1200</v>
      </c>
      <c r="T182" s="65">
        <f t="shared" si="239"/>
        <v>1800</v>
      </c>
      <c r="U182" s="65">
        <f t="shared" si="239"/>
        <v>3600</v>
      </c>
      <c r="V182" s="65">
        <f t="shared" si="239"/>
        <v>6000</v>
      </c>
      <c r="W182" s="65">
        <f t="shared" si="239"/>
        <v>9000</v>
      </c>
      <c r="X182" s="65">
        <f t="shared" si="239"/>
        <v>12000</v>
      </c>
      <c r="Y182" s="65">
        <f t="shared" si="239"/>
        <v>18000</v>
      </c>
      <c r="Z182" s="70"/>
    </row>
    <row r="183" ht="16.5" customHeight="1">
      <c r="A183" s="48" t="str">
        <f t="shared" ref="A183:E183" si="240">A130</f>
        <v>KRW</v>
      </c>
      <c r="B183" s="48" t="str">
        <f t="shared" si="240"/>
        <v>₩</v>
      </c>
      <c r="C183" s="48" t="str">
        <f t="shared" si="240"/>
        <v>韓圓</v>
      </c>
      <c r="D183" s="48" t="str">
        <f t="shared" si="240"/>
        <v/>
      </c>
      <c r="E183" s="64">
        <f t="shared" si="240"/>
        <v>0.02</v>
      </c>
      <c r="F183" s="65">
        <f t="shared" ref="F183:Y183" si="241">F130*2</f>
        <v>120</v>
      </c>
      <c r="G183" s="65">
        <f t="shared" si="241"/>
        <v>180</v>
      </c>
      <c r="H183" s="65">
        <f t="shared" si="241"/>
        <v>240</v>
      </c>
      <c r="I183" s="65">
        <f t="shared" si="241"/>
        <v>360</v>
      </c>
      <c r="J183" s="65">
        <f t="shared" si="241"/>
        <v>420</v>
      </c>
      <c r="K183" s="65">
        <f t="shared" si="241"/>
        <v>480</v>
      </c>
      <c r="L183" s="65">
        <f t="shared" si="241"/>
        <v>540</v>
      </c>
      <c r="M183" s="65">
        <f t="shared" si="241"/>
        <v>600</v>
      </c>
      <c r="N183" s="65">
        <f t="shared" si="241"/>
        <v>900</v>
      </c>
      <c r="O183" s="65">
        <f t="shared" si="241"/>
        <v>1200</v>
      </c>
      <c r="P183" s="65">
        <f t="shared" si="241"/>
        <v>1800</v>
      </c>
      <c r="Q183" s="65">
        <f t="shared" si="241"/>
        <v>3000</v>
      </c>
      <c r="R183" s="65">
        <f t="shared" si="241"/>
        <v>6000</v>
      </c>
      <c r="S183" s="65">
        <f t="shared" si="241"/>
        <v>9000</v>
      </c>
      <c r="T183" s="65">
        <f t="shared" si="241"/>
        <v>18000</v>
      </c>
      <c r="U183" s="65">
        <f t="shared" si="241"/>
        <v>30000</v>
      </c>
      <c r="V183" s="65">
        <f t="shared" si="241"/>
        <v>45000</v>
      </c>
      <c r="W183" s="65">
        <f t="shared" si="241"/>
        <v>60000</v>
      </c>
      <c r="X183" s="65">
        <f t="shared" si="241"/>
        <v>90000</v>
      </c>
      <c r="Y183" s="65">
        <f t="shared" si="241"/>
        <v>150000</v>
      </c>
      <c r="Z183" s="70"/>
    </row>
    <row r="184" ht="16.5" customHeight="1">
      <c r="A184" s="48" t="str">
        <f t="shared" ref="A184:E184" si="242">A131</f>
        <v>CLP</v>
      </c>
      <c r="B184" s="48" t="str">
        <f t="shared" si="242"/>
        <v>$</v>
      </c>
      <c r="C184" s="48" t="str">
        <f t="shared" si="242"/>
        <v>智利披索</v>
      </c>
      <c r="D184" s="48" t="str">
        <f t="shared" si="242"/>
        <v/>
      </c>
      <c r="E184" s="64">
        <f t="shared" si="242"/>
        <v>0.03</v>
      </c>
      <c r="F184" s="65">
        <f t="shared" ref="F184:Y184" si="243">F131*2</f>
        <v>45</v>
      </c>
      <c r="G184" s="65">
        <f t="shared" si="243"/>
        <v>90</v>
      </c>
      <c r="H184" s="65">
        <f t="shared" si="243"/>
        <v>135</v>
      </c>
      <c r="I184" s="65">
        <f t="shared" si="243"/>
        <v>180</v>
      </c>
      <c r="J184" s="65">
        <f t="shared" si="243"/>
        <v>270</v>
      </c>
      <c r="K184" s="65">
        <f t="shared" si="243"/>
        <v>360</v>
      </c>
      <c r="L184" s="65">
        <f t="shared" si="243"/>
        <v>450</v>
      </c>
      <c r="M184" s="65">
        <f t="shared" si="243"/>
        <v>540</v>
      </c>
      <c r="N184" s="65">
        <f t="shared" si="243"/>
        <v>720</v>
      </c>
      <c r="O184" s="65">
        <f t="shared" si="243"/>
        <v>900</v>
      </c>
      <c r="P184" s="65">
        <f t="shared" si="243"/>
        <v>1350</v>
      </c>
      <c r="Q184" s="65">
        <f t="shared" si="243"/>
        <v>1800</v>
      </c>
      <c r="R184" s="65">
        <f t="shared" si="243"/>
        <v>2700</v>
      </c>
      <c r="S184" s="65">
        <f t="shared" si="243"/>
        <v>4500</v>
      </c>
      <c r="T184" s="65">
        <f t="shared" si="243"/>
        <v>9000</v>
      </c>
      <c r="U184" s="65">
        <f t="shared" si="243"/>
        <v>13500</v>
      </c>
      <c r="V184" s="65">
        <f t="shared" si="243"/>
        <v>27000</v>
      </c>
      <c r="W184" s="65">
        <f t="shared" si="243"/>
        <v>45000</v>
      </c>
      <c r="X184" s="65">
        <f t="shared" si="243"/>
        <v>67500</v>
      </c>
      <c r="Y184" s="65">
        <f t="shared" si="243"/>
        <v>90000</v>
      </c>
      <c r="Z184" s="70"/>
    </row>
    <row r="185" ht="16.5" customHeight="1">
      <c r="A185" s="48" t="str">
        <f t="shared" ref="A185:E185" si="244">A132</f>
        <v>MMKO</v>
      </c>
      <c r="B185" s="48" t="str">
        <f t="shared" si="244"/>
        <v>K</v>
      </c>
      <c r="C185" s="48" t="str">
        <f t="shared" si="244"/>
        <v>緬甸元</v>
      </c>
      <c r="D185" s="48" t="str">
        <f t="shared" si="244"/>
        <v/>
      </c>
      <c r="E185" s="64">
        <f t="shared" si="244"/>
        <v>0.05</v>
      </c>
      <c r="F185" s="65">
        <f t="shared" ref="F185:Y185" si="245">F132*2</f>
        <v>150</v>
      </c>
      <c r="G185" s="65">
        <f t="shared" si="245"/>
        <v>225</v>
      </c>
      <c r="H185" s="65">
        <f t="shared" si="245"/>
        <v>300</v>
      </c>
      <c r="I185" s="65">
        <f t="shared" si="245"/>
        <v>450</v>
      </c>
      <c r="J185" s="65">
        <f t="shared" si="245"/>
        <v>600</v>
      </c>
      <c r="K185" s="65">
        <f t="shared" si="245"/>
        <v>750</v>
      </c>
      <c r="L185" s="65">
        <f t="shared" si="245"/>
        <v>900</v>
      </c>
      <c r="M185" s="65">
        <f t="shared" si="245"/>
        <v>1200</v>
      </c>
      <c r="N185" s="65">
        <f t="shared" si="245"/>
        <v>1500</v>
      </c>
      <c r="O185" s="65">
        <f t="shared" si="245"/>
        <v>2250</v>
      </c>
      <c r="P185" s="65">
        <f t="shared" si="245"/>
        <v>3000</v>
      </c>
      <c r="Q185" s="65">
        <f t="shared" si="245"/>
        <v>4500</v>
      </c>
      <c r="R185" s="65">
        <f t="shared" si="245"/>
        <v>7500</v>
      </c>
      <c r="S185" s="65">
        <f t="shared" si="245"/>
        <v>15000</v>
      </c>
      <c r="T185" s="65">
        <f t="shared" si="245"/>
        <v>22500</v>
      </c>
      <c r="U185" s="65">
        <f t="shared" si="245"/>
        <v>45000</v>
      </c>
      <c r="V185" s="65">
        <f t="shared" si="245"/>
        <v>75000</v>
      </c>
      <c r="W185" s="65">
        <f t="shared" si="245"/>
        <v>112500</v>
      </c>
      <c r="X185" s="65">
        <f t="shared" si="245"/>
        <v>150000</v>
      </c>
      <c r="Y185" s="65">
        <f t="shared" si="245"/>
        <v>225000</v>
      </c>
      <c r="Z185" s="70"/>
    </row>
    <row r="186" ht="16.5" customHeight="1">
      <c r="A186" s="48" t="str">
        <f t="shared" ref="A186:E186" si="246">A133</f>
        <v>IDRO</v>
      </c>
      <c r="B186" s="48" t="str">
        <f t="shared" si="246"/>
        <v>Rp</v>
      </c>
      <c r="C186" s="48" t="str">
        <f t="shared" si="246"/>
        <v>印尼盧比</v>
      </c>
      <c r="D186" s="48" t="str">
        <f t="shared" si="246"/>
        <v/>
      </c>
      <c r="E186" s="64">
        <f t="shared" si="246"/>
        <v>0.5</v>
      </c>
      <c r="F186" s="65">
        <f t="shared" ref="F186:Y186" si="247">F133*2</f>
        <v>300</v>
      </c>
      <c r="G186" s="65">
        <f t="shared" si="247"/>
        <v>1500</v>
      </c>
      <c r="H186" s="65">
        <f t="shared" si="247"/>
        <v>2250</v>
      </c>
      <c r="I186" s="65">
        <f t="shared" si="247"/>
        <v>3000</v>
      </c>
      <c r="J186" s="65">
        <f t="shared" si="247"/>
        <v>4500</v>
      </c>
      <c r="K186" s="65">
        <f t="shared" si="247"/>
        <v>6000</v>
      </c>
      <c r="L186" s="65">
        <f t="shared" si="247"/>
        <v>7500</v>
      </c>
      <c r="M186" s="65">
        <f t="shared" si="247"/>
        <v>9000</v>
      </c>
      <c r="N186" s="65">
        <f t="shared" si="247"/>
        <v>12000</v>
      </c>
      <c r="O186" s="65">
        <f t="shared" si="247"/>
        <v>15000</v>
      </c>
      <c r="P186" s="65">
        <f t="shared" si="247"/>
        <v>22500</v>
      </c>
      <c r="Q186" s="65">
        <f t="shared" si="247"/>
        <v>30000</v>
      </c>
      <c r="R186" s="65">
        <f t="shared" si="247"/>
        <v>45000</v>
      </c>
      <c r="S186" s="65">
        <f t="shared" si="247"/>
        <v>75000</v>
      </c>
      <c r="T186" s="65">
        <f t="shared" si="247"/>
        <v>150000</v>
      </c>
      <c r="U186" s="65">
        <f t="shared" si="247"/>
        <v>225000</v>
      </c>
      <c r="V186" s="65">
        <f t="shared" si="247"/>
        <v>450000</v>
      </c>
      <c r="W186" s="65">
        <f t="shared" si="247"/>
        <v>750000</v>
      </c>
      <c r="X186" s="65">
        <f t="shared" si="247"/>
        <v>1125000</v>
      </c>
      <c r="Y186" s="65">
        <f t="shared" si="247"/>
        <v>1500000</v>
      </c>
      <c r="Z186" s="70"/>
    </row>
    <row r="187" ht="16.5" customHeight="1">
      <c r="A187" s="48" t="str">
        <f t="shared" ref="A187:E187" si="248">A134</f>
        <v>RUB</v>
      </c>
      <c r="B187" s="48" t="str">
        <f t="shared" si="248"/>
        <v>₽</v>
      </c>
      <c r="C187" s="48" t="str">
        <f t="shared" si="248"/>
        <v>盧布</v>
      </c>
      <c r="D187" s="48" t="str">
        <f t="shared" si="248"/>
        <v/>
      </c>
      <c r="E187" s="64">
        <f t="shared" si="248"/>
        <v>0.002</v>
      </c>
      <c r="F187" s="65">
        <f t="shared" ref="F187:Y187" si="249">F134*2</f>
        <v>6</v>
      </c>
      <c r="G187" s="65">
        <f t="shared" si="249"/>
        <v>9</v>
      </c>
      <c r="H187" s="65">
        <f t="shared" si="249"/>
        <v>12</v>
      </c>
      <c r="I187" s="65">
        <f t="shared" si="249"/>
        <v>18</v>
      </c>
      <c r="J187" s="65">
        <f t="shared" si="249"/>
        <v>24</v>
      </c>
      <c r="K187" s="65">
        <f t="shared" si="249"/>
        <v>30</v>
      </c>
      <c r="L187" s="65">
        <f t="shared" si="249"/>
        <v>36</v>
      </c>
      <c r="M187" s="65">
        <f t="shared" si="249"/>
        <v>48</v>
      </c>
      <c r="N187" s="65">
        <f t="shared" si="249"/>
        <v>60</v>
      </c>
      <c r="O187" s="65">
        <f t="shared" si="249"/>
        <v>90</v>
      </c>
      <c r="P187" s="65">
        <f t="shared" si="249"/>
        <v>120</v>
      </c>
      <c r="Q187" s="65">
        <f t="shared" si="249"/>
        <v>180</v>
      </c>
      <c r="R187" s="65">
        <f t="shared" si="249"/>
        <v>300</v>
      </c>
      <c r="S187" s="65">
        <f t="shared" si="249"/>
        <v>600</v>
      </c>
      <c r="T187" s="65">
        <f t="shared" si="249"/>
        <v>900</v>
      </c>
      <c r="U187" s="65">
        <f t="shared" si="249"/>
        <v>1800</v>
      </c>
      <c r="V187" s="65">
        <f t="shared" si="249"/>
        <v>3000</v>
      </c>
      <c r="W187" s="65">
        <f t="shared" si="249"/>
        <v>4500</v>
      </c>
      <c r="X187" s="65">
        <f t="shared" si="249"/>
        <v>6000</v>
      </c>
      <c r="Y187" s="65">
        <f t="shared" si="249"/>
        <v>9000</v>
      </c>
      <c r="Z187" s="70"/>
    </row>
    <row r="188" ht="16.5" customHeight="1">
      <c r="A188" s="48" t="str">
        <f t="shared" ref="A188:E188" si="250">A135</f>
        <v>LKR</v>
      </c>
      <c r="B188" s="48" t="str">
        <f t="shared" si="250"/>
        <v>₨</v>
      </c>
      <c r="C188" s="48" t="str">
        <f t="shared" si="250"/>
        <v>斯里蘭卡盧比</v>
      </c>
      <c r="D188" s="48" t="str">
        <f t="shared" si="250"/>
        <v/>
      </c>
      <c r="E188" s="64">
        <f t="shared" si="250"/>
        <v>0.01</v>
      </c>
      <c r="F188" s="65">
        <f t="shared" ref="F188:Y188" si="251">F135*2</f>
        <v>15</v>
      </c>
      <c r="G188" s="65">
        <f t="shared" si="251"/>
        <v>30</v>
      </c>
      <c r="H188" s="65">
        <f t="shared" si="251"/>
        <v>45</v>
      </c>
      <c r="I188" s="65">
        <f t="shared" si="251"/>
        <v>60</v>
      </c>
      <c r="J188" s="65">
        <f t="shared" si="251"/>
        <v>90</v>
      </c>
      <c r="K188" s="65">
        <f t="shared" si="251"/>
        <v>120</v>
      </c>
      <c r="L188" s="65">
        <f t="shared" si="251"/>
        <v>150</v>
      </c>
      <c r="M188" s="65">
        <f t="shared" si="251"/>
        <v>180</v>
      </c>
      <c r="N188" s="65">
        <f t="shared" si="251"/>
        <v>240</v>
      </c>
      <c r="O188" s="65">
        <f t="shared" si="251"/>
        <v>300</v>
      </c>
      <c r="P188" s="65">
        <f t="shared" si="251"/>
        <v>450</v>
      </c>
      <c r="Q188" s="65">
        <f t="shared" si="251"/>
        <v>600</v>
      </c>
      <c r="R188" s="65">
        <f t="shared" si="251"/>
        <v>900</v>
      </c>
      <c r="S188" s="65">
        <f t="shared" si="251"/>
        <v>1500</v>
      </c>
      <c r="T188" s="65">
        <f t="shared" si="251"/>
        <v>3000</v>
      </c>
      <c r="U188" s="65">
        <f t="shared" si="251"/>
        <v>4500</v>
      </c>
      <c r="V188" s="65">
        <f t="shared" si="251"/>
        <v>9000</v>
      </c>
      <c r="W188" s="65">
        <f t="shared" si="251"/>
        <v>15000</v>
      </c>
      <c r="X188" s="65">
        <f t="shared" si="251"/>
        <v>22500</v>
      </c>
      <c r="Y188" s="65">
        <f t="shared" si="251"/>
        <v>30000</v>
      </c>
      <c r="Z188" s="70"/>
    </row>
    <row r="189" ht="16.5" customHeight="1">
      <c r="A189" s="48" t="str">
        <f t="shared" ref="A189:E189" si="252">A136</f>
        <v>ETB</v>
      </c>
      <c r="B189" s="48" t="str">
        <f t="shared" si="252"/>
        <v>Br‎</v>
      </c>
      <c r="C189" s="48" t="str">
        <f t="shared" si="252"/>
        <v>衣索比亞比爾</v>
      </c>
      <c r="D189" s="48" t="str">
        <f t="shared" si="252"/>
        <v/>
      </c>
      <c r="E189" s="64">
        <f t="shared" si="252"/>
        <v>0.002</v>
      </c>
      <c r="F189" s="65">
        <f t="shared" ref="F189:Y189" si="253">F136*2</f>
        <v>3</v>
      </c>
      <c r="G189" s="65">
        <f t="shared" si="253"/>
        <v>6</v>
      </c>
      <c r="H189" s="65">
        <f t="shared" si="253"/>
        <v>9</v>
      </c>
      <c r="I189" s="65">
        <f t="shared" si="253"/>
        <v>12</v>
      </c>
      <c r="J189" s="65">
        <f t="shared" si="253"/>
        <v>18</v>
      </c>
      <c r="K189" s="65">
        <f t="shared" si="253"/>
        <v>24</v>
      </c>
      <c r="L189" s="65">
        <f t="shared" si="253"/>
        <v>30</v>
      </c>
      <c r="M189" s="65">
        <f t="shared" si="253"/>
        <v>36</v>
      </c>
      <c r="N189" s="65">
        <f t="shared" si="253"/>
        <v>48</v>
      </c>
      <c r="O189" s="65">
        <f t="shared" si="253"/>
        <v>60</v>
      </c>
      <c r="P189" s="65">
        <f t="shared" si="253"/>
        <v>90</v>
      </c>
      <c r="Q189" s="65">
        <f t="shared" si="253"/>
        <v>120</v>
      </c>
      <c r="R189" s="65">
        <f t="shared" si="253"/>
        <v>180</v>
      </c>
      <c r="S189" s="65">
        <f t="shared" si="253"/>
        <v>300</v>
      </c>
      <c r="T189" s="65">
        <f t="shared" si="253"/>
        <v>600</v>
      </c>
      <c r="U189" s="65">
        <f t="shared" si="253"/>
        <v>900</v>
      </c>
      <c r="V189" s="65">
        <f t="shared" si="253"/>
        <v>1800</v>
      </c>
      <c r="W189" s="65">
        <f t="shared" si="253"/>
        <v>3000</v>
      </c>
      <c r="X189" s="65">
        <f t="shared" si="253"/>
        <v>4500</v>
      </c>
      <c r="Y189" s="65">
        <f t="shared" si="253"/>
        <v>6000</v>
      </c>
      <c r="Z189" s="70"/>
    </row>
    <row r="190" ht="16.5" customHeight="1">
      <c r="A190" s="48" t="str">
        <f t="shared" ref="A190:E190" si="254">A137</f>
        <v>UGX</v>
      </c>
      <c r="B190" s="48" t="str">
        <f t="shared" si="254"/>
        <v>USh</v>
      </c>
      <c r="C190" s="48" t="str">
        <f t="shared" si="254"/>
        <v>烏干達先令</v>
      </c>
      <c r="D190" s="48" t="str">
        <f t="shared" si="254"/>
        <v/>
      </c>
      <c r="E190" s="64">
        <f t="shared" si="254"/>
        <v>0.1</v>
      </c>
      <c r="F190" s="65">
        <f t="shared" ref="F190:Y190" si="255">F137*2</f>
        <v>300</v>
      </c>
      <c r="G190" s="65">
        <f t="shared" si="255"/>
        <v>450</v>
      </c>
      <c r="H190" s="65">
        <f t="shared" si="255"/>
        <v>600</v>
      </c>
      <c r="I190" s="65">
        <f t="shared" si="255"/>
        <v>900</v>
      </c>
      <c r="J190" s="65">
        <f t="shared" si="255"/>
        <v>1200</v>
      </c>
      <c r="K190" s="65">
        <f t="shared" si="255"/>
        <v>1500</v>
      </c>
      <c r="L190" s="65">
        <f t="shared" si="255"/>
        <v>1800</v>
      </c>
      <c r="M190" s="65">
        <f t="shared" si="255"/>
        <v>2400</v>
      </c>
      <c r="N190" s="65">
        <f t="shared" si="255"/>
        <v>3000</v>
      </c>
      <c r="O190" s="65">
        <f t="shared" si="255"/>
        <v>4500</v>
      </c>
      <c r="P190" s="65">
        <f t="shared" si="255"/>
        <v>6000</v>
      </c>
      <c r="Q190" s="65">
        <f t="shared" si="255"/>
        <v>9000</v>
      </c>
      <c r="R190" s="65">
        <f t="shared" si="255"/>
        <v>15000</v>
      </c>
      <c r="S190" s="65">
        <f t="shared" si="255"/>
        <v>30000</v>
      </c>
      <c r="T190" s="65">
        <f t="shared" si="255"/>
        <v>45000</v>
      </c>
      <c r="U190" s="65">
        <f t="shared" si="255"/>
        <v>90000</v>
      </c>
      <c r="V190" s="65">
        <f t="shared" si="255"/>
        <v>150000</v>
      </c>
      <c r="W190" s="65">
        <f t="shared" si="255"/>
        <v>225000</v>
      </c>
      <c r="X190" s="65">
        <f t="shared" si="255"/>
        <v>300000</v>
      </c>
      <c r="Y190" s="65">
        <f t="shared" si="255"/>
        <v>450000</v>
      </c>
      <c r="Z190" s="70"/>
    </row>
    <row r="191" ht="16.5" customHeight="1">
      <c r="A191" s="48" t="str">
        <f t="shared" ref="A191:E191" si="256">A138</f>
        <v>EUR</v>
      </c>
      <c r="B191" s="48" t="str">
        <f t="shared" si="256"/>
        <v>€</v>
      </c>
      <c r="C191" s="48" t="str">
        <f t="shared" si="256"/>
        <v>歐元</v>
      </c>
      <c r="D191" s="48" t="str">
        <f t="shared" si="256"/>
        <v/>
      </c>
      <c r="E191" s="64">
        <f t="shared" si="256"/>
        <v>0.002</v>
      </c>
      <c r="F191" s="65">
        <f t="shared" ref="F191:Y191" si="257">F138*2</f>
        <v>0.6</v>
      </c>
      <c r="G191" s="65">
        <f t="shared" si="257"/>
        <v>1.2</v>
      </c>
      <c r="H191" s="65">
        <f t="shared" si="257"/>
        <v>3</v>
      </c>
      <c r="I191" s="65">
        <f t="shared" si="257"/>
        <v>6</v>
      </c>
      <c r="J191" s="65">
        <f t="shared" si="257"/>
        <v>7.2</v>
      </c>
      <c r="K191" s="65">
        <f t="shared" si="257"/>
        <v>9</v>
      </c>
      <c r="L191" s="65">
        <f t="shared" si="257"/>
        <v>12</v>
      </c>
      <c r="M191" s="65">
        <f t="shared" si="257"/>
        <v>15</v>
      </c>
      <c r="N191" s="65">
        <f t="shared" si="257"/>
        <v>18</v>
      </c>
      <c r="O191" s="65">
        <f t="shared" si="257"/>
        <v>21</v>
      </c>
      <c r="P191" s="65">
        <f t="shared" si="257"/>
        <v>24</v>
      </c>
      <c r="Q191" s="65">
        <f t="shared" si="257"/>
        <v>27</v>
      </c>
      <c r="R191" s="65">
        <f t="shared" si="257"/>
        <v>30</v>
      </c>
      <c r="S191" s="65">
        <f t="shared" si="257"/>
        <v>36</v>
      </c>
      <c r="T191" s="65">
        <f t="shared" si="257"/>
        <v>42</v>
      </c>
      <c r="U191" s="65">
        <f t="shared" si="257"/>
        <v>48</v>
      </c>
      <c r="V191" s="65">
        <f t="shared" si="257"/>
        <v>54</v>
      </c>
      <c r="W191" s="65">
        <f t="shared" si="257"/>
        <v>60</v>
      </c>
      <c r="X191" s="65">
        <f t="shared" si="257"/>
        <v>90</v>
      </c>
      <c r="Y191" s="65">
        <f t="shared" si="257"/>
        <v>120</v>
      </c>
      <c r="Z191" s="70"/>
    </row>
    <row r="192" ht="16.5" customHeight="1">
      <c r="A192" s="48" t="str">
        <f t="shared" ref="A192:E192" si="258">A139</f>
        <v>ARS</v>
      </c>
      <c r="B192" s="48" t="str">
        <f t="shared" si="258"/>
        <v>$</v>
      </c>
      <c r="C192" s="48" t="str">
        <f t="shared" si="258"/>
        <v>阿根廷披索</v>
      </c>
      <c r="D192" s="48" t="str">
        <f t="shared" si="258"/>
        <v/>
      </c>
      <c r="E192" s="64">
        <f t="shared" si="258"/>
        <v>0.02</v>
      </c>
      <c r="F192" s="65">
        <f t="shared" ref="F192:Y192" si="259">F139*2</f>
        <v>60</v>
      </c>
      <c r="G192" s="65">
        <f t="shared" si="259"/>
        <v>90</v>
      </c>
      <c r="H192" s="65">
        <f t="shared" si="259"/>
        <v>120</v>
      </c>
      <c r="I192" s="65">
        <f t="shared" si="259"/>
        <v>180</v>
      </c>
      <c r="J192" s="65">
        <f t="shared" si="259"/>
        <v>240</v>
      </c>
      <c r="K192" s="65">
        <f t="shared" si="259"/>
        <v>300</v>
      </c>
      <c r="L192" s="65">
        <f t="shared" si="259"/>
        <v>360</v>
      </c>
      <c r="M192" s="65">
        <f t="shared" si="259"/>
        <v>480</v>
      </c>
      <c r="N192" s="65">
        <f t="shared" si="259"/>
        <v>600</v>
      </c>
      <c r="O192" s="65">
        <f t="shared" si="259"/>
        <v>900</v>
      </c>
      <c r="P192" s="65">
        <f t="shared" si="259"/>
        <v>1200</v>
      </c>
      <c r="Q192" s="65">
        <f t="shared" si="259"/>
        <v>1800</v>
      </c>
      <c r="R192" s="65">
        <f t="shared" si="259"/>
        <v>3000</v>
      </c>
      <c r="S192" s="65">
        <f t="shared" si="259"/>
        <v>6000</v>
      </c>
      <c r="T192" s="65">
        <f t="shared" si="259"/>
        <v>9000</v>
      </c>
      <c r="U192" s="65">
        <f t="shared" si="259"/>
        <v>18000</v>
      </c>
      <c r="V192" s="65">
        <f t="shared" si="259"/>
        <v>30000</v>
      </c>
      <c r="W192" s="65">
        <f t="shared" si="259"/>
        <v>45000</v>
      </c>
      <c r="X192" s="65">
        <f t="shared" si="259"/>
        <v>60000</v>
      </c>
      <c r="Y192" s="65">
        <f t="shared" si="259"/>
        <v>90000</v>
      </c>
      <c r="Z192" s="70"/>
    </row>
    <row r="193" ht="16.5" customHeight="1">
      <c r="A193" s="48" t="str">
        <f t="shared" ref="A193:E193" si="260">A140</f>
        <v>NGN</v>
      </c>
      <c r="B193" s="48" t="str">
        <f t="shared" si="260"/>
        <v>₦</v>
      </c>
      <c r="C193" s="48" t="str">
        <f t="shared" si="260"/>
        <v>奈及利亞奈拉</v>
      </c>
      <c r="D193" s="48" t="str">
        <f t="shared" si="260"/>
        <v/>
      </c>
      <c r="E193" s="64">
        <f t="shared" si="260"/>
        <v>0.02</v>
      </c>
      <c r="F193" s="65">
        <f t="shared" ref="F193:Y193" si="261">F140*2</f>
        <v>30</v>
      </c>
      <c r="G193" s="65">
        <f t="shared" si="261"/>
        <v>60</v>
      </c>
      <c r="H193" s="65">
        <f t="shared" si="261"/>
        <v>90</v>
      </c>
      <c r="I193" s="65">
        <f t="shared" si="261"/>
        <v>120</v>
      </c>
      <c r="J193" s="65">
        <f t="shared" si="261"/>
        <v>180</v>
      </c>
      <c r="K193" s="65">
        <f t="shared" si="261"/>
        <v>240</v>
      </c>
      <c r="L193" s="65">
        <f t="shared" si="261"/>
        <v>360</v>
      </c>
      <c r="M193" s="65">
        <f t="shared" si="261"/>
        <v>480</v>
      </c>
      <c r="N193" s="65">
        <f t="shared" si="261"/>
        <v>600</v>
      </c>
      <c r="O193" s="65">
        <f t="shared" si="261"/>
        <v>900</v>
      </c>
      <c r="P193" s="65">
        <f t="shared" si="261"/>
        <v>1200</v>
      </c>
      <c r="Q193" s="65">
        <f t="shared" si="261"/>
        <v>1800</v>
      </c>
      <c r="R193" s="65">
        <f t="shared" si="261"/>
        <v>3000</v>
      </c>
      <c r="S193" s="65">
        <f t="shared" si="261"/>
        <v>6000</v>
      </c>
      <c r="T193" s="65">
        <f t="shared" si="261"/>
        <v>9000</v>
      </c>
      <c r="U193" s="65">
        <f t="shared" si="261"/>
        <v>18000</v>
      </c>
      <c r="V193" s="65">
        <f t="shared" si="261"/>
        <v>30000</v>
      </c>
      <c r="W193" s="65">
        <f t="shared" si="261"/>
        <v>45000</v>
      </c>
      <c r="X193" s="65">
        <f t="shared" si="261"/>
        <v>60000</v>
      </c>
      <c r="Y193" s="65">
        <f t="shared" si="261"/>
        <v>90000</v>
      </c>
      <c r="Z193" s="70"/>
    </row>
    <row r="194" ht="16.5" customHeight="1">
      <c r="A194" s="48" t="str">
        <f t="shared" ref="A194:E194" si="262">A141</f>
        <v>KES</v>
      </c>
      <c r="B194" s="48" t="str">
        <f t="shared" si="262"/>
        <v>KSh</v>
      </c>
      <c r="C194" s="48" t="str">
        <f t="shared" si="262"/>
        <v>肯亞先令</v>
      </c>
      <c r="D194" s="48" t="str">
        <f t="shared" si="262"/>
        <v/>
      </c>
      <c r="E194" s="64">
        <f t="shared" si="262"/>
        <v>0.002</v>
      </c>
      <c r="F194" s="65">
        <f t="shared" ref="F194:Y194" si="263">F141*2</f>
        <v>12</v>
      </c>
      <c r="G194" s="65">
        <f t="shared" si="263"/>
        <v>18</v>
      </c>
      <c r="H194" s="65">
        <f t="shared" si="263"/>
        <v>24</v>
      </c>
      <c r="I194" s="65">
        <f t="shared" si="263"/>
        <v>36</v>
      </c>
      <c r="J194" s="65">
        <f t="shared" si="263"/>
        <v>42</v>
      </c>
      <c r="K194" s="65">
        <f t="shared" si="263"/>
        <v>48</v>
      </c>
      <c r="L194" s="65">
        <f t="shared" si="263"/>
        <v>54</v>
      </c>
      <c r="M194" s="65">
        <f t="shared" si="263"/>
        <v>60</v>
      </c>
      <c r="N194" s="65">
        <f t="shared" si="263"/>
        <v>90</v>
      </c>
      <c r="O194" s="65">
        <f t="shared" si="263"/>
        <v>120</v>
      </c>
      <c r="P194" s="65">
        <f t="shared" si="263"/>
        <v>180</v>
      </c>
      <c r="Q194" s="65">
        <f t="shared" si="263"/>
        <v>300</v>
      </c>
      <c r="R194" s="65">
        <f t="shared" si="263"/>
        <v>600</v>
      </c>
      <c r="S194" s="65">
        <f t="shared" si="263"/>
        <v>900</v>
      </c>
      <c r="T194" s="65">
        <f t="shared" si="263"/>
        <v>1800</v>
      </c>
      <c r="U194" s="65">
        <f t="shared" si="263"/>
        <v>3000</v>
      </c>
      <c r="V194" s="65">
        <f t="shared" si="263"/>
        <v>4500</v>
      </c>
      <c r="W194" s="65">
        <f t="shared" si="263"/>
        <v>6000</v>
      </c>
      <c r="X194" s="65">
        <f t="shared" si="263"/>
        <v>9000</v>
      </c>
      <c r="Y194" s="65">
        <f t="shared" si="263"/>
        <v>15000</v>
      </c>
      <c r="Z194" s="70"/>
    </row>
    <row r="195" ht="16.5" customHeight="1">
      <c r="A195" s="48" t="str">
        <f t="shared" ref="A195:E195" si="264">A142</f>
        <v>ZAR</v>
      </c>
      <c r="B195" s="48" t="str">
        <f t="shared" si="264"/>
        <v>R</v>
      </c>
      <c r="C195" s="48" t="str">
        <f t="shared" si="264"/>
        <v>南非鍰</v>
      </c>
      <c r="D195" s="48" t="str">
        <f t="shared" si="264"/>
        <v/>
      </c>
      <c r="E195" s="64">
        <f t="shared" si="264"/>
        <v>0.002</v>
      </c>
      <c r="F195" s="65">
        <f t="shared" ref="F195:Y195" si="265">F142*2</f>
        <v>1.2</v>
      </c>
      <c r="G195" s="65">
        <f t="shared" si="265"/>
        <v>3</v>
      </c>
      <c r="H195" s="65">
        <f t="shared" si="265"/>
        <v>6</v>
      </c>
      <c r="I195" s="65">
        <f t="shared" si="265"/>
        <v>7.2</v>
      </c>
      <c r="J195" s="65">
        <f t="shared" si="265"/>
        <v>9</v>
      </c>
      <c r="K195" s="65">
        <f t="shared" si="265"/>
        <v>12</v>
      </c>
      <c r="L195" s="65">
        <f t="shared" si="265"/>
        <v>15</v>
      </c>
      <c r="M195" s="65">
        <f t="shared" si="265"/>
        <v>18</v>
      </c>
      <c r="N195" s="65">
        <f t="shared" si="265"/>
        <v>24</v>
      </c>
      <c r="O195" s="65">
        <f t="shared" si="265"/>
        <v>30</v>
      </c>
      <c r="P195" s="65">
        <f t="shared" si="265"/>
        <v>36</v>
      </c>
      <c r="Q195" s="65">
        <f t="shared" si="265"/>
        <v>48</v>
      </c>
      <c r="R195" s="65">
        <f t="shared" si="265"/>
        <v>60</v>
      </c>
      <c r="S195" s="65">
        <f t="shared" si="265"/>
        <v>90</v>
      </c>
      <c r="T195" s="65">
        <f t="shared" si="265"/>
        <v>120</v>
      </c>
      <c r="U195" s="65">
        <f t="shared" si="265"/>
        <v>180</v>
      </c>
      <c r="V195" s="65">
        <f t="shared" si="265"/>
        <v>300</v>
      </c>
      <c r="W195" s="65">
        <f t="shared" si="265"/>
        <v>600</v>
      </c>
      <c r="X195" s="65">
        <f t="shared" si="265"/>
        <v>900</v>
      </c>
      <c r="Y195" s="65">
        <f t="shared" si="265"/>
        <v>1800</v>
      </c>
      <c r="Z195" s="70"/>
    </row>
    <row r="196" ht="16.5" customHeight="1">
      <c r="A196" s="48" t="str">
        <f t="shared" ref="A196:E196" si="266">A143</f>
        <v>TRY</v>
      </c>
      <c r="B196" s="48" t="str">
        <f t="shared" si="266"/>
        <v>₺</v>
      </c>
      <c r="C196" s="48" t="str">
        <f t="shared" si="266"/>
        <v>土耳其里拉</v>
      </c>
      <c r="D196" s="48" t="str">
        <f t="shared" si="266"/>
        <v/>
      </c>
      <c r="E196" s="64">
        <f t="shared" si="266"/>
        <v>0.002</v>
      </c>
      <c r="F196" s="65">
        <f t="shared" ref="F196:Y196" si="267">F143*2</f>
        <v>3</v>
      </c>
      <c r="G196" s="65">
        <f t="shared" si="267"/>
        <v>6</v>
      </c>
      <c r="H196" s="65">
        <f t="shared" si="267"/>
        <v>7.2</v>
      </c>
      <c r="I196" s="65">
        <f t="shared" si="267"/>
        <v>9</v>
      </c>
      <c r="J196" s="65">
        <f t="shared" si="267"/>
        <v>12</v>
      </c>
      <c r="K196" s="65">
        <f t="shared" si="267"/>
        <v>15</v>
      </c>
      <c r="L196" s="65">
        <f t="shared" si="267"/>
        <v>18</v>
      </c>
      <c r="M196" s="65">
        <f t="shared" si="267"/>
        <v>24</v>
      </c>
      <c r="N196" s="65">
        <f t="shared" si="267"/>
        <v>30</v>
      </c>
      <c r="O196" s="65">
        <f t="shared" si="267"/>
        <v>36</v>
      </c>
      <c r="P196" s="65">
        <f t="shared" si="267"/>
        <v>48</v>
      </c>
      <c r="Q196" s="65">
        <f t="shared" si="267"/>
        <v>60</v>
      </c>
      <c r="R196" s="65">
        <f t="shared" si="267"/>
        <v>90</v>
      </c>
      <c r="S196" s="65">
        <f t="shared" si="267"/>
        <v>120</v>
      </c>
      <c r="T196" s="65">
        <f t="shared" si="267"/>
        <v>180</v>
      </c>
      <c r="U196" s="65">
        <f t="shared" si="267"/>
        <v>300</v>
      </c>
      <c r="V196" s="65">
        <f t="shared" si="267"/>
        <v>600</v>
      </c>
      <c r="W196" s="65">
        <f t="shared" si="267"/>
        <v>900</v>
      </c>
      <c r="X196" s="65">
        <f t="shared" si="267"/>
        <v>1800</v>
      </c>
      <c r="Y196" s="65">
        <f t="shared" si="267"/>
        <v>3000</v>
      </c>
      <c r="Z196" s="70"/>
    </row>
    <row r="197" ht="16.5" customHeight="1">
      <c r="A197" s="48" t="str">
        <f t="shared" ref="A197:E197" si="268">A144</f>
        <v>GBP</v>
      </c>
      <c r="B197" s="48" t="str">
        <f t="shared" si="268"/>
        <v>£</v>
      </c>
      <c r="C197" s="48" t="str">
        <f t="shared" si="268"/>
        <v>英鎊</v>
      </c>
      <c r="D197" s="48" t="str">
        <f t="shared" si="268"/>
        <v/>
      </c>
      <c r="E197" s="64">
        <f t="shared" si="268"/>
        <v>0.002</v>
      </c>
      <c r="F197" s="65">
        <f t="shared" ref="F197:Y197" si="269">F144*2</f>
        <v>0.6</v>
      </c>
      <c r="G197" s="65">
        <f t="shared" si="269"/>
        <v>1.2</v>
      </c>
      <c r="H197" s="65">
        <f t="shared" si="269"/>
        <v>3</v>
      </c>
      <c r="I197" s="65">
        <f t="shared" si="269"/>
        <v>6</v>
      </c>
      <c r="J197" s="65">
        <f t="shared" si="269"/>
        <v>7.2</v>
      </c>
      <c r="K197" s="65">
        <f t="shared" si="269"/>
        <v>9</v>
      </c>
      <c r="L197" s="65">
        <f t="shared" si="269"/>
        <v>12</v>
      </c>
      <c r="M197" s="65">
        <f t="shared" si="269"/>
        <v>15</v>
      </c>
      <c r="N197" s="65">
        <f t="shared" si="269"/>
        <v>18</v>
      </c>
      <c r="O197" s="65">
        <f t="shared" si="269"/>
        <v>21</v>
      </c>
      <c r="P197" s="65">
        <f t="shared" si="269"/>
        <v>24</v>
      </c>
      <c r="Q197" s="65">
        <f t="shared" si="269"/>
        <v>27</v>
      </c>
      <c r="R197" s="65">
        <f t="shared" si="269"/>
        <v>30</v>
      </c>
      <c r="S197" s="65">
        <f t="shared" si="269"/>
        <v>36</v>
      </c>
      <c r="T197" s="65">
        <f t="shared" si="269"/>
        <v>42</v>
      </c>
      <c r="U197" s="65">
        <f t="shared" si="269"/>
        <v>48</v>
      </c>
      <c r="V197" s="65">
        <f t="shared" si="269"/>
        <v>54</v>
      </c>
      <c r="W197" s="65">
        <f t="shared" si="269"/>
        <v>60</v>
      </c>
      <c r="X197" s="65">
        <f t="shared" si="269"/>
        <v>90</v>
      </c>
      <c r="Y197" s="65">
        <f t="shared" si="269"/>
        <v>120</v>
      </c>
      <c r="Z197" s="70"/>
    </row>
    <row r="198" ht="16.5" customHeight="1">
      <c r="A198" s="48" t="str">
        <f t="shared" ref="A198:E198" si="270">A145</f>
        <v>NPR</v>
      </c>
      <c r="B198" s="48" t="str">
        <f t="shared" si="270"/>
        <v>रू</v>
      </c>
      <c r="C198" s="48" t="str">
        <f t="shared" si="270"/>
        <v>尼泊爾盧比</v>
      </c>
      <c r="D198" s="48" t="str">
        <f t="shared" si="270"/>
        <v/>
      </c>
      <c r="E198" s="64">
        <f t="shared" si="270"/>
        <v>0.002</v>
      </c>
      <c r="F198" s="65">
        <f t="shared" ref="F198:Y198" si="271">F145*2</f>
        <v>12</v>
      </c>
      <c r="G198" s="65">
        <f t="shared" si="271"/>
        <v>18</v>
      </c>
      <c r="H198" s="65">
        <f t="shared" si="271"/>
        <v>24</v>
      </c>
      <c r="I198" s="65">
        <f t="shared" si="271"/>
        <v>36</v>
      </c>
      <c r="J198" s="65">
        <f t="shared" si="271"/>
        <v>42</v>
      </c>
      <c r="K198" s="65">
        <f t="shared" si="271"/>
        <v>48</v>
      </c>
      <c r="L198" s="65">
        <f t="shared" si="271"/>
        <v>54</v>
      </c>
      <c r="M198" s="65">
        <f t="shared" si="271"/>
        <v>60</v>
      </c>
      <c r="N198" s="65">
        <f t="shared" si="271"/>
        <v>90</v>
      </c>
      <c r="O198" s="65">
        <f t="shared" si="271"/>
        <v>120</v>
      </c>
      <c r="P198" s="65">
        <f t="shared" si="271"/>
        <v>180</v>
      </c>
      <c r="Q198" s="65">
        <f t="shared" si="271"/>
        <v>300</v>
      </c>
      <c r="R198" s="65">
        <f t="shared" si="271"/>
        <v>600</v>
      </c>
      <c r="S198" s="65">
        <f t="shared" si="271"/>
        <v>900</v>
      </c>
      <c r="T198" s="65">
        <f t="shared" si="271"/>
        <v>1800</v>
      </c>
      <c r="U198" s="65">
        <f t="shared" si="271"/>
        <v>3000</v>
      </c>
      <c r="V198" s="65">
        <f t="shared" si="271"/>
        <v>4500</v>
      </c>
      <c r="W198" s="65">
        <f t="shared" si="271"/>
        <v>6000</v>
      </c>
      <c r="X198" s="65">
        <f t="shared" si="271"/>
        <v>9000</v>
      </c>
      <c r="Y198" s="65">
        <f t="shared" si="271"/>
        <v>15000</v>
      </c>
    </row>
    <row r="199" ht="16.5" customHeight="1">
      <c r="A199" s="48" t="str">
        <f t="shared" ref="A199:E199" si="272">A146</f>
        <v>CHF</v>
      </c>
      <c r="B199" s="48" t="str">
        <f t="shared" si="272"/>
        <v>CHF</v>
      </c>
      <c r="C199" s="48" t="str">
        <f t="shared" si="272"/>
        <v>瑞士法郎</v>
      </c>
      <c r="D199" s="48" t="str">
        <f t="shared" si="272"/>
        <v/>
      </c>
      <c r="E199" s="64">
        <f t="shared" si="272"/>
        <v>0.002</v>
      </c>
      <c r="F199" s="65">
        <f t="shared" ref="F199:Y199" si="273">F146*2</f>
        <v>0.6</v>
      </c>
      <c r="G199" s="65">
        <f t="shared" si="273"/>
        <v>1.2</v>
      </c>
      <c r="H199" s="65">
        <f t="shared" si="273"/>
        <v>3</v>
      </c>
      <c r="I199" s="65">
        <f t="shared" si="273"/>
        <v>6</v>
      </c>
      <c r="J199" s="65">
        <f t="shared" si="273"/>
        <v>7.2</v>
      </c>
      <c r="K199" s="65">
        <f t="shared" si="273"/>
        <v>9</v>
      </c>
      <c r="L199" s="65">
        <f t="shared" si="273"/>
        <v>12</v>
      </c>
      <c r="M199" s="65">
        <f t="shared" si="273"/>
        <v>15</v>
      </c>
      <c r="N199" s="65">
        <f t="shared" si="273"/>
        <v>18</v>
      </c>
      <c r="O199" s="65">
        <f t="shared" si="273"/>
        <v>21</v>
      </c>
      <c r="P199" s="65">
        <f t="shared" si="273"/>
        <v>24</v>
      </c>
      <c r="Q199" s="65">
        <f t="shared" si="273"/>
        <v>27</v>
      </c>
      <c r="R199" s="65">
        <f t="shared" si="273"/>
        <v>30</v>
      </c>
      <c r="S199" s="65">
        <f t="shared" si="273"/>
        <v>36</v>
      </c>
      <c r="T199" s="65">
        <f t="shared" si="273"/>
        <v>42</v>
      </c>
      <c r="U199" s="65">
        <f t="shared" si="273"/>
        <v>48</v>
      </c>
      <c r="V199" s="65">
        <f t="shared" si="273"/>
        <v>54</v>
      </c>
      <c r="W199" s="65">
        <f t="shared" si="273"/>
        <v>60</v>
      </c>
      <c r="X199" s="65">
        <f t="shared" si="273"/>
        <v>90</v>
      </c>
      <c r="Y199" s="65">
        <f t="shared" si="273"/>
        <v>120</v>
      </c>
    </row>
    <row r="200" ht="16.5" customHeight="1">
      <c r="A200" s="48" t="str">
        <f t="shared" ref="A200:E200" si="274">A147</f>
        <v>CAD</v>
      </c>
      <c r="B200" s="48" t="str">
        <f t="shared" si="274"/>
        <v>$</v>
      </c>
      <c r="C200" s="48" t="str">
        <f t="shared" si="274"/>
        <v>加幣</v>
      </c>
      <c r="D200" s="48" t="str">
        <f t="shared" si="274"/>
        <v/>
      </c>
      <c r="E200" s="64">
        <f t="shared" si="274"/>
        <v>0.002</v>
      </c>
      <c r="F200" s="65">
        <f t="shared" ref="F200:Y200" si="275">F147*2</f>
        <v>0.6</v>
      </c>
      <c r="G200" s="65">
        <f t="shared" si="275"/>
        <v>1.2</v>
      </c>
      <c r="H200" s="65">
        <f t="shared" si="275"/>
        <v>3</v>
      </c>
      <c r="I200" s="65">
        <f t="shared" si="275"/>
        <v>6</v>
      </c>
      <c r="J200" s="65">
        <f t="shared" si="275"/>
        <v>7.2</v>
      </c>
      <c r="K200" s="65">
        <f t="shared" si="275"/>
        <v>9</v>
      </c>
      <c r="L200" s="65">
        <f t="shared" si="275"/>
        <v>12</v>
      </c>
      <c r="M200" s="65">
        <f t="shared" si="275"/>
        <v>15</v>
      </c>
      <c r="N200" s="65">
        <f t="shared" si="275"/>
        <v>18</v>
      </c>
      <c r="O200" s="65">
        <f t="shared" si="275"/>
        <v>21</v>
      </c>
      <c r="P200" s="65">
        <f t="shared" si="275"/>
        <v>24</v>
      </c>
      <c r="Q200" s="65">
        <f t="shared" si="275"/>
        <v>27</v>
      </c>
      <c r="R200" s="65">
        <f t="shared" si="275"/>
        <v>30</v>
      </c>
      <c r="S200" s="65">
        <f t="shared" si="275"/>
        <v>36</v>
      </c>
      <c r="T200" s="65">
        <f t="shared" si="275"/>
        <v>42</v>
      </c>
      <c r="U200" s="65">
        <f t="shared" si="275"/>
        <v>48</v>
      </c>
      <c r="V200" s="65">
        <f t="shared" si="275"/>
        <v>54</v>
      </c>
      <c r="W200" s="65">
        <f t="shared" si="275"/>
        <v>60</v>
      </c>
      <c r="X200" s="65">
        <f t="shared" si="275"/>
        <v>90</v>
      </c>
      <c r="Y200" s="65">
        <f t="shared" si="275"/>
        <v>120</v>
      </c>
    </row>
    <row r="201" ht="16.5" customHeight="1">
      <c r="A201" s="48" t="str">
        <f t="shared" ref="A201:E201" si="276">A148</f>
        <v>PEN</v>
      </c>
      <c r="B201" s="48" t="str">
        <f t="shared" si="276"/>
        <v>PEN</v>
      </c>
      <c r="C201" s="48" t="str">
        <f t="shared" si="276"/>
        <v>秘魯新索爾</v>
      </c>
      <c r="D201" s="48" t="str">
        <f t="shared" si="276"/>
        <v/>
      </c>
      <c r="E201" s="64">
        <f t="shared" si="276"/>
        <v>0.002</v>
      </c>
      <c r="F201" s="65">
        <f t="shared" ref="F201:Y201" si="277">F148*2</f>
        <v>0.6</v>
      </c>
      <c r="G201" s="65">
        <f t="shared" si="277"/>
        <v>1.2</v>
      </c>
      <c r="H201" s="65">
        <f t="shared" si="277"/>
        <v>3</v>
      </c>
      <c r="I201" s="65">
        <f t="shared" si="277"/>
        <v>6</v>
      </c>
      <c r="J201" s="65">
        <f t="shared" si="277"/>
        <v>7.2</v>
      </c>
      <c r="K201" s="65">
        <f t="shared" si="277"/>
        <v>9</v>
      </c>
      <c r="L201" s="65">
        <f t="shared" si="277"/>
        <v>12</v>
      </c>
      <c r="M201" s="65">
        <f t="shared" si="277"/>
        <v>15</v>
      </c>
      <c r="N201" s="65">
        <f t="shared" si="277"/>
        <v>18</v>
      </c>
      <c r="O201" s="65">
        <f t="shared" si="277"/>
        <v>21</v>
      </c>
      <c r="P201" s="65">
        <f t="shared" si="277"/>
        <v>24</v>
      </c>
      <c r="Q201" s="65">
        <f t="shared" si="277"/>
        <v>30</v>
      </c>
      <c r="R201" s="65">
        <f t="shared" si="277"/>
        <v>36</v>
      </c>
      <c r="S201" s="65">
        <f t="shared" si="277"/>
        <v>48</v>
      </c>
      <c r="T201" s="65">
        <f t="shared" si="277"/>
        <v>54</v>
      </c>
      <c r="U201" s="65">
        <f t="shared" si="277"/>
        <v>60</v>
      </c>
      <c r="V201" s="65">
        <f t="shared" si="277"/>
        <v>90</v>
      </c>
      <c r="W201" s="65">
        <f t="shared" si="277"/>
        <v>120</v>
      </c>
      <c r="X201" s="65">
        <f t="shared" si="277"/>
        <v>180</v>
      </c>
      <c r="Y201" s="65">
        <f t="shared" si="277"/>
        <v>300</v>
      </c>
    </row>
    <row r="202" ht="16.5" customHeight="1">
      <c r="A202" s="48" t="str">
        <f t="shared" ref="A202:E202" si="278">A149</f>
        <v>AED</v>
      </c>
      <c r="B202" s="48" t="str">
        <f t="shared" si="278"/>
        <v>AED</v>
      </c>
      <c r="C202" s="48" t="str">
        <f t="shared" si="278"/>
        <v>阿聯迪拉姆</v>
      </c>
      <c r="D202" s="48" t="str">
        <f t="shared" si="278"/>
        <v/>
      </c>
      <c r="E202" s="64">
        <f t="shared" si="278"/>
        <v>0.002</v>
      </c>
      <c r="F202" s="65">
        <f t="shared" ref="F202:Y202" si="279">F149*2</f>
        <v>0.6</v>
      </c>
      <c r="G202" s="65">
        <f t="shared" si="279"/>
        <v>1.2</v>
      </c>
      <c r="H202" s="65">
        <f t="shared" si="279"/>
        <v>3</v>
      </c>
      <c r="I202" s="65">
        <f t="shared" si="279"/>
        <v>6</v>
      </c>
      <c r="J202" s="65">
        <f t="shared" si="279"/>
        <v>7.2</v>
      </c>
      <c r="K202" s="65">
        <f t="shared" si="279"/>
        <v>9</v>
      </c>
      <c r="L202" s="65">
        <f t="shared" si="279"/>
        <v>12</v>
      </c>
      <c r="M202" s="65">
        <f t="shared" si="279"/>
        <v>15</v>
      </c>
      <c r="N202" s="65">
        <f t="shared" si="279"/>
        <v>18</v>
      </c>
      <c r="O202" s="65">
        <f t="shared" si="279"/>
        <v>21</v>
      </c>
      <c r="P202" s="65">
        <f t="shared" si="279"/>
        <v>24</v>
      </c>
      <c r="Q202" s="65">
        <f t="shared" si="279"/>
        <v>30</v>
      </c>
      <c r="R202" s="65">
        <f t="shared" si="279"/>
        <v>36</v>
      </c>
      <c r="S202" s="65">
        <f t="shared" si="279"/>
        <v>48</v>
      </c>
      <c r="T202" s="65">
        <f t="shared" si="279"/>
        <v>54</v>
      </c>
      <c r="U202" s="65">
        <f t="shared" si="279"/>
        <v>60</v>
      </c>
      <c r="V202" s="65">
        <f t="shared" si="279"/>
        <v>90</v>
      </c>
      <c r="W202" s="65">
        <f t="shared" si="279"/>
        <v>120</v>
      </c>
      <c r="X202" s="65">
        <f t="shared" si="279"/>
        <v>180</v>
      </c>
      <c r="Y202" s="65">
        <f t="shared" si="279"/>
        <v>300</v>
      </c>
    </row>
    <row r="203" ht="16.5" customHeight="1">
      <c r="A203" s="48" t="str">
        <f t="shared" ref="A203:E203" si="280">A150</f>
        <v>BND</v>
      </c>
      <c r="B203" s="48" t="str">
        <f t="shared" si="280"/>
        <v>B$</v>
      </c>
      <c r="C203" s="48" t="str">
        <f t="shared" si="280"/>
        <v>汶萊幣</v>
      </c>
      <c r="D203" s="48" t="str">
        <f t="shared" si="280"/>
        <v/>
      </c>
      <c r="E203" s="64">
        <f t="shared" si="280"/>
        <v>0.002</v>
      </c>
      <c r="F203" s="65">
        <f t="shared" ref="F203:Y203" si="281">F150*2</f>
        <v>0.6</v>
      </c>
      <c r="G203" s="65">
        <f t="shared" si="281"/>
        <v>1.2</v>
      </c>
      <c r="H203" s="65">
        <f t="shared" si="281"/>
        <v>3</v>
      </c>
      <c r="I203" s="65">
        <f t="shared" si="281"/>
        <v>6</v>
      </c>
      <c r="J203" s="65">
        <f t="shared" si="281"/>
        <v>7.2</v>
      </c>
      <c r="K203" s="65">
        <f t="shared" si="281"/>
        <v>9</v>
      </c>
      <c r="L203" s="65">
        <f t="shared" si="281"/>
        <v>12</v>
      </c>
      <c r="M203" s="65">
        <f t="shared" si="281"/>
        <v>15</v>
      </c>
      <c r="N203" s="65">
        <f t="shared" si="281"/>
        <v>18</v>
      </c>
      <c r="O203" s="65">
        <f t="shared" si="281"/>
        <v>21</v>
      </c>
      <c r="P203" s="65">
        <f t="shared" si="281"/>
        <v>24</v>
      </c>
      <c r="Q203" s="65">
        <f t="shared" si="281"/>
        <v>27</v>
      </c>
      <c r="R203" s="65">
        <f t="shared" si="281"/>
        <v>30</v>
      </c>
      <c r="S203" s="65">
        <f t="shared" si="281"/>
        <v>36</v>
      </c>
      <c r="T203" s="65">
        <f t="shared" si="281"/>
        <v>42</v>
      </c>
      <c r="U203" s="65">
        <f t="shared" si="281"/>
        <v>48</v>
      </c>
      <c r="V203" s="65">
        <f t="shared" si="281"/>
        <v>60</v>
      </c>
      <c r="W203" s="65">
        <f t="shared" si="281"/>
        <v>90</v>
      </c>
      <c r="X203" s="65">
        <f t="shared" si="281"/>
        <v>120</v>
      </c>
      <c r="Y203" s="65">
        <f t="shared" si="281"/>
        <v>180</v>
      </c>
    </row>
    <row r="204" ht="16.5" customHeight="1">
      <c r="A204" s="48" t="str">
        <f t="shared" ref="A204:E204" si="282">A151</f>
        <v>COP</v>
      </c>
      <c r="B204" s="48" t="str">
        <f t="shared" si="282"/>
        <v>$</v>
      </c>
      <c r="C204" s="48" t="str">
        <f t="shared" si="282"/>
        <v>哥倫比亞披索</v>
      </c>
      <c r="D204" s="48" t="str">
        <f t="shared" si="282"/>
        <v/>
      </c>
      <c r="E204" s="64">
        <f t="shared" si="282"/>
        <v>0.1</v>
      </c>
      <c r="F204" s="65">
        <f t="shared" ref="F204:Y204" si="283">F151*2</f>
        <v>300</v>
      </c>
      <c r="G204" s="65">
        <f t="shared" si="283"/>
        <v>450</v>
      </c>
      <c r="H204" s="65">
        <f t="shared" si="283"/>
        <v>600</v>
      </c>
      <c r="I204" s="65">
        <f t="shared" si="283"/>
        <v>900</v>
      </c>
      <c r="J204" s="65">
        <f t="shared" si="283"/>
        <v>1200</v>
      </c>
      <c r="K204" s="65">
        <f t="shared" si="283"/>
        <v>1500</v>
      </c>
      <c r="L204" s="65">
        <f t="shared" si="283"/>
        <v>1800</v>
      </c>
      <c r="M204" s="65">
        <f t="shared" si="283"/>
        <v>2400</v>
      </c>
      <c r="N204" s="65">
        <f t="shared" si="283"/>
        <v>3000</v>
      </c>
      <c r="O204" s="65">
        <f t="shared" si="283"/>
        <v>4500</v>
      </c>
      <c r="P204" s="65">
        <f t="shared" si="283"/>
        <v>6000</v>
      </c>
      <c r="Q204" s="65">
        <f t="shared" si="283"/>
        <v>9000</v>
      </c>
      <c r="R204" s="65">
        <f t="shared" si="283"/>
        <v>15000</v>
      </c>
      <c r="S204" s="65">
        <f t="shared" si="283"/>
        <v>30000</v>
      </c>
      <c r="T204" s="65">
        <f t="shared" si="283"/>
        <v>45000</v>
      </c>
      <c r="U204" s="65">
        <f t="shared" si="283"/>
        <v>90000</v>
      </c>
      <c r="V204" s="65">
        <f t="shared" si="283"/>
        <v>150000</v>
      </c>
      <c r="W204" s="65">
        <f t="shared" si="283"/>
        <v>225000</v>
      </c>
      <c r="X204" s="65">
        <f t="shared" si="283"/>
        <v>300000</v>
      </c>
      <c r="Y204" s="65">
        <f t="shared" si="283"/>
        <v>450000</v>
      </c>
    </row>
    <row r="205" ht="16.5" customHeight="1">
      <c r="A205" s="48" t="str">
        <f t="shared" ref="A205:E205" si="284">A152</f>
        <v>VNDO</v>
      </c>
      <c r="B205" s="48" t="str">
        <f t="shared" si="284"/>
        <v>₫</v>
      </c>
      <c r="C205" s="48" t="str">
        <f t="shared" si="284"/>
        <v>越南盾</v>
      </c>
      <c r="D205" s="48" t="str">
        <f t="shared" si="284"/>
        <v/>
      </c>
      <c r="E205" s="64">
        <f t="shared" si="284"/>
        <v>0.5</v>
      </c>
      <c r="F205" s="65">
        <f t="shared" ref="F205:Y205" si="285">F152*2</f>
        <v>1500</v>
      </c>
      <c r="G205" s="65">
        <f t="shared" si="285"/>
        <v>2250</v>
      </c>
      <c r="H205" s="65">
        <f t="shared" si="285"/>
        <v>3000</v>
      </c>
      <c r="I205" s="65">
        <f t="shared" si="285"/>
        <v>4500</v>
      </c>
      <c r="J205" s="65">
        <f t="shared" si="285"/>
        <v>6000</v>
      </c>
      <c r="K205" s="65">
        <f t="shared" si="285"/>
        <v>7500</v>
      </c>
      <c r="L205" s="65">
        <f t="shared" si="285"/>
        <v>9000</v>
      </c>
      <c r="M205" s="65">
        <f t="shared" si="285"/>
        <v>12000</v>
      </c>
      <c r="N205" s="65">
        <f t="shared" si="285"/>
        <v>15000</v>
      </c>
      <c r="O205" s="65">
        <f t="shared" si="285"/>
        <v>22500</v>
      </c>
      <c r="P205" s="65">
        <f t="shared" si="285"/>
        <v>30000</v>
      </c>
      <c r="Q205" s="65">
        <f t="shared" si="285"/>
        <v>45000</v>
      </c>
      <c r="R205" s="65">
        <f t="shared" si="285"/>
        <v>75000</v>
      </c>
      <c r="S205" s="65">
        <f t="shared" si="285"/>
        <v>150000</v>
      </c>
      <c r="T205" s="65">
        <f t="shared" si="285"/>
        <v>225000</v>
      </c>
      <c r="U205" s="65">
        <f t="shared" si="285"/>
        <v>450000</v>
      </c>
      <c r="V205" s="65">
        <f t="shared" si="285"/>
        <v>750000</v>
      </c>
      <c r="W205" s="65">
        <f t="shared" si="285"/>
        <v>1125000</v>
      </c>
      <c r="X205" s="65">
        <f t="shared" si="285"/>
        <v>1500000</v>
      </c>
      <c r="Y205" s="65">
        <f t="shared" si="285"/>
        <v>2250000</v>
      </c>
    </row>
    <row r="206" ht="16.5" customHeight="1">
      <c r="A206" s="48" t="str">
        <f t="shared" ref="A206:E206" si="286">A153</f>
        <v>MYRC</v>
      </c>
      <c r="B206" s="48" t="str">
        <f t="shared" si="286"/>
        <v>RM</v>
      </c>
      <c r="C206" s="48" t="str">
        <f t="shared" si="286"/>
        <v>馬來西亞令吉</v>
      </c>
      <c r="D206" s="48">
        <f t="shared" si="286"/>
        <v>0.01</v>
      </c>
      <c r="E206" s="64">
        <f t="shared" si="286"/>
        <v>0.01</v>
      </c>
      <c r="F206" s="65">
        <f t="shared" ref="F206:Y206" si="287">F153*2</f>
        <v>30</v>
      </c>
      <c r="G206" s="65">
        <f t="shared" si="287"/>
        <v>45</v>
      </c>
      <c r="H206" s="65">
        <f t="shared" si="287"/>
        <v>60</v>
      </c>
      <c r="I206" s="65">
        <f t="shared" si="287"/>
        <v>90</v>
      </c>
      <c r="J206" s="65">
        <f t="shared" si="287"/>
        <v>120</v>
      </c>
      <c r="K206" s="65">
        <f t="shared" si="287"/>
        <v>150</v>
      </c>
      <c r="L206" s="65">
        <f t="shared" si="287"/>
        <v>180</v>
      </c>
      <c r="M206" s="65">
        <f t="shared" si="287"/>
        <v>240</v>
      </c>
      <c r="N206" s="65">
        <f t="shared" si="287"/>
        <v>300</v>
      </c>
      <c r="O206" s="65">
        <f t="shared" si="287"/>
        <v>450</v>
      </c>
      <c r="P206" s="65">
        <f t="shared" si="287"/>
        <v>600</v>
      </c>
      <c r="Q206" s="65">
        <f t="shared" si="287"/>
        <v>900</v>
      </c>
      <c r="R206" s="65">
        <f t="shared" si="287"/>
        <v>1500</v>
      </c>
      <c r="S206" s="65">
        <f t="shared" si="287"/>
        <v>3000</v>
      </c>
      <c r="T206" s="65">
        <f t="shared" si="287"/>
        <v>4500</v>
      </c>
      <c r="U206" s="65">
        <f t="shared" si="287"/>
        <v>9000</v>
      </c>
      <c r="V206" s="65">
        <f t="shared" si="287"/>
        <v>15000</v>
      </c>
      <c r="W206" s="65">
        <f t="shared" si="287"/>
        <v>22500</v>
      </c>
      <c r="X206" s="65">
        <f t="shared" si="287"/>
        <v>30000</v>
      </c>
      <c r="Y206" s="65">
        <f t="shared" si="287"/>
        <v>45000</v>
      </c>
    </row>
    <row r="207" ht="16.5" customHeight="1">
      <c r="A207" s="48" t="str">
        <f t="shared" ref="A207:E207" si="288">A154</f>
        <v>XSD</v>
      </c>
      <c r="B207" s="48" t="str">
        <f t="shared" si="288"/>
        <v/>
      </c>
      <c r="C207" s="48" t="str">
        <f t="shared" si="288"/>
        <v>星幣</v>
      </c>
      <c r="D207" s="48" t="str">
        <f t="shared" si="288"/>
        <v/>
      </c>
      <c r="E207" s="64">
        <f t="shared" si="288"/>
        <v>1</v>
      </c>
      <c r="F207" s="65">
        <f t="shared" ref="F207:Y207" si="289">F154*2</f>
        <v>300</v>
      </c>
      <c r="G207" s="65">
        <f t="shared" si="289"/>
        <v>600</v>
      </c>
      <c r="H207" s="65">
        <f t="shared" si="289"/>
        <v>1500</v>
      </c>
      <c r="I207" s="65">
        <f t="shared" si="289"/>
        <v>3000</v>
      </c>
      <c r="J207" s="65">
        <f t="shared" si="289"/>
        <v>3600</v>
      </c>
      <c r="K207" s="65">
        <f t="shared" si="289"/>
        <v>4500</v>
      </c>
      <c r="L207" s="65">
        <f t="shared" si="289"/>
        <v>6000</v>
      </c>
      <c r="M207" s="65">
        <f t="shared" si="289"/>
        <v>7500</v>
      </c>
      <c r="N207" s="65">
        <f t="shared" si="289"/>
        <v>9000</v>
      </c>
      <c r="O207" s="65">
        <f t="shared" si="289"/>
        <v>10500</v>
      </c>
      <c r="P207" s="65">
        <f t="shared" si="289"/>
        <v>12000</v>
      </c>
      <c r="Q207" s="65">
        <f t="shared" si="289"/>
        <v>15000</v>
      </c>
      <c r="R207" s="65">
        <f t="shared" si="289"/>
        <v>18000</v>
      </c>
      <c r="S207" s="65">
        <f t="shared" si="289"/>
        <v>24000</v>
      </c>
      <c r="T207" s="65">
        <f t="shared" si="289"/>
        <v>27000</v>
      </c>
      <c r="U207" s="65">
        <f t="shared" si="289"/>
        <v>30000</v>
      </c>
      <c r="V207" s="65">
        <f t="shared" si="289"/>
        <v>45000</v>
      </c>
      <c r="W207" s="65">
        <f t="shared" si="289"/>
        <v>60000</v>
      </c>
      <c r="X207" s="65">
        <f t="shared" si="289"/>
        <v>90000</v>
      </c>
      <c r="Y207" s="65">
        <f t="shared" si="289"/>
        <v>150000</v>
      </c>
    </row>
    <row r="208" ht="16.5" customHeight="1">
      <c r="A208" s="48" t="str">
        <f t="shared" ref="A208:E208" si="290">A155</f>
        <v>DZD</v>
      </c>
      <c r="B208" s="48" t="str">
        <f t="shared" si="290"/>
        <v>دج</v>
      </c>
      <c r="C208" s="48" t="str">
        <f t="shared" si="290"/>
        <v>阿爾及利亞第納爾</v>
      </c>
      <c r="D208" s="48" t="str">
        <f t="shared" si="290"/>
        <v/>
      </c>
      <c r="E208" s="64">
        <f t="shared" si="290"/>
        <v>0.002</v>
      </c>
      <c r="F208" s="65">
        <f t="shared" ref="F208:Y208" si="291">F155*2</f>
        <v>12</v>
      </c>
      <c r="G208" s="65">
        <f t="shared" si="291"/>
        <v>18</v>
      </c>
      <c r="H208" s="65">
        <f t="shared" si="291"/>
        <v>24</v>
      </c>
      <c r="I208" s="65">
        <f t="shared" si="291"/>
        <v>36</v>
      </c>
      <c r="J208" s="65">
        <f t="shared" si="291"/>
        <v>42</v>
      </c>
      <c r="K208" s="65">
        <f t="shared" si="291"/>
        <v>48</v>
      </c>
      <c r="L208" s="65">
        <f t="shared" si="291"/>
        <v>54</v>
      </c>
      <c r="M208" s="65">
        <f t="shared" si="291"/>
        <v>60</v>
      </c>
      <c r="N208" s="65">
        <f t="shared" si="291"/>
        <v>90</v>
      </c>
      <c r="O208" s="65">
        <f t="shared" si="291"/>
        <v>120</v>
      </c>
      <c r="P208" s="65">
        <f t="shared" si="291"/>
        <v>180</v>
      </c>
      <c r="Q208" s="65">
        <f t="shared" si="291"/>
        <v>300</v>
      </c>
      <c r="R208" s="65">
        <f t="shared" si="291"/>
        <v>600</v>
      </c>
      <c r="S208" s="65">
        <f t="shared" si="291"/>
        <v>900</v>
      </c>
      <c r="T208" s="65">
        <f t="shared" si="291"/>
        <v>1800</v>
      </c>
      <c r="U208" s="65">
        <f t="shared" si="291"/>
        <v>3000</v>
      </c>
      <c r="V208" s="65">
        <f t="shared" si="291"/>
        <v>4500</v>
      </c>
      <c r="W208" s="65">
        <f t="shared" si="291"/>
        <v>6000</v>
      </c>
      <c r="X208" s="65">
        <f t="shared" si="291"/>
        <v>9000</v>
      </c>
      <c r="Y208" s="65">
        <f t="shared" si="291"/>
        <v>15000</v>
      </c>
    </row>
    <row r="209" ht="16.5" customHeight="1">
      <c r="A209" s="48" t="str">
        <f t="shared" ref="A209:E209" si="292">A156</f>
        <v>MAD</v>
      </c>
      <c r="B209" s="48" t="str">
        <f t="shared" si="292"/>
        <v>DH</v>
      </c>
      <c r="C209" s="48" t="str">
        <f t="shared" si="292"/>
        <v>摩洛哥迪拉姆</v>
      </c>
      <c r="D209" s="48" t="str">
        <f t="shared" si="292"/>
        <v/>
      </c>
      <c r="E209" s="64">
        <f t="shared" si="292"/>
        <v>0.002</v>
      </c>
      <c r="F209" s="65">
        <f t="shared" ref="F209:Y209" si="293">F156*2</f>
        <v>0.6</v>
      </c>
      <c r="G209" s="65">
        <f t="shared" si="293"/>
        <v>1.2</v>
      </c>
      <c r="H209" s="65">
        <f t="shared" si="293"/>
        <v>3</v>
      </c>
      <c r="I209" s="65">
        <f t="shared" si="293"/>
        <v>6</v>
      </c>
      <c r="J209" s="65">
        <f t="shared" si="293"/>
        <v>7.2</v>
      </c>
      <c r="K209" s="65">
        <f t="shared" si="293"/>
        <v>9</v>
      </c>
      <c r="L209" s="65">
        <f t="shared" si="293"/>
        <v>12</v>
      </c>
      <c r="M209" s="65">
        <f t="shared" si="293"/>
        <v>15</v>
      </c>
      <c r="N209" s="65">
        <f t="shared" si="293"/>
        <v>18</v>
      </c>
      <c r="O209" s="65">
        <f t="shared" si="293"/>
        <v>24</v>
      </c>
      <c r="P209" s="65">
        <f t="shared" si="293"/>
        <v>30</v>
      </c>
      <c r="Q209" s="65">
        <f t="shared" si="293"/>
        <v>36</v>
      </c>
      <c r="R209" s="65">
        <f t="shared" si="293"/>
        <v>48</v>
      </c>
      <c r="S209" s="65">
        <f t="shared" si="293"/>
        <v>60</v>
      </c>
      <c r="T209" s="65">
        <f t="shared" si="293"/>
        <v>90</v>
      </c>
      <c r="U209" s="65">
        <f t="shared" si="293"/>
        <v>120</v>
      </c>
      <c r="V209" s="65">
        <f t="shared" si="293"/>
        <v>180</v>
      </c>
      <c r="W209" s="65">
        <f t="shared" si="293"/>
        <v>300</v>
      </c>
      <c r="X209" s="65">
        <f t="shared" si="293"/>
        <v>600</v>
      </c>
      <c r="Y209" s="65">
        <f t="shared" si="293"/>
        <v>900</v>
      </c>
    </row>
    <row r="210" ht="16.5" customHeight="1">
      <c r="A210" s="48" t="str">
        <f t="shared" ref="A210:E210" si="294">A157</f>
        <v>FRF</v>
      </c>
      <c r="B210" s="48" t="str">
        <f t="shared" si="294"/>
        <v>₣</v>
      </c>
      <c r="C210" s="48" t="str">
        <f t="shared" si="294"/>
        <v>法國法郎</v>
      </c>
      <c r="D210" s="48" t="str">
        <f t="shared" si="294"/>
        <v/>
      </c>
      <c r="E210" s="64">
        <f t="shared" si="294"/>
        <v>0.002</v>
      </c>
      <c r="F210" s="65">
        <f t="shared" ref="F210:Y210" si="295">F157*2</f>
        <v>0.6</v>
      </c>
      <c r="G210" s="65">
        <f t="shared" si="295"/>
        <v>1.2</v>
      </c>
      <c r="H210" s="65">
        <f t="shared" si="295"/>
        <v>3</v>
      </c>
      <c r="I210" s="65">
        <f t="shared" si="295"/>
        <v>6</v>
      </c>
      <c r="J210" s="65">
        <f t="shared" si="295"/>
        <v>7.2</v>
      </c>
      <c r="K210" s="65">
        <f t="shared" si="295"/>
        <v>9</v>
      </c>
      <c r="L210" s="65">
        <f t="shared" si="295"/>
        <v>12</v>
      </c>
      <c r="M210" s="65">
        <f t="shared" si="295"/>
        <v>15</v>
      </c>
      <c r="N210" s="65">
        <f t="shared" si="295"/>
        <v>18</v>
      </c>
      <c r="O210" s="65">
        <f t="shared" si="295"/>
        <v>24</v>
      </c>
      <c r="P210" s="65">
        <f t="shared" si="295"/>
        <v>30</v>
      </c>
      <c r="Q210" s="65">
        <f t="shared" si="295"/>
        <v>36</v>
      </c>
      <c r="R210" s="65">
        <f t="shared" si="295"/>
        <v>48</v>
      </c>
      <c r="S210" s="65">
        <f t="shared" si="295"/>
        <v>60</v>
      </c>
      <c r="T210" s="65">
        <f t="shared" si="295"/>
        <v>90</v>
      </c>
      <c r="U210" s="65">
        <f t="shared" si="295"/>
        <v>120</v>
      </c>
      <c r="V210" s="65">
        <f t="shared" si="295"/>
        <v>180</v>
      </c>
      <c r="W210" s="65">
        <f t="shared" si="295"/>
        <v>300</v>
      </c>
      <c r="X210" s="65">
        <f t="shared" si="295"/>
        <v>600</v>
      </c>
      <c r="Y210" s="65">
        <f t="shared" si="295"/>
        <v>900</v>
      </c>
    </row>
    <row r="211" ht="16.5" customHeight="1">
      <c r="A211" s="48" t="str">
        <f t="shared" ref="A211:E211" si="296">A158</f>
        <v>GHS</v>
      </c>
      <c r="B211" s="48" t="str">
        <f t="shared" si="296"/>
        <v>Gp</v>
      </c>
      <c r="C211" s="48" t="str">
        <f t="shared" si="296"/>
        <v>迦納塞地</v>
      </c>
      <c r="D211" s="48" t="str">
        <f t="shared" si="296"/>
        <v/>
      </c>
      <c r="E211" s="64">
        <f t="shared" si="296"/>
        <v>0.002</v>
      </c>
      <c r="F211" s="65">
        <f t="shared" ref="F211:Y211" si="297">F158*2</f>
        <v>1.2</v>
      </c>
      <c r="G211" s="65">
        <f t="shared" si="297"/>
        <v>3</v>
      </c>
      <c r="H211" s="65">
        <f t="shared" si="297"/>
        <v>6</v>
      </c>
      <c r="I211" s="65">
        <f t="shared" si="297"/>
        <v>7.2</v>
      </c>
      <c r="J211" s="65">
        <f t="shared" si="297"/>
        <v>9</v>
      </c>
      <c r="K211" s="65">
        <f t="shared" si="297"/>
        <v>12</v>
      </c>
      <c r="L211" s="65">
        <f t="shared" si="297"/>
        <v>15</v>
      </c>
      <c r="M211" s="65">
        <f t="shared" si="297"/>
        <v>18</v>
      </c>
      <c r="N211" s="65">
        <f t="shared" si="297"/>
        <v>24</v>
      </c>
      <c r="O211" s="65">
        <f t="shared" si="297"/>
        <v>30</v>
      </c>
      <c r="P211" s="65">
        <f t="shared" si="297"/>
        <v>36</v>
      </c>
      <c r="Q211" s="65">
        <f t="shared" si="297"/>
        <v>48</v>
      </c>
      <c r="R211" s="65">
        <f t="shared" si="297"/>
        <v>60</v>
      </c>
      <c r="S211" s="65">
        <f t="shared" si="297"/>
        <v>90</v>
      </c>
      <c r="T211" s="65">
        <f t="shared" si="297"/>
        <v>120</v>
      </c>
      <c r="U211" s="65">
        <f t="shared" si="297"/>
        <v>180</v>
      </c>
      <c r="V211" s="65">
        <f t="shared" si="297"/>
        <v>300</v>
      </c>
      <c r="W211" s="65">
        <f t="shared" si="297"/>
        <v>600</v>
      </c>
      <c r="X211" s="65">
        <f t="shared" si="297"/>
        <v>900</v>
      </c>
      <c r="Y211" s="65">
        <f t="shared" si="297"/>
        <v>1800</v>
      </c>
    </row>
    <row r="212" ht="16.5" customHeight="1">
      <c r="A212" s="48" t="str">
        <f t="shared" ref="A212:E212" si="298">A159</f>
        <v>RCC</v>
      </c>
      <c r="B212" s="48" t="str">
        <f t="shared" si="298"/>
        <v/>
      </c>
      <c r="C212" s="48" t="str">
        <f t="shared" si="298"/>
        <v>RCC幣</v>
      </c>
      <c r="D212" s="48" t="str">
        <f t="shared" si="298"/>
        <v/>
      </c>
      <c r="E212" s="64">
        <f t="shared" si="298"/>
        <v>0.002</v>
      </c>
      <c r="F212" s="65">
        <f t="shared" ref="F212:Y212" si="299">F159*2</f>
        <v>0.6</v>
      </c>
      <c r="G212" s="65">
        <f t="shared" si="299"/>
        <v>1.2</v>
      </c>
      <c r="H212" s="65">
        <f t="shared" si="299"/>
        <v>3</v>
      </c>
      <c r="I212" s="65">
        <f t="shared" si="299"/>
        <v>6</v>
      </c>
      <c r="J212" s="65">
        <f t="shared" si="299"/>
        <v>7.2</v>
      </c>
      <c r="K212" s="65">
        <f t="shared" si="299"/>
        <v>9</v>
      </c>
      <c r="L212" s="65">
        <f t="shared" si="299"/>
        <v>12</v>
      </c>
      <c r="M212" s="65">
        <f t="shared" si="299"/>
        <v>15</v>
      </c>
      <c r="N212" s="65">
        <f t="shared" si="299"/>
        <v>18</v>
      </c>
      <c r="O212" s="65">
        <f t="shared" si="299"/>
        <v>21</v>
      </c>
      <c r="P212" s="65">
        <f t="shared" si="299"/>
        <v>24</v>
      </c>
      <c r="Q212" s="65">
        <f t="shared" si="299"/>
        <v>27</v>
      </c>
      <c r="R212" s="65">
        <f t="shared" si="299"/>
        <v>30</v>
      </c>
      <c r="S212" s="65">
        <f t="shared" si="299"/>
        <v>36</v>
      </c>
      <c r="T212" s="65">
        <f t="shared" si="299"/>
        <v>42</v>
      </c>
      <c r="U212" s="65">
        <f t="shared" si="299"/>
        <v>48</v>
      </c>
      <c r="V212" s="65">
        <f t="shared" si="299"/>
        <v>54</v>
      </c>
      <c r="W212" s="65">
        <f t="shared" si="299"/>
        <v>60</v>
      </c>
      <c r="X212" s="65">
        <f t="shared" si="299"/>
        <v>90</v>
      </c>
      <c r="Y212" s="65">
        <f t="shared" si="299"/>
        <v>120</v>
      </c>
    </row>
    <row r="213" ht="16.5" customHeight="1">
      <c r="A213" s="48" t="str">
        <f t="shared" ref="A213:E213" si="300">A160</f>
        <v>KBB</v>
      </c>
      <c r="B213" s="48" t="str">
        <f t="shared" si="300"/>
        <v/>
      </c>
      <c r="C213" s="48" t="str">
        <f t="shared" si="300"/>
        <v>爸幣</v>
      </c>
      <c r="D213" s="48" t="str">
        <f t="shared" si="300"/>
        <v/>
      </c>
      <c r="E213" s="64">
        <f t="shared" si="300"/>
        <v>0.01</v>
      </c>
      <c r="F213" s="65">
        <f t="shared" ref="F213:Y213" si="301">F160*2</f>
        <v>15</v>
      </c>
      <c r="G213" s="65">
        <f t="shared" si="301"/>
        <v>30</v>
      </c>
      <c r="H213" s="65">
        <f t="shared" si="301"/>
        <v>45</v>
      </c>
      <c r="I213" s="65">
        <f t="shared" si="301"/>
        <v>60</v>
      </c>
      <c r="J213" s="65">
        <f t="shared" si="301"/>
        <v>90</v>
      </c>
      <c r="K213" s="65">
        <f t="shared" si="301"/>
        <v>120</v>
      </c>
      <c r="L213" s="65">
        <f t="shared" si="301"/>
        <v>150</v>
      </c>
      <c r="M213" s="65">
        <f t="shared" si="301"/>
        <v>180</v>
      </c>
      <c r="N213" s="65">
        <f t="shared" si="301"/>
        <v>240</v>
      </c>
      <c r="O213" s="65">
        <f t="shared" si="301"/>
        <v>300</v>
      </c>
      <c r="P213" s="65">
        <f t="shared" si="301"/>
        <v>450</v>
      </c>
      <c r="Q213" s="65">
        <f t="shared" si="301"/>
        <v>600</v>
      </c>
      <c r="R213" s="65">
        <f t="shared" si="301"/>
        <v>900</v>
      </c>
      <c r="S213" s="65">
        <f t="shared" si="301"/>
        <v>1500</v>
      </c>
      <c r="T213" s="65">
        <f t="shared" si="301"/>
        <v>3000</v>
      </c>
      <c r="U213" s="65">
        <f t="shared" si="301"/>
        <v>4500</v>
      </c>
      <c r="V213" s="65">
        <f t="shared" si="301"/>
        <v>9000</v>
      </c>
      <c r="W213" s="65">
        <f t="shared" si="301"/>
        <v>15000</v>
      </c>
      <c r="X213" s="65">
        <f t="shared" si="301"/>
        <v>22500</v>
      </c>
      <c r="Y213" s="65">
        <f t="shared" si="301"/>
        <v>30000</v>
      </c>
    </row>
    <row r="214" ht="16.5" customHeight="1">
      <c r="A214" s="48" t="str">
        <f t="shared" ref="A214:E214" si="302">A161</f>
        <v>XSMY</v>
      </c>
      <c r="B214" s="48" t="str">
        <f t="shared" si="302"/>
        <v/>
      </c>
      <c r="C214" s="48" t="str">
        <f t="shared" si="302"/>
        <v>星城馬來西亞</v>
      </c>
      <c r="D214" s="48" t="str">
        <f t="shared" si="302"/>
        <v/>
      </c>
      <c r="E214" s="64">
        <f t="shared" si="302"/>
        <v>1</v>
      </c>
      <c r="F214" s="65">
        <f t="shared" ref="F214:Y214" si="303">F161*2</f>
        <v>300</v>
      </c>
      <c r="G214" s="65">
        <f t="shared" si="303"/>
        <v>600</v>
      </c>
      <c r="H214" s="65">
        <f t="shared" si="303"/>
        <v>1500</v>
      </c>
      <c r="I214" s="65">
        <f t="shared" si="303"/>
        <v>3000</v>
      </c>
      <c r="J214" s="65">
        <f t="shared" si="303"/>
        <v>3600</v>
      </c>
      <c r="K214" s="65">
        <f t="shared" si="303"/>
        <v>4500</v>
      </c>
      <c r="L214" s="65">
        <f t="shared" si="303"/>
        <v>6000</v>
      </c>
      <c r="M214" s="65">
        <f t="shared" si="303"/>
        <v>7500</v>
      </c>
      <c r="N214" s="65">
        <f t="shared" si="303"/>
        <v>9000</v>
      </c>
      <c r="O214" s="65">
        <f t="shared" si="303"/>
        <v>10500</v>
      </c>
      <c r="P214" s="65">
        <f t="shared" si="303"/>
        <v>12000</v>
      </c>
      <c r="Q214" s="65">
        <f t="shared" si="303"/>
        <v>15000</v>
      </c>
      <c r="R214" s="65">
        <f t="shared" si="303"/>
        <v>18000</v>
      </c>
      <c r="S214" s="65">
        <f t="shared" si="303"/>
        <v>24000</v>
      </c>
      <c r="T214" s="65">
        <f t="shared" si="303"/>
        <v>27000</v>
      </c>
      <c r="U214" s="65">
        <f t="shared" si="303"/>
        <v>30000</v>
      </c>
      <c r="V214" s="65">
        <f t="shared" si="303"/>
        <v>45000</v>
      </c>
      <c r="W214" s="65">
        <f t="shared" si="303"/>
        <v>60000</v>
      </c>
      <c r="X214" s="65">
        <f t="shared" si="303"/>
        <v>90000</v>
      </c>
      <c r="Y214" s="65">
        <f t="shared" si="303"/>
        <v>150000</v>
      </c>
    </row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</sheetData>
  <mergeCells count="7">
    <mergeCell ref="A1:A2"/>
    <mergeCell ref="B1:B2"/>
    <mergeCell ref="C1:C2"/>
    <mergeCell ref="D1:D2"/>
    <mergeCell ref="E1:E2"/>
    <mergeCell ref="AA5:AA47"/>
    <mergeCell ref="AA58:AA100"/>
  </mergeCells>
  <conditionalFormatting sqref="Z59:Z100">
    <cfRule type="cellIs" dxfId="0" priority="1" operator="lessThan">
      <formula>0.2</formula>
    </cfRule>
  </conditionalFormatting>
  <conditionalFormatting sqref="AE6:AE47 AE53:AE55">
    <cfRule type="cellIs" dxfId="0" priority="2" operator="lessThan">
      <formula>20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11.56"/>
    <col customWidth="1" min="2" max="2" width="8.0"/>
    <col customWidth="1" min="3" max="3" width="15.11"/>
    <col customWidth="1" min="4" max="4" width="4.44"/>
    <col customWidth="1" min="5" max="5" width="21.56"/>
    <col customWidth="1" min="6" max="6" width="6.22"/>
    <col customWidth="1" min="7" max="7" width="4.78"/>
    <col customWidth="1" min="8" max="8" width="8.89"/>
    <col customWidth="1" min="9" max="10" width="7.33"/>
    <col customWidth="1" min="11" max="11" width="5.44"/>
    <col customWidth="1" min="12" max="12" width="5.0"/>
    <col customWidth="1" min="13" max="13" width="8.89"/>
    <col customWidth="1" min="14" max="15" width="7.33"/>
    <col customWidth="1" min="16" max="16" width="5.44"/>
    <col customWidth="1" min="17" max="17" width="5.0"/>
    <col customWidth="1" min="18" max="18" width="8.89"/>
    <col customWidth="1" min="19" max="20" width="7.33"/>
    <col customWidth="1" min="21" max="41" width="4.22"/>
  </cols>
  <sheetData>
    <row r="1" ht="16.5" customHeight="1">
      <c r="F1" s="22" t="s">
        <v>76</v>
      </c>
      <c r="K1" s="22" t="s">
        <v>77</v>
      </c>
      <c r="L1" s="22"/>
      <c r="M1" s="22">
        <v>0.002</v>
      </c>
    </row>
    <row r="2" ht="16.5" customHeight="1">
      <c r="F2" s="89" t="s">
        <v>78</v>
      </c>
      <c r="G2" s="90"/>
      <c r="H2" s="90"/>
      <c r="I2" s="90"/>
      <c r="J2" s="90"/>
      <c r="K2" s="90"/>
      <c r="L2" s="90"/>
      <c r="M2" s="90"/>
      <c r="N2" s="90"/>
      <c r="O2" s="90"/>
    </row>
    <row r="3" ht="16.5" customHeight="1">
      <c r="F3" s="91"/>
      <c r="G3" s="22"/>
      <c r="H3" s="22"/>
      <c r="I3" s="22"/>
      <c r="J3" s="92"/>
      <c r="K3" s="91"/>
      <c r="L3" s="22"/>
      <c r="M3" s="22"/>
      <c r="N3" s="22"/>
      <c r="O3" s="92"/>
    </row>
    <row r="4" ht="16.5" customHeight="1">
      <c r="A4" s="22" t="s">
        <v>79</v>
      </c>
      <c r="B4" s="22" t="s">
        <v>46</v>
      </c>
      <c r="C4" s="22" t="s">
        <v>45</v>
      </c>
      <c r="E4" s="22" t="s">
        <v>80</v>
      </c>
      <c r="F4" s="93" t="s">
        <v>81</v>
      </c>
      <c r="G4" s="22" t="s">
        <v>82</v>
      </c>
      <c r="H4" s="22" t="s">
        <v>83</v>
      </c>
      <c r="I4" s="22" t="s">
        <v>84</v>
      </c>
      <c r="J4" s="94" t="s">
        <v>85</v>
      </c>
      <c r="K4" s="93" t="s">
        <v>81</v>
      </c>
      <c r="L4" s="22" t="s">
        <v>82</v>
      </c>
      <c r="M4" s="22" t="s">
        <v>83</v>
      </c>
      <c r="N4" s="22" t="s">
        <v>84</v>
      </c>
      <c r="O4" s="94" t="s">
        <v>85</v>
      </c>
      <c r="P4" s="93" t="s">
        <v>81</v>
      </c>
      <c r="Q4" s="22" t="s">
        <v>82</v>
      </c>
      <c r="R4" s="22" t="s">
        <v>83</v>
      </c>
      <c r="S4" s="22" t="s">
        <v>84</v>
      </c>
      <c r="T4" s="94" t="s">
        <v>85</v>
      </c>
    </row>
    <row r="5" ht="16.5" customHeight="1">
      <c r="E5" s="95"/>
      <c r="F5" s="96">
        <v>100.0</v>
      </c>
      <c r="J5" s="68"/>
      <c r="K5" s="96">
        <v>150.0</v>
      </c>
      <c r="P5" s="96">
        <v>88.0</v>
      </c>
    </row>
    <row r="6" ht="16.5" customHeight="1">
      <c r="A6" s="22" t="s">
        <v>86</v>
      </c>
      <c r="B6" s="97" t="s">
        <v>87</v>
      </c>
      <c r="C6" s="22" t="s">
        <v>88</v>
      </c>
      <c r="D6" s="22">
        <v>1.0</v>
      </c>
      <c r="E6" s="71">
        <f>IFERROR(__xludf.DUMMYFUNCTION("GOOGLEFINANCE(""Currency:""&amp;A6&amp;""TWD"")*D6"),0.928234)</f>
        <v>0.928234</v>
      </c>
      <c r="F6" s="98">
        <f>1/$E6/$F$5/H6</f>
        <v>0.01077314556</v>
      </c>
      <c r="G6" s="99">
        <v>0.002</v>
      </c>
      <c r="H6" s="100">
        <f>'100'!F59</f>
        <v>1</v>
      </c>
      <c r="I6" s="101">
        <f t="shared" ref="I6:I54" si="1">H6*$E6</f>
        <v>0.928234</v>
      </c>
      <c r="J6" s="101">
        <f>$E6*'100'!Y59</f>
        <v>1392.351</v>
      </c>
      <c r="K6" s="98">
        <f t="shared" ref="K6:K54" si="2">1/$E6/$K$5</f>
        <v>0.007182097043</v>
      </c>
      <c r="L6" s="99">
        <f t="shared" ref="L6:L52" si="3">G6</f>
        <v>0.002</v>
      </c>
      <c r="M6" s="100">
        <f>'150'!F59</f>
        <v>1.5</v>
      </c>
      <c r="N6" s="101">
        <f t="shared" ref="N6:N54" si="4">M6*$E6</f>
        <v>1.392351</v>
      </c>
      <c r="O6" s="101">
        <f>$E6*'150'!Y59</f>
        <v>2088.5265</v>
      </c>
      <c r="P6" s="98">
        <f t="shared" ref="P6:P54" si="5">1/$E6/$K$5</f>
        <v>0.007182097043</v>
      </c>
      <c r="Q6" s="99">
        <f t="shared" ref="Q6:Q17" si="6">L6</f>
        <v>0.002</v>
      </c>
      <c r="R6" s="100">
        <f>'150'!K59</f>
        <v>9</v>
      </c>
      <c r="S6" s="101">
        <f t="shared" ref="S6:S54" si="7">R6*$E6</f>
        <v>8.354106</v>
      </c>
      <c r="T6" s="101">
        <f>$E6*'88'!Y59</f>
        <v>490.107552</v>
      </c>
    </row>
    <row r="7" ht="16.5" customHeight="1">
      <c r="A7" s="22" t="s">
        <v>89</v>
      </c>
      <c r="B7" s="97" t="s">
        <v>90</v>
      </c>
      <c r="C7" s="22" t="s">
        <v>91</v>
      </c>
      <c r="D7" s="22">
        <v>1.0</v>
      </c>
      <c r="E7" s="71">
        <f>IFERROR(__xludf.DUMMYFUNCTION("GOOGLEFINANCE(""Currency:""&amp;A7&amp;""TWD"")*D7"),4.197888558)</f>
        <v>4.197888558</v>
      </c>
      <c r="F7" s="98">
        <f t="shared" ref="F7:F54" si="8">1/$E7/$F$5</f>
        <v>0.002382149946</v>
      </c>
      <c r="G7" s="102">
        <v>0.002</v>
      </c>
      <c r="H7" s="100">
        <f>'100'!F60</f>
        <v>0.2</v>
      </c>
      <c r="I7" s="101">
        <f t="shared" si="1"/>
        <v>0.8395777116</v>
      </c>
      <c r="J7" s="101">
        <f>$E7*'100'!Y60</f>
        <v>1259.366567</v>
      </c>
      <c r="K7" s="98">
        <f t="shared" si="2"/>
        <v>0.001588099964</v>
      </c>
      <c r="L7" s="99">
        <f t="shared" si="3"/>
        <v>0.002</v>
      </c>
      <c r="M7" s="100">
        <f>'150'!F60</f>
        <v>0.3</v>
      </c>
      <c r="N7" s="101">
        <f t="shared" si="4"/>
        <v>1.259366567</v>
      </c>
      <c r="O7" s="101">
        <f>$E7*'150'!Y60</f>
        <v>1889.049851</v>
      </c>
      <c r="P7" s="98">
        <f t="shared" si="5"/>
        <v>0.001588099964</v>
      </c>
      <c r="Q7" s="99">
        <f t="shared" si="6"/>
        <v>0.002</v>
      </c>
      <c r="R7" s="100">
        <f>'150'!K60</f>
        <v>4.5</v>
      </c>
      <c r="S7" s="101">
        <f t="shared" si="7"/>
        <v>18.89049851</v>
      </c>
      <c r="T7" s="101">
        <f>$E7*'88'!Y60</f>
        <v>1108.242579</v>
      </c>
    </row>
    <row r="8" ht="16.5" customHeight="1">
      <c r="A8" s="22" t="s">
        <v>92</v>
      </c>
      <c r="B8" s="97" t="s">
        <v>93</v>
      </c>
      <c r="C8" s="22" t="s">
        <v>94</v>
      </c>
      <c r="D8" s="22">
        <v>1.0</v>
      </c>
      <c r="E8" s="71">
        <f>IFERROR(__xludf.DUMMYFUNCTION("GOOGLEFINANCE(""Currency:""&amp;A8&amp;""TWD"")*D8"),0.3890549)</f>
        <v>0.3890549</v>
      </c>
      <c r="F8" s="98">
        <f t="shared" si="8"/>
        <v>0.02570331334</v>
      </c>
      <c r="G8" s="102">
        <v>0.002</v>
      </c>
      <c r="H8" s="100">
        <f>'100'!F61</f>
        <v>2</v>
      </c>
      <c r="I8" s="101">
        <f t="shared" si="1"/>
        <v>0.7781098</v>
      </c>
      <c r="J8" s="101">
        <f>$E8*'100'!Y61</f>
        <v>1167.1647</v>
      </c>
      <c r="K8" s="98">
        <f t="shared" si="2"/>
        <v>0.01713554222</v>
      </c>
      <c r="L8" s="99">
        <f t="shared" si="3"/>
        <v>0.002</v>
      </c>
      <c r="M8" s="100">
        <f>'150'!F61</f>
        <v>3</v>
      </c>
      <c r="N8" s="101">
        <f t="shared" si="4"/>
        <v>1.1671647</v>
      </c>
      <c r="O8" s="101">
        <f>$E8*'150'!Y61</f>
        <v>1750.74705</v>
      </c>
      <c r="P8" s="98">
        <f t="shared" si="5"/>
        <v>0.01713554222</v>
      </c>
      <c r="Q8" s="99">
        <f t="shared" si="6"/>
        <v>0.002</v>
      </c>
      <c r="R8" s="100">
        <f>'150'!K61</f>
        <v>15</v>
      </c>
      <c r="S8" s="101">
        <f t="shared" si="7"/>
        <v>5.8358235</v>
      </c>
      <c r="T8" s="101">
        <f>$E8*'88'!Y61</f>
        <v>342.368312</v>
      </c>
    </row>
    <row r="9" ht="16.5" customHeight="1">
      <c r="A9" s="22" t="s">
        <v>95</v>
      </c>
      <c r="B9" s="97" t="s">
        <v>96</v>
      </c>
      <c r="C9" s="22" t="s">
        <v>97</v>
      </c>
      <c r="D9" s="22">
        <v>1000.0</v>
      </c>
      <c r="E9" s="71">
        <f>IFERROR(__xludf.DUMMYFUNCTION("GOOGLEFINANCE(""Currency:""&amp;A9&amp;""TWD"")*D9"),2.0212253)</f>
        <v>2.0212253</v>
      </c>
      <c r="F9" s="98">
        <f t="shared" si="8"/>
        <v>0.004947493978</v>
      </c>
      <c r="G9" s="102">
        <v>0.002</v>
      </c>
      <c r="H9" s="100">
        <f>'100'!F62</f>
        <v>0.4</v>
      </c>
      <c r="I9" s="101">
        <f t="shared" si="1"/>
        <v>0.80849012</v>
      </c>
      <c r="J9" s="101">
        <f>$E9*'100'!Y62</f>
        <v>1212.73518</v>
      </c>
      <c r="K9" s="98">
        <f t="shared" si="2"/>
        <v>0.003298329319</v>
      </c>
      <c r="L9" s="99">
        <f t="shared" si="3"/>
        <v>0.002</v>
      </c>
      <c r="M9" s="100">
        <f>'150'!F62</f>
        <v>0.6</v>
      </c>
      <c r="N9" s="101">
        <f t="shared" si="4"/>
        <v>1.21273518</v>
      </c>
      <c r="O9" s="101">
        <f>$E9*'150'!Y62</f>
        <v>1819.10277</v>
      </c>
      <c r="P9" s="98">
        <f t="shared" si="5"/>
        <v>0.003298329319</v>
      </c>
      <c r="Q9" s="99">
        <f t="shared" si="6"/>
        <v>0.002</v>
      </c>
      <c r="R9" s="100">
        <f>'150'!K62</f>
        <v>6</v>
      </c>
      <c r="S9" s="101">
        <f t="shared" si="7"/>
        <v>12.1273518</v>
      </c>
      <c r="T9" s="101">
        <f>$E9*'88'!Y62</f>
        <v>622.5373924</v>
      </c>
    </row>
    <row r="10" ht="16.5" customHeight="1">
      <c r="A10" s="22" t="s">
        <v>98</v>
      </c>
      <c r="B10" s="97" t="s">
        <v>99</v>
      </c>
      <c r="C10" s="22" t="s">
        <v>100</v>
      </c>
      <c r="D10" s="22">
        <v>1000.0</v>
      </c>
      <c r="E10" s="71">
        <f>IFERROR(__xludf.DUMMYFUNCTION("GOOGLEFINANCE(""Currency:""&amp;A10&amp;""TWD"")*D10"),1.300968628)</f>
        <v>1.300968628</v>
      </c>
      <c r="F10" s="98">
        <f t="shared" si="8"/>
        <v>0.007686580433</v>
      </c>
      <c r="G10" s="102">
        <v>0.002</v>
      </c>
      <c r="H10" s="100">
        <f>'100'!F63</f>
        <v>1</v>
      </c>
      <c r="I10" s="101">
        <f t="shared" si="1"/>
        <v>1.300968628</v>
      </c>
      <c r="J10" s="101">
        <f>$E10*'100'!Y63</f>
        <v>1300.968628</v>
      </c>
      <c r="K10" s="98">
        <f t="shared" si="2"/>
        <v>0.005124386955</v>
      </c>
      <c r="L10" s="99">
        <f t="shared" si="3"/>
        <v>0.002</v>
      </c>
      <c r="M10" s="100">
        <f>'150'!F63</f>
        <v>1.5</v>
      </c>
      <c r="N10" s="101">
        <f t="shared" si="4"/>
        <v>1.951452942</v>
      </c>
      <c r="O10" s="101">
        <f>$E10*'150'!Y63</f>
        <v>1951.452942</v>
      </c>
      <c r="P10" s="98">
        <f t="shared" si="5"/>
        <v>0.005124386955</v>
      </c>
      <c r="Q10" s="99">
        <f t="shared" si="6"/>
        <v>0.002</v>
      </c>
      <c r="R10" s="100">
        <f>'150'!K63</f>
        <v>7.5</v>
      </c>
      <c r="S10" s="101">
        <f t="shared" si="7"/>
        <v>9.75726471</v>
      </c>
      <c r="T10" s="101">
        <f>$E10*'88'!Y63</f>
        <v>457.9409571</v>
      </c>
    </row>
    <row r="11" ht="16.5" customHeight="1">
      <c r="A11" s="22" t="s">
        <v>101</v>
      </c>
      <c r="B11" s="97" t="s">
        <v>102</v>
      </c>
      <c r="C11" s="22" t="s">
        <v>103</v>
      </c>
      <c r="D11" s="22">
        <v>1.0</v>
      </c>
      <c r="E11" s="71">
        <f>IFERROR(__xludf.DUMMYFUNCTION("GOOGLEFINANCE(""Currency:""&amp;A11&amp;""TWD"")*D11"),7.41468329)</f>
        <v>7.41468329</v>
      </c>
      <c r="F11" s="98">
        <f t="shared" si="8"/>
        <v>0.001348675272</v>
      </c>
      <c r="G11" s="102">
        <v>0.002</v>
      </c>
      <c r="H11" s="100">
        <f>'100'!F64</f>
        <v>0.2</v>
      </c>
      <c r="I11" s="101">
        <f t="shared" si="1"/>
        <v>1.482936658</v>
      </c>
      <c r="J11" s="101">
        <f>$E11*'100'!Y64</f>
        <v>1482.936658</v>
      </c>
      <c r="K11" s="98">
        <f t="shared" si="2"/>
        <v>0.0008991168477</v>
      </c>
      <c r="L11" s="99">
        <f t="shared" si="3"/>
        <v>0.002</v>
      </c>
      <c r="M11" s="100">
        <f>'150'!F64</f>
        <v>0.3</v>
      </c>
      <c r="N11" s="101">
        <f t="shared" si="4"/>
        <v>2.224404987</v>
      </c>
      <c r="O11" s="101">
        <f>$E11*'150'!Y64</f>
        <v>2224.404987</v>
      </c>
      <c r="P11" s="98">
        <f t="shared" si="5"/>
        <v>0.0008991168477</v>
      </c>
      <c r="Q11" s="99">
        <f t="shared" si="6"/>
        <v>0.002</v>
      </c>
      <c r="R11" s="100">
        <f>'150'!K64</f>
        <v>4.5</v>
      </c>
      <c r="S11" s="101">
        <f t="shared" si="7"/>
        <v>33.36607481</v>
      </c>
      <c r="T11" s="101">
        <f>$E11*'88'!Y64</f>
        <v>1304.984259</v>
      </c>
    </row>
    <row r="12" ht="16.5" customHeight="1">
      <c r="A12" s="22" t="s">
        <v>104</v>
      </c>
      <c r="B12" s="97" t="s">
        <v>105</v>
      </c>
      <c r="C12" s="22" t="s">
        <v>106</v>
      </c>
      <c r="D12" s="22">
        <v>1.0</v>
      </c>
      <c r="E12" s="71">
        <f>IFERROR(__xludf.DUMMYFUNCTION("GOOGLEFINANCE(""Currency:""&amp;A12&amp;""TWD"")*D12"),24.676630000000003)</f>
        <v>24.67663</v>
      </c>
      <c r="F12" s="98">
        <f t="shared" si="8"/>
        <v>0.0004052417206</v>
      </c>
      <c r="G12" s="102">
        <v>0.002</v>
      </c>
      <c r="H12" s="100">
        <f>'100'!F65</f>
        <v>0.2</v>
      </c>
      <c r="I12" s="101">
        <f t="shared" si="1"/>
        <v>4.935326</v>
      </c>
      <c r="J12" s="101">
        <f>$E12*'100'!Y65</f>
        <v>987.0652</v>
      </c>
      <c r="K12" s="98">
        <f t="shared" si="2"/>
        <v>0.0002701611471</v>
      </c>
      <c r="L12" s="99">
        <f t="shared" si="3"/>
        <v>0.002</v>
      </c>
      <c r="M12" s="100">
        <f>'150'!F65</f>
        <v>0.3</v>
      </c>
      <c r="N12" s="101">
        <f t="shared" si="4"/>
        <v>7.402989</v>
      </c>
      <c r="O12" s="101">
        <f>$E12*'150'!Y65</f>
        <v>1480.5978</v>
      </c>
      <c r="P12" s="98">
        <f t="shared" si="5"/>
        <v>0.0002701611471</v>
      </c>
      <c r="Q12" s="99">
        <f t="shared" si="6"/>
        <v>0.002</v>
      </c>
      <c r="R12" s="100">
        <f>'150'!K65</f>
        <v>4.5</v>
      </c>
      <c r="S12" s="101">
        <f t="shared" si="7"/>
        <v>111.044835</v>
      </c>
      <c r="T12" s="101">
        <f>$E12*'88'!Y65</f>
        <v>2171.54344</v>
      </c>
    </row>
    <row r="13" ht="16.5" customHeight="1">
      <c r="A13" s="22" t="s">
        <v>107</v>
      </c>
      <c r="B13" s="97" t="s">
        <v>108</v>
      </c>
      <c r="C13" s="22" t="s">
        <v>109</v>
      </c>
      <c r="D13" s="22">
        <v>1.0</v>
      </c>
      <c r="E13" s="71">
        <f>IFERROR(__xludf.DUMMYFUNCTION("GOOGLEFINANCE(""Currency:""&amp;A13&amp;""TWD"")*D13"),32.6128)</f>
        <v>32.6128</v>
      </c>
      <c r="F13" s="98">
        <f t="shared" si="8"/>
        <v>0.0003066280724</v>
      </c>
      <c r="G13" s="102">
        <v>0.002</v>
      </c>
      <c r="H13" s="100">
        <f>'100'!F66</f>
        <v>0.2</v>
      </c>
      <c r="I13" s="101">
        <f t="shared" si="1"/>
        <v>6.52256</v>
      </c>
      <c r="J13" s="101">
        <f>$E13*'100'!Y66</f>
        <v>1304.512</v>
      </c>
      <c r="K13" s="98">
        <f t="shared" si="2"/>
        <v>0.0002044187149</v>
      </c>
      <c r="L13" s="99">
        <f t="shared" si="3"/>
        <v>0.002</v>
      </c>
      <c r="M13" s="100">
        <f>'150'!F66</f>
        <v>0.3</v>
      </c>
      <c r="N13" s="101">
        <f t="shared" si="4"/>
        <v>9.78384</v>
      </c>
      <c r="O13" s="101">
        <f>$E13*'150'!Y66</f>
        <v>1956.768</v>
      </c>
      <c r="P13" s="98">
        <f t="shared" si="5"/>
        <v>0.0002044187149</v>
      </c>
      <c r="Q13" s="99">
        <f t="shared" si="6"/>
        <v>0.002</v>
      </c>
      <c r="R13" s="100">
        <f>'150'!K66</f>
        <v>4.5</v>
      </c>
      <c r="S13" s="101">
        <f t="shared" si="7"/>
        <v>146.7576</v>
      </c>
      <c r="T13" s="101">
        <f>$E13*'88'!Y66</f>
        <v>2869.9264</v>
      </c>
    </row>
    <row r="14" ht="16.5" customHeight="1">
      <c r="A14" s="22" t="s">
        <v>110</v>
      </c>
      <c r="B14" s="97" t="s">
        <v>111</v>
      </c>
      <c r="C14" s="22" t="s">
        <v>112</v>
      </c>
      <c r="D14" s="22">
        <v>1.0</v>
      </c>
      <c r="E14" s="71">
        <f>IFERROR(__xludf.DUMMYFUNCTION("GOOGLEFINANCE(""Currency:""&amp;A14&amp;""TWD"")*D14"),0.2800025102)</f>
        <v>0.2800025102</v>
      </c>
      <c r="F14" s="98">
        <f t="shared" si="8"/>
        <v>0.03571396554</v>
      </c>
      <c r="G14" s="102">
        <v>0.002</v>
      </c>
      <c r="H14" s="100">
        <f>'100'!F67</f>
        <v>2</v>
      </c>
      <c r="I14" s="101">
        <f t="shared" si="1"/>
        <v>0.5600050204</v>
      </c>
      <c r="J14" s="101">
        <f>$E14*'100'!Y67</f>
        <v>840.0075306</v>
      </c>
      <c r="K14" s="98">
        <f t="shared" si="2"/>
        <v>0.02380931036</v>
      </c>
      <c r="L14" s="99">
        <f t="shared" si="3"/>
        <v>0.002</v>
      </c>
      <c r="M14" s="100">
        <f>'150'!F67</f>
        <v>3</v>
      </c>
      <c r="N14" s="101">
        <f t="shared" si="4"/>
        <v>0.8400075306</v>
      </c>
      <c r="O14" s="101">
        <f>$E14*'150'!Y67</f>
        <v>1260.011296</v>
      </c>
      <c r="P14" s="98">
        <f t="shared" si="5"/>
        <v>0.02380931036</v>
      </c>
      <c r="Q14" s="99">
        <f t="shared" si="6"/>
        <v>0.002</v>
      </c>
      <c r="R14" s="100">
        <f>'150'!K67</f>
        <v>15</v>
      </c>
      <c r="S14" s="101">
        <f t="shared" si="7"/>
        <v>4.200037653</v>
      </c>
      <c r="T14" s="101">
        <f>$E14*'88'!Y67</f>
        <v>246.402209</v>
      </c>
    </row>
    <row r="15" ht="16.5" customHeight="1">
      <c r="A15" s="22" t="s">
        <v>113</v>
      </c>
      <c r="B15" s="103" t="s">
        <v>114</v>
      </c>
      <c r="C15" s="22" t="s">
        <v>115</v>
      </c>
      <c r="D15" s="22">
        <v>1.0</v>
      </c>
      <c r="E15" s="71">
        <f>IFERROR(__xludf.DUMMYFUNCTION("GOOGLEFINANCE(""Currency:""&amp;A15&amp;""TWD"")*D15"),0.1181703056)</f>
        <v>0.1181703056</v>
      </c>
      <c r="F15" s="98">
        <f t="shared" si="8"/>
        <v>0.08462362815</v>
      </c>
      <c r="G15" s="102">
        <v>0.01</v>
      </c>
      <c r="H15" s="100">
        <f>'100'!F68</f>
        <v>5</v>
      </c>
      <c r="I15" s="101">
        <f t="shared" si="1"/>
        <v>0.590851528</v>
      </c>
      <c r="J15" s="101">
        <f>$E15*'100'!Y68</f>
        <v>1181.703056</v>
      </c>
      <c r="K15" s="98">
        <f t="shared" si="2"/>
        <v>0.0564157521</v>
      </c>
      <c r="L15" s="99">
        <f t="shared" si="3"/>
        <v>0.01</v>
      </c>
      <c r="M15" s="100">
        <f>'150'!F68</f>
        <v>7.5</v>
      </c>
      <c r="N15" s="101">
        <f t="shared" si="4"/>
        <v>0.886277292</v>
      </c>
      <c r="O15" s="101">
        <f>$E15*'150'!Y68</f>
        <v>1772.554584</v>
      </c>
      <c r="P15" s="98">
        <f t="shared" si="5"/>
        <v>0.0564157521</v>
      </c>
      <c r="Q15" s="99">
        <f t="shared" si="6"/>
        <v>0.01</v>
      </c>
      <c r="R15" s="100">
        <f>'150'!K68</f>
        <v>60</v>
      </c>
      <c r="S15" s="101">
        <f t="shared" si="7"/>
        <v>7.090218336</v>
      </c>
      <c r="T15" s="101">
        <f>$E15*'88'!Y68</f>
        <v>415.9594757</v>
      </c>
    </row>
    <row r="16" ht="16.5" customHeight="1">
      <c r="A16" s="22" t="s">
        <v>116</v>
      </c>
      <c r="B16" s="103" t="s">
        <v>117</v>
      </c>
      <c r="C16" s="22" t="s">
        <v>118</v>
      </c>
      <c r="D16" s="22">
        <v>1000.0</v>
      </c>
      <c r="E16" s="71">
        <f>IFERROR(__xludf.DUMMYFUNCTION("GOOGLEFINANCE(""Currency:""&amp;A16&amp;""TWD"")*D16"),10.04617852)</f>
        <v>10.04617852</v>
      </c>
      <c r="F16" s="98">
        <f t="shared" si="8"/>
        <v>0.0009954033745</v>
      </c>
      <c r="G16" s="102">
        <v>0.002</v>
      </c>
      <c r="H16" s="100">
        <f>'100'!F69</f>
        <v>0.2</v>
      </c>
      <c r="I16" s="101">
        <f t="shared" si="1"/>
        <v>2.009235704</v>
      </c>
      <c r="J16" s="101">
        <f>$E16*'100'!Y69</f>
        <v>602.7707112</v>
      </c>
      <c r="K16" s="98">
        <f t="shared" si="2"/>
        <v>0.0006636022497</v>
      </c>
      <c r="L16" s="99">
        <f t="shared" si="3"/>
        <v>0.002</v>
      </c>
      <c r="M16" s="100">
        <f>'150'!F69</f>
        <v>0.3</v>
      </c>
      <c r="N16" s="101">
        <f t="shared" si="4"/>
        <v>3.013853556</v>
      </c>
      <c r="O16" s="101">
        <f>$E16*'150'!Y69</f>
        <v>904.1560668</v>
      </c>
      <c r="P16" s="98">
        <f t="shared" si="5"/>
        <v>0.0006636022497</v>
      </c>
      <c r="Q16" s="99">
        <f t="shared" si="6"/>
        <v>0.002</v>
      </c>
      <c r="R16" s="100">
        <f>'150'!K69</f>
        <v>4.5</v>
      </c>
      <c r="S16" s="101">
        <f t="shared" si="7"/>
        <v>45.20780334</v>
      </c>
      <c r="T16" s="101">
        <f>$E16*'88'!Y69</f>
        <v>1060.876452</v>
      </c>
    </row>
    <row r="17" ht="16.5" customHeight="1">
      <c r="A17" s="22" t="s">
        <v>119</v>
      </c>
      <c r="B17" s="103" t="s">
        <v>117</v>
      </c>
      <c r="C17" s="22" t="s">
        <v>120</v>
      </c>
      <c r="D17" s="22">
        <v>100.0</v>
      </c>
      <c r="E17" s="71">
        <f>IFERROR(__xludf.DUMMYFUNCTION("GOOGLEFINANCE(""Currency:""&amp;A16&amp;""TWD"")*D17"),1.004617852)</f>
        <v>1.004617852</v>
      </c>
      <c r="F17" s="98">
        <f t="shared" si="8"/>
        <v>0.009954033745</v>
      </c>
      <c r="G17" s="102">
        <v>0.004</v>
      </c>
      <c r="H17" s="100">
        <f>'100'!F70</f>
        <v>0.4</v>
      </c>
      <c r="I17" s="101">
        <f t="shared" si="1"/>
        <v>0.4018471408</v>
      </c>
      <c r="J17" s="101">
        <f>$E17*'100'!Y70</f>
        <v>602.7707112</v>
      </c>
      <c r="K17" s="98">
        <f t="shared" si="2"/>
        <v>0.006636022497</v>
      </c>
      <c r="L17" s="99">
        <f t="shared" si="3"/>
        <v>0.004</v>
      </c>
      <c r="M17" s="100">
        <f>'150'!F70</f>
        <v>0.6</v>
      </c>
      <c r="N17" s="101">
        <f t="shared" si="4"/>
        <v>0.6027707112</v>
      </c>
      <c r="O17" s="101">
        <f>$E17*'150'!Y70</f>
        <v>904.1560668</v>
      </c>
      <c r="P17" s="98">
        <f t="shared" si="5"/>
        <v>0.006636022497</v>
      </c>
      <c r="Q17" s="99">
        <f t="shared" si="6"/>
        <v>0.004</v>
      </c>
      <c r="R17" s="100">
        <f>'150'!K70</f>
        <v>9</v>
      </c>
      <c r="S17" s="101">
        <f t="shared" si="7"/>
        <v>9.041560668</v>
      </c>
      <c r="T17" s="101">
        <f>$E17*'88'!Y70</f>
        <v>530.4382259</v>
      </c>
    </row>
    <row r="18" ht="16.5" customHeight="1">
      <c r="A18" s="22" t="s">
        <v>121</v>
      </c>
      <c r="B18" s="103" t="s">
        <v>122</v>
      </c>
      <c r="C18" s="22" t="s">
        <v>123</v>
      </c>
      <c r="D18" s="22">
        <v>1.0</v>
      </c>
      <c r="E18" s="71">
        <f>IFERROR(__xludf.DUMMYFUNCTION("GOOGLEFINANCE(""Currency:""&amp;A18&amp;""TWD"")*D18"),0.5653213571)</f>
        <v>0.5653213571</v>
      </c>
      <c r="F18" s="98">
        <f t="shared" si="8"/>
        <v>0.01768905398</v>
      </c>
      <c r="G18" s="102">
        <v>0.002</v>
      </c>
      <c r="H18" s="100">
        <f>'100'!F71</f>
        <v>1</v>
      </c>
      <c r="I18" s="101">
        <f t="shared" si="1"/>
        <v>0.5653213571</v>
      </c>
      <c r="J18" s="101">
        <f>$E18*'100'!Y71</f>
        <v>847.9820357</v>
      </c>
      <c r="K18" s="98">
        <f t="shared" si="2"/>
        <v>0.01179270265</v>
      </c>
      <c r="L18" s="99">
        <f t="shared" si="3"/>
        <v>0.002</v>
      </c>
      <c r="M18" s="100">
        <f>'150'!F71</f>
        <v>1.5</v>
      </c>
      <c r="N18" s="101">
        <f t="shared" si="4"/>
        <v>0.8479820357</v>
      </c>
      <c r="O18" s="101">
        <f>$E18*'150'!Y71</f>
        <v>1271.973053</v>
      </c>
      <c r="P18" s="98">
        <f t="shared" si="5"/>
        <v>0.01179270265</v>
      </c>
      <c r="Q18" s="99">
        <v>0.01</v>
      </c>
      <c r="R18" s="100">
        <f>'150'!K71</f>
        <v>9</v>
      </c>
      <c r="S18" s="101">
        <f t="shared" si="7"/>
        <v>5.087892214</v>
      </c>
      <c r="T18" s="101">
        <f>$E18*'88'!Y71</f>
        <v>2984.896765</v>
      </c>
    </row>
    <row r="19" ht="16.5" customHeight="1">
      <c r="A19" s="22" t="s">
        <v>124</v>
      </c>
      <c r="B19" s="103" t="s">
        <v>125</v>
      </c>
      <c r="C19" s="22" t="s">
        <v>126</v>
      </c>
      <c r="D19" s="22">
        <v>1.0</v>
      </c>
      <c r="E19" s="71">
        <f>IFERROR(__xludf.DUMMYFUNCTION("GOOGLEFINANCE(""Currency:""&amp;A19&amp;""TWD"")*D19"),4.578511)</f>
        <v>4.578511</v>
      </c>
      <c r="F19" s="98">
        <f t="shared" si="8"/>
        <v>0.00218411619</v>
      </c>
      <c r="G19" s="102">
        <v>0.002</v>
      </c>
      <c r="H19" s="100">
        <f>'100'!F72</f>
        <v>0.2</v>
      </c>
      <c r="I19" s="101">
        <f t="shared" si="1"/>
        <v>0.9157022</v>
      </c>
      <c r="J19" s="101">
        <f>$E19*'100'!Y72</f>
        <v>1373.5533</v>
      </c>
      <c r="K19" s="98">
        <f t="shared" si="2"/>
        <v>0.00145607746</v>
      </c>
      <c r="L19" s="99">
        <f t="shared" si="3"/>
        <v>0.002</v>
      </c>
      <c r="M19" s="100">
        <f>'150'!F72</f>
        <v>0.3</v>
      </c>
      <c r="N19" s="101">
        <f t="shared" si="4"/>
        <v>1.3735533</v>
      </c>
      <c r="O19" s="101">
        <f>$E19*'150'!Y72</f>
        <v>6867.7665</v>
      </c>
      <c r="P19" s="98">
        <f t="shared" si="5"/>
        <v>0.00145607746</v>
      </c>
      <c r="Q19" s="99">
        <f t="shared" ref="Q19:Q52" si="9">L19</f>
        <v>0.002</v>
      </c>
      <c r="R19" s="100">
        <f>'150'!K72</f>
        <v>6</v>
      </c>
      <c r="S19" s="101">
        <f t="shared" si="7"/>
        <v>27.471066</v>
      </c>
      <c r="T19" s="101">
        <f>$E19*'88'!Y72</f>
        <v>1208.726904</v>
      </c>
    </row>
    <row r="20" ht="16.5" customHeight="1">
      <c r="A20" s="22" t="s">
        <v>127</v>
      </c>
      <c r="B20" s="97" t="s">
        <v>128</v>
      </c>
      <c r="C20" s="22" t="s">
        <v>129</v>
      </c>
      <c r="D20" s="22">
        <v>1.0</v>
      </c>
      <c r="E20" s="71">
        <f>IFERROR(__xludf.DUMMYFUNCTION("GOOGLEFINANCE(""Currency:""&amp;A20&amp;""TWD"")*D20"),1.6445982780000001)</f>
        <v>1.644598278</v>
      </c>
      <c r="F20" s="98">
        <f t="shared" si="8"/>
        <v>0.006080512265</v>
      </c>
      <c r="G20" s="102">
        <v>0.002</v>
      </c>
      <c r="H20" s="100">
        <f>'100'!F73</f>
        <v>0.4</v>
      </c>
      <c r="I20" s="101">
        <f t="shared" si="1"/>
        <v>0.6578393112</v>
      </c>
      <c r="J20" s="101">
        <f>$E20*'100'!Y73</f>
        <v>986.7589668</v>
      </c>
      <c r="K20" s="98">
        <f t="shared" si="2"/>
        <v>0.004053674843</v>
      </c>
      <c r="L20" s="99">
        <f t="shared" si="3"/>
        <v>0.002</v>
      </c>
      <c r="M20" s="100">
        <f>'150'!F73</f>
        <v>0.6</v>
      </c>
      <c r="N20" s="101">
        <f t="shared" si="4"/>
        <v>0.9867589668</v>
      </c>
      <c r="O20" s="101">
        <f>$E20*'150'!Y73</f>
        <v>1480.13845</v>
      </c>
      <c r="P20" s="98">
        <f t="shared" si="5"/>
        <v>0.004053674843</v>
      </c>
      <c r="Q20" s="99">
        <f t="shared" si="9"/>
        <v>0.002</v>
      </c>
      <c r="R20" s="100">
        <f>'150'!K73</f>
        <v>6</v>
      </c>
      <c r="S20" s="101">
        <f t="shared" si="7"/>
        <v>9.867589668</v>
      </c>
      <c r="T20" s="101">
        <f>$E20*'88'!Y73</f>
        <v>506.5362696</v>
      </c>
    </row>
    <row r="21" ht="16.5" customHeight="1">
      <c r="A21" s="22" t="s">
        <v>130</v>
      </c>
      <c r="B21" s="97" t="s">
        <v>131</v>
      </c>
      <c r="C21" s="22" t="s">
        <v>132</v>
      </c>
      <c r="D21" s="22">
        <v>1.0</v>
      </c>
      <c r="E21" s="71">
        <f>IFERROR(__xludf.DUMMYFUNCTION("GOOGLEFINANCE(""Currency:""&amp;A21&amp;""TWD"")*D21"),5.696181725000001)</f>
        <v>5.696181725</v>
      </c>
      <c r="F21" s="98">
        <f t="shared" si="8"/>
        <v>0.001755561968</v>
      </c>
      <c r="G21" s="102">
        <v>0.002</v>
      </c>
      <c r="H21" s="100">
        <f>'100'!F74</f>
        <v>0.2</v>
      </c>
      <c r="I21" s="101">
        <f t="shared" si="1"/>
        <v>1.139236345</v>
      </c>
      <c r="J21" s="101">
        <f>$E21*'100'!Y74</f>
        <v>1139.236345</v>
      </c>
      <c r="K21" s="98">
        <f t="shared" si="2"/>
        <v>0.001170374645</v>
      </c>
      <c r="L21" s="99">
        <f t="shared" si="3"/>
        <v>0.002</v>
      </c>
      <c r="M21" s="100">
        <f>'150'!F74</f>
        <v>0.3</v>
      </c>
      <c r="N21" s="101">
        <f t="shared" si="4"/>
        <v>1.708854518</v>
      </c>
      <c r="O21" s="101">
        <f>$E21*'150'!Y74</f>
        <v>1708.854518</v>
      </c>
      <c r="P21" s="98">
        <f t="shared" si="5"/>
        <v>0.001170374645</v>
      </c>
      <c r="Q21" s="99">
        <f t="shared" si="9"/>
        <v>0.002</v>
      </c>
      <c r="R21" s="100">
        <f>'150'!K74</f>
        <v>4.5</v>
      </c>
      <c r="S21" s="101">
        <f t="shared" si="7"/>
        <v>25.63281776</v>
      </c>
      <c r="T21" s="101">
        <f>$E21*'88'!Y74</f>
        <v>1002.527984</v>
      </c>
    </row>
    <row r="22" ht="16.5" customHeight="1">
      <c r="A22" s="22" t="s">
        <v>133</v>
      </c>
      <c r="B22" s="97" t="s">
        <v>134</v>
      </c>
      <c r="C22" s="22" t="s">
        <v>135</v>
      </c>
      <c r="D22" s="22">
        <v>1.0</v>
      </c>
      <c r="E22" s="71">
        <f>IFERROR(__xludf.DUMMYFUNCTION("GOOGLEFINANCE(""Currency:""&amp;A22&amp;""TWD"")*D22"),21.10692098)</f>
        <v>21.10692098</v>
      </c>
      <c r="F22" s="98">
        <f t="shared" si="8"/>
        <v>0.000473778246</v>
      </c>
      <c r="G22" s="102">
        <v>0.002</v>
      </c>
      <c r="H22" s="100">
        <f>'100'!F75</f>
        <v>0.2</v>
      </c>
      <c r="I22" s="101">
        <f t="shared" si="1"/>
        <v>4.221384196</v>
      </c>
      <c r="J22" s="101">
        <f>$E22*'100'!Y75</f>
        <v>1266.415259</v>
      </c>
      <c r="K22" s="98">
        <f t="shared" si="2"/>
        <v>0.000315852164</v>
      </c>
      <c r="L22" s="99">
        <f t="shared" si="3"/>
        <v>0.002</v>
      </c>
      <c r="M22" s="100">
        <f>'150'!F75</f>
        <v>0.3</v>
      </c>
      <c r="N22" s="101">
        <f t="shared" si="4"/>
        <v>6.332076294</v>
      </c>
      <c r="O22" s="101">
        <f>$E22*'150'!Y75</f>
        <v>1899.622888</v>
      </c>
      <c r="P22" s="98">
        <f t="shared" si="5"/>
        <v>0.000315852164</v>
      </c>
      <c r="Q22" s="99">
        <f t="shared" si="9"/>
        <v>0.002</v>
      </c>
      <c r="R22" s="100">
        <f>'150'!K75</f>
        <v>4.5</v>
      </c>
      <c r="S22" s="101">
        <f t="shared" si="7"/>
        <v>94.98114441</v>
      </c>
      <c r="T22" s="101">
        <f>$E22*'88'!Y75</f>
        <v>2228.890855</v>
      </c>
    </row>
    <row r="23" ht="16.5" customHeight="1">
      <c r="A23" s="22" t="s">
        <v>136</v>
      </c>
      <c r="B23" s="97" t="s">
        <v>125</v>
      </c>
      <c r="C23" s="22" t="s">
        <v>137</v>
      </c>
      <c r="D23" s="22">
        <v>1.0</v>
      </c>
      <c r="E23" s="71">
        <f>IFERROR(__xludf.DUMMYFUNCTION("GOOGLEFINANCE(""Currency:""&amp;A23&amp;""TWD"")*D23"),0.22813899999999998)</f>
        <v>0.228139</v>
      </c>
      <c r="F23" s="98">
        <f t="shared" si="8"/>
        <v>0.04383292642</v>
      </c>
      <c r="G23" s="102">
        <v>0.004</v>
      </c>
      <c r="H23" s="100">
        <f>'100'!F76</f>
        <v>4</v>
      </c>
      <c r="I23" s="101">
        <f t="shared" si="1"/>
        <v>0.912556</v>
      </c>
      <c r="J23" s="101">
        <f>$E23*'100'!Y76</f>
        <v>1368.834</v>
      </c>
      <c r="K23" s="98">
        <f t="shared" si="2"/>
        <v>0.02922195095</v>
      </c>
      <c r="L23" s="99">
        <f t="shared" si="3"/>
        <v>0.004</v>
      </c>
      <c r="M23" s="100">
        <f>'150'!F76</f>
        <v>6</v>
      </c>
      <c r="N23" s="101">
        <f t="shared" si="4"/>
        <v>1.368834</v>
      </c>
      <c r="O23" s="101">
        <f>$E23*'150'!Y76</f>
        <v>2053.251</v>
      </c>
      <c r="P23" s="98">
        <f t="shared" si="5"/>
        <v>0.02922195095</v>
      </c>
      <c r="Q23" s="99">
        <f t="shared" si="9"/>
        <v>0.004</v>
      </c>
      <c r="R23" s="100">
        <f>'150'!K76</f>
        <v>30</v>
      </c>
      <c r="S23" s="101">
        <f t="shared" si="7"/>
        <v>6.84417</v>
      </c>
      <c r="T23" s="101">
        <f>$E23*'88'!Y76</f>
        <v>401.52464</v>
      </c>
    </row>
    <row r="24" ht="16.5" customHeight="1">
      <c r="A24" s="22" t="s">
        <v>138</v>
      </c>
      <c r="B24" s="97" t="s">
        <v>139</v>
      </c>
      <c r="C24" s="22" t="s">
        <v>140</v>
      </c>
      <c r="D24" s="22">
        <v>1.0</v>
      </c>
      <c r="E24" s="71">
        <f>IFERROR(__xludf.DUMMYFUNCTION("GOOGLEFINANCE(""Currency:""&amp;A24&amp;""TWD"")*D24"),0.023994810000000002)</f>
        <v>0.02399481</v>
      </c>
      <c r="F24" s="98">
        <f t="shared" si="8"/>
        <v>0.4167567903</v>
      </c>
      <c r="G24" s="104">
        <v>0.02</v>
      </c>
      <c r="H24" s="100">
        <f>'100'!F77</f>
        <v>40</v>
      </c>
      <c r="I24" s="101">
        <f t="shared" si="1"/>
        <v>0.9597924</v>
      </c>
      <c r="J24" s="101">
        <f>$E24*'100'!Y77</f>
        <v>1199.7405</v>
      </c>
      <c r="K24" s="98">
        <f t="shared" si="2"/>
        <v>0.2778378602</v>
      </c>
      <c r="L24" s="99">
        <f t="shared" si="3"/>
        <v>0.02</v>
      </c>
      <c r="M24" s="100">
        <f>'150'!F77</f>
        <v>60</v>
      </c>
      <c r="N24" s="101">
        <f t="shared" si="4"/>
        <v>1.4396886</v>
      </c>
      <c r="O24" s="101">
        <f>$E24*'150'!Y77</f>
        <v>1799.61075</v>
      </c>
      <c r="P24" s="98">
        <f t="shared" si="5"/>
        <v>0.2778378602</v>
      </c>
      <c r="Q24" s="99">
        <f t="shared" si="9"/>
        <v>0.02</v>
      </c>
      <c r="R24" s="100">
        <f>'150'!K77</f>
        <v>240</v>
      </c>
      <c r="S24" s="101">
        <f t="shared" si="7"/>
        <v>5.7587544</v>
      </c>
      <c r="T24" s="101">
        <f>$E24*'88'!Y77</f>
        <v>253.3851936</v>
      </c>
    </row>
    <row r="25" ht="16.5" customHeight="1">
      <c r="A25" s="22" t="s">
        <v>141</v>
      </c>
      <c r="B25" s="97" t="s">
        <v>108</v>
      </c>
      <c r="C25" s="22" t="s">
        <v>142</v>
      </c>
      <c r="D25" s="22">
        <v>1.0</v>
      </c>
      <c r="E25" s="71">
        <f>IFERROR(__xludf.DUMMYFUNCTION("GOOGLEFINANCE(""Currency:""&amp;A25&amp;""TWD"")*D25"),0.034259714999999996)</f>
        <v>0.034259715</v>
      </c>
      <c r="F25" s="98">
        <f t="shared" si="8"/>
        <v>0.291888009</v>
      </c>
      <c r="G25" s="105">
        <v>0.03</v>
      </c>
      <c r="H25" s="100">
        <f>'100'!F78</f>
        <v>15</v>
      </c>
      <c r="I25" s="101">
        <f t="shared" si="1"/>
        <v>0.513895725</v>
      </c>
      <c r="J25" s="101">
        <f>$E25*'100'!Y78</f>
        <v>1027.79145</v>
      </c>
      <c r="K25" s="98">
        <f t="shared" si="2"/>
        <v>0.194592006</v>
      </c>
      <c r="L25" s="99">
        <f t="shared" si="3"/>
        <v>0.03</v>
      </c>
      <c r="M25" s="100">
        <f>'150'!F78</f>
        <v>22.5</v>
      </c>
      <c r="N25" s="101">
        <f t="shared" si="4"/>
        <v>0.7708435875</v>
      </c>
      <c r="O25" s="101">
        <f>$E25*'150'!Y78</f>
        <v>1541.687175</v>
      </c>
      <c r="P25" s="98">
        <f t="shared" si="5"/>
        <v>0.194592006</v>
      </c>
      <c r="Q25" s="99">
        <f t="shared" si="9"/>
        <v>0.03</v>
      </c>
      <c r="R25" s="100">
        <f>'150'!K78</f>
        <v>180</v>
      </c>
      <c r="S25" s="101">
        <f t="shared" si="7"/>
        <v>6.1667487</v>
      </c>
      <c r="T25" s="101">
        <f>$E25*'88'!Y78</f>
        <v>361.7825904</v>
      </c>
    </row>
    <row r="26" ht="16.5" customHeight="1">
      <c r="A26" s="22" t="s">
        <v>143</v>
      </c>
      <c r="B26" s="103" t="s">
        <v>117</v>
      </c>
      <c r="C26" s="22" t="s">
        <v>144</v>
      </c>
      <c r="D26" s="22">
        <v>1.0</v>
      </c>
      <c r="E26" s="71">
        <f>IFERROR(__xludf.DUMMYFUNCTION("GOOGLEFINANCE(""Currency:""&amp;A26&amp;""TWD"")*D26"),0.010046178519999999)</f>
        <v>0.01004617852</v>
      </c>
      <c r="F26" s="98">
        <f t="shared" si="8"/>
        <v>0.9954033745</v>
      </c>
      <c r="G26" s="105">
        <v>0.05</v>
      </c>
      <c r="H26" s="100">
        <f>'100'!F79</f>
        <v>50</v>
      </c>
      <c r="I26" s="101">
        <f t="shared" si="1"/>
        <v>0.502308926</v>
      </c>
      <c r="J26" s="101">
        <f>$E26*'100'!Y79</f>
        <v>753.463389</v>
      </c>
      <c r="K26" s="98">
        <f t="shared" si="2"/>
        <v>0.6636022497</v>
      </c>
      <c r="L26" s="99">
        <f t="shared" si="3"/>
        <v>0.05</v>
      </c>
      <c r="M26" s="100">
        <f>'150'!F79</f>
        <v>75</v>
      </c>
      <c r="N26" s="101">
        <f t="shared" si="4"/>
        <v>0.753463389</v>
      </c>
      <c r="O26" s="101">
        <f>$E26*'150'!Y79</f>
        <v>1130.195084</v>
      </c>
      <c r="P26" s="98">
        <f t="shared" si="5"/>
        <v>0.6636022497</v>
      </c>
      <c r="Q26" s="99">
        <f t="shared" si="9"/>
        <v>0.05</v>
      </c>
      <c r="R26" s="100">
        <f>'150'!K79</f>
        <v>375</v>
      </c>
      <c r="S26" s="101">
        <f t="shared" si="7"/>
        <v>3.767316945</v>
      </c>
      <c r="T26" s="101">
        <f>$E26*'88'!Y79</f>
        <v>221.0159274</v>
      </c>
    </row>
    <row r="27" ht="16.5" customHeight="1">
      <c r="A27" s="22" t="s">
        <v>145</v>
      </c>
      <c r="B27" s="97" t="s">
        <v>96</v>
      </c>
      <c r="C27" s="22" t="s">
        <v>146</v>
      </c>
      <c r="D27" s="22">
        <v>1.0</v>
      </c>
      <c r="E27" s="71">
        <f>IFERROR(__xludf.DUMMYFUNCTION("GOOGLEFINANCE(""Currency:""&amp;A27&amp;""TWD"")*D27"),0.0020212253)</f>
        <v>0.0020212253</v>
      </c>
      <c r="F27" s="98">
        <f t="shared" si="8"/>
        <v>4.947493978</v>
      </c>
      <c r="G27" s="99">
        <v>0.5</v>
      </c>
      <c r="H27" s="100">
        <f>'100'!F80</f>
        <v>100</v>
      </c>
      <c r="I27" s="101">
        <f t="shared" si="1"/>
        <v>0.20212253</v>
      </c>
      <c r="J27" s="101">
        <f>$E27*'100'!Y80</f>
        <v>1010.61265</v>
      </c>
      <c r="K27" s="98">
        <f t="shared" si="2"/>
        <v>3.298329319</v>
      </c>
      <c r="L27" s="99">
        <f t="shared" si="3"/>
        <v>0.5</v>
      </c>
      <c r="M27" s="100">
        <f>'150'!F80</f>
        <v>150</v>
      </c>
      <c r="N27" s="101">
        <f t="shared" si="4"/>
        <v>0.303183795</v>
      </c>
      <c r="O27" s="101">
        <f>$E27*'150'!Y80</f>
        <v>1515.918975</v>
      </c>
      <c r="P27" s="98">
        <f t="shared" si="5"/>
        <v>3.298329319</v>
      </c>
      <c r="Q27" s="99">
        <f t="shared" si="9"/>
        <v>0.5</v>
      </c>
      <c r="R27" s="100">
        <f>'150'!K80</f>
        <v>3000</v>
      </c>
      <c r="S27" s="101">
        <f t="shared" si="7"/>
        <v>6.0636759</v>
      </c>
      <c r="T27" s="101">
        <f>$E27*'88'!Y80</f>
        <v>355.7356528</v>
      </c>
    </row>
    <row r="28" ht="16.5" customHeight="1">
      <c r="A28" s="22" t="s">
        <v>147</v>
      </c>
      <c r="B28" s="97" t="s">
        <v>148</v>
      </c>
      <c r="C28" s="22" t="s">
        <v>149</v>
      </c>
      <c r="D28" s="22">
        <v>1.0</v>
      </c>
      <c r="E28" s="71">
        <f>IFERROR(__xludf.DUMMYFUNCTION("GOOGLEFINANCE(""Currency:""&amp;A28&amp;""TWD"")*D28"),0.38030340490000003)</f>
        <v>0.3803034049</v>
      </c>
      <c r="F28" s="98">
        <f t="shared" si="8"/>
        <v>0.02629479482</v>
      </c>
      <c r="G28" s="102">
        <v>0.002</v>
      </c>
      <c r="H28" s="100">
        <f>'100'!F81</f>
        <v>2</v>
      </c>
      <c r="I28" s="101">
        <f t="shared" si="1"/>
        <v>0.7606068098</v>
      </c>
      <c r="J28" s="101">
        <f>$E28*'100'!Y81</f>
        <v>1140.910215</v>
      </c>
      <c r="K28" s="98">
        <f t="shared" si="2"/>
        <v>0.01752986321</v>
      </c>
      <c r="L28" s="99">
        <f t="shared" si="3"/>
        <v>0.002</v>
      </c>
      <c r="M28" s="100">
        <f>'150'!F81</f>
        <v>3</v>
      </c>
      <c r="N28" s="101">
        <f t="shared" si="4"/>
        <v>1.140910215</v>
      </c>
      <c r="O28" s="101">
        <f>$E28*'150'!Y81</f>
        <v>1711.365322</v>
      </c>
      <c r="P28" s="98">
        <f t="shared" si="5"/>
        <v>0.01752986321</v>
      </c>
      <c r="Q28" s="99">
        <f t="shared" si="9"/>
        <v>0.002</v>
      </c>
      <c r="R28" s="100">
        <f>'150'!K81</f>
        <v>15</v>
      </c>
      <c r="S28" s="101">
        <f t="shared" si="7"/>
        <v>5.704551074</v>
      </c>
      <c r="T28" s="101">
        <f>$E28*'88'!Y81</f>
        <v>334.6669963</v>
      </c>
    </row>
    <row r="29" ht="16.5" customHeight="1">
      <c r="A29" s="22" t="s">
        <v>150</v>
      </c>
      <c r="B29" s="97" t="s">
        <v>114</v>
      </c>
      <c r="C29" s="22" t="s">
        <v>151</v>
      </c>
      <c r="D29" s="22">
        <v>1.0</v>
      </c>
      <c r="E29" s="71">
        <f>IFERROR(__xludf.DUMMYFUNCTION("GOOGLEFINANCE(""Currency:""&amp;A29&amp;""TWD"")*D29"),0.1089863355)</f>
        <v>0.1089863355</v>
      </c>
      <c r="F29" s="98">
        <f t="shared" si="8"/>
        <v>0.09175462184</v>
      </c>
      <c r="G29" s="102">
        <v>0.01</v>
      </c>
      <c r="H29" s="100">
        <f>'100'!F82</f>
        <v>5</v>
      </c>
      <c r="I29" s="101">
        <f t="shared" si="1"/>
        <v>0.5449316775</v>
      </c>
      <c r="J29" s="101">
        <f>$E29*'100'!Y82</f>
        <v>1089.863355</v>
      </c>
      <c r="K29" s="98">
        <f t="shared" si="2"/>
        <v>0.0611697479</v>
      </c>
      <c r="L29" s="99">
        <f t="shared" si="3"/>
        <v>0.01</v>
      </c>
      <c r="M29" s="100">
        <f>'150'!F82</f>
        <v>7.5</v>
      </c>
      <c r="N29" s="101">
        <f t="shared" si="4"/>
        <v>0.8173975163</v>
      </c>
      <c r="O29" s="101">
        <f>$E29*'150'!Y82</f>
        <v>1634.795033</v>
      </c>
      <c r="P29" s="98">
        <f t="shared" si="5"/>
        <v>0.0611697479</v>
      </c>
      <c r="Q29" s="99">
        <f t="shared" si="9"/>
        <v>0.01</v>
      </c>
      <c r="R29" s="100">
        <f>'150'!K82</f>
        <v>60</v>
      </c>
      <c r="S29" s="101">
        <f t="shared" si="7"/>
        <v>6.53918013</v>
      </c>
      <c r="T29" s="101">
        <f>$E29*'88'!Y82</f>
        <v>383.631901</v>
      </c>
    </row>
    <row r="30" ht="16.5" customHeight="1">
      <c r="A30" s="22" t="s">
        <v>152</v>
      </c>
      <c r="B30" s="97" t="s">
        <v>153</v>
      </c>
      <c r="C30" s="22" t="s">
        <v>154</v>
      </c>
      <c r="D30" s="22">
        <v>1.0</v>
      </c>
      <c r="E30" s="71">
        <f>IFERROR(__xludf.DUMMYFUNCTION("GOOGLEFINANCE(""Currency:""&amp;A30&amp;""TWD"")*D30"),0.40621297)</f>
        <v>0.40621297</v>
      </c>
      <c r="F30" s="98">
        <f t="shared" si="8"/>
        <v>0.02461762853</v>
      </c>
      <c r="G30" s="102">
        <v>0.002</v>
      </c>
      <c r="H30" s="100">
        <f>'100'!F83</f>
        <v>1</v>
      </c>
      <c r="I30" s="101">
        <f t="shared" si="1"/>
        <v>0.40621297</v>
      </c>
      <c r="J30" s="101">
        <f>$E30*'100'!Y83</f>
        <v>812.42594</v>
      </c>
      <c r="K30" s="98">
        <f t="shared" si="2"/>
        <v>0.01641175235</v>
      </c>
      <c r="L30" s="99">
        <f t="shared" si="3"/>
        <v>0.002</v>
      </c>
      <c r="M30" s="100">
        <f>'150'!F83</f>
        <v>1.5</v>
      </c>
      <c r="N30" s="101">
        <f t="shared" si="4"/>
        <v>0.609319455</v>
      </c>
      <c r="O30" s="101">
        <f>$E30*'150'!Y83</f>
        <v>1218.63891</v>
      </c>
      <c r="P30" s="98">
        <f t="shared" si="5"/>
        <v>0.01641175235</v>
      </c>
      <c r="Q30" s="99">
        <f t="shared" si="9"/>
        <v>0.002</v>
      </c>
      <c r="R30" s="100">
        <f>'150'!K83</f>
        <v>12</v>
      </c>
      <c r="S30" s="101">
        <f t="shared" si="7"/>
        <v>4.87455564</v>
      </c>
      <c r="T30" s="101">
        <f>$E30*'88'!Y83</f>
        <v>285.9739309</v>
      </c>
    </row>
    <row r="31" ht="16.5" customHeight="1">
      <c r="A31" s="22" t="s">
        <v>155</v>
      </c>
      <c r="B31" s="97" t="s">
        <v>156</v>
      </c>
      <c r="C31" s="22" t="s">
        <v>157</v>
      </c>
      <c r="D31" s="22">
        <v>1.0</v>
      </c>
      <c r="E31" s="71">
        <f>IFERROR(__xludf.DUMMYFUNCTION("GOOGLEFINANCE(""Currency:""&amp;A31&amp;""TWD"")*D31"),0.008830577639)</f>
        <v>0.008830577639</v>
      </c>
      <c r="F31" s="98">
        <f t="shared" si="8"/>
        <v>1.13242875</v>
      </c>
      <c r="G31" s="102">
        <v>0.1</v>
      </c>
      <c r="H31" s="100">
        <f>'100'!F84</f>
        <v>100</v>
      </c>
      <c r="I31" s="101">
        <f t="shared" si="1"/>
        <v>0.8830577639</v>
      </c>
      <c r="J31" s="101">
        <f>$E31*'100'!Y84</f>
        <v>1324.586646</v>
      </c>
      <c r="K31" s="98">
        <f t="shared" si="2"/>
        <v>0.7549525002</v>
      </c>
      <c r="L31" s="99">
        <f t="shared" si="3"/>
        <v>0.1</v>
      </c>
      <c r="M31" s="100">
        <f>'150'!F84</f>
        <v>150</v>
      </c>
      <c r="N31" s="101">
        <f t="shared" si="4"/>
        <v>1.324586646</v>
      </c>
      <c r="O31" s="101">
        <f>$E31*'150'!Y84</f>
        <v>1986.879969</v>
      </c>
      <c r="P31" s="98">
        <f t="shared" si="5"/>
        <v>0.7549525002</v>
      </c>
      <c r="Q31" s="99">
        <f t="shared" si="9"/>
        <v>0.1</v>
      </c>
      <c r="R31" s="100">
        <f>'150'!K84</f>
        <v>750</v>
      </c>
      <c r="S31" s="101">
        <f t="shared" si="7"/>
        <v>6.622933229</v>
      </c>
      <c r="T31" s="101">
        <f>$E31*'88'!Y84</f>
        <v>388.5454161</v>
      </c>
    </row>
    <row r="32" ht="16.5" customHeight="1">
      <c r="A32" s="22" t="s">
        <v>158</v>
      </c>
      <c r="B32" s="97" t="s">
        <v>159</v>
      </c>
      <c r="C32" s="22" t="s">
        <v>160</v>
      </c>
      <c r="D32" s="22">
        <v>1.0</v>
      </c>
      <c r="E32" s="71">
        <f>IFERROR(__xludf.DUMMYFUNCTION("GOOGLEFINANCE(""Currency:""&amp;A32&amp;""TWD"")*D32"),35.66713672)</f>
        <v>35.66713672</v>
      </c>
      <c r="F32" s="98">
        <f t="shared" si="8"/>
        <v>0.0002803701368</v>
      </c>
      <c r="G32" s="102">
        <v>0.002</v>
      </c>
      <c r="H32" s="100">
        <f>'100'!F85</f>
        <v>0.2</v>
      </c>
      <c r="I32" s="101">
        <f t="shared" si="1"/>
        <v>7.133427344</v>
      </c>
      <c r="J32" s="101">
        <f>$E32*'100'!Y85</f>
        <v>1426.685469</v>
      </c>
      <c r="K32" s="98">
        <f t="shared" si="2"/>
        <v>0.0001869134245</v>
      </c>
      <c r="L32" s="99">
        <f t="shared" si="3"/>
        <v>0.002</v>
      </c>
      <c r="M32" s="100">
        <f>'150'!F85</f>
        <v>0.3</v>
      </c>
      <c r="N32" s="101">
        <f t="shared" si="4"/>
        <v>10.70014102</v>
      </c>
      <c r="O32" s="101">
        <f>$E32*'150'!Y85</f>
        <v>2140.028203</v>
      </c>
      <c r="P32" s="98">
        <f t="shared" si="5"/>
        <v>0.0001869134245</v>
      </c>
      <c r="Q32" s="99">
        <f t="shared" si="9"/>
        <v>0.002</v>
      </c>
      <c r="R32" s="100">
        <f>'150'!K85</f>
        <v>4.5</v>
      </c>
      <c r="S32" s="101">
        <f t="shared" si="7"/>
        <v>160.5021152</v>
      </c>
      <c r="T32" s="101">
        <f>$E32*'88'!Y85</f>
        <v>3138.708031</v>
      </c>
    </row>
    <row r="33" ht="16.5" customHeight="1">
      <c r="A33" s="22" t="s">
        <v>161</v>
      </c>
      <c r="B33" s="97" t="s">
        <v>108</v>
      </c>
      <c r="C33" s="22" t="s">
        <v>162</v>
      </c>
      <c r="D33" s="22">
        <v>1.0</v>
      </c>
      <c r="E33" s="71">
        <f>IFERROR(__xludf.DUMMYFUNCTION("GOOGLEFINANCE(""Currency:""&amp;A33&amp;""TWD"")*D33"),0.03496154973)</f>
        <v>0.03496154973</v>
      </c>
      <c r="F33" s="98">
        <f t="shared" si="8"/>
        <v>0.2860285107</v>
      </c>
      <c r="G33" s="102">
        <v>0.02</v>
      </c>
      <c r="H33" s="100">
        <f>'100'!F86</f>
        <v>20</v>
      </c>
      <c r="I33" s="101">
        <f t="shared" si="1"/>
        <v>0.6992309946</v>
      </c>
      <c r="J33" s="101">
        <f>$E33*'100'!Y86</f>
        <v>1048.846492</v>
      </c>
      <c r="K33" s="98">
        <f t="shared" si="2"/>
        <v>0.1906856738</v>
      </c>
      <c r="L33" s="99">
        <f t="shared" si="3"/>
        <v>0.02</v>
      </c>
      <c r="M33" s="100">
        <f>'150'!F86</f>
        <v>30</v>
      </c>
      <c r="N33" s="101">
        <f t="shared" si="4"/>
        <v>1.048846492</v>
      </c>
      <c r="O33" s="101">
        <f>$E33*'150'!Y86</f>
        <v>1573.269738</v>
      </c>
      <c r="P33" s="98">
        <f t="shared" si="5"/>
        <v>0.1906856738</v>
      </c>
      <c r="Q33" s="99">
        <f t="shared" si="9"/>
        <v>0.02</v>
      </c>
      <c r="R33" s="100">
        <f>'150'!K86</f>
        <v>150</v>
      </c>
      <c r="S33" s="101">
        <f t="shared" si="7"/>
        <v>5.24423246</v>
      </c>
      <c r="T33" s="101">
        <f>$E33*'88'!Y86</f>
        <v>307.6616376</v>
      </c>
    </row>
    <row r="34" ht="16.5" customHeight="1">
      <c r="A34" s="22" t="s">
        <v>163</v>
      </c>
      <c r="B34" s="97" t="s">
        <v>164</v>
      </c>
      <c r="C34" s="22" t="s">
        <v>165</v>
      </c>
      <c r="D34" s="22">
        <v>1.0</v>
      </c>
      <c r="E34" s="71">
        <f>IFERROR(__xludf.DUMMYFUNCTION("GOOGLEFINANCE(""Currency:""&amp;A34&amp;""TWD"")*D34"),0.020250863039999997)</f>
        <v>0.02025086304</v>
      </c>
      <c r="F34" s="98">
        <f t="shared" si="8"/>
        <v>0.4938061148</v>
      </c>
      <c r="G34" s="102">
        <v>0.02</v>
      </c>
      <c r="H34" s="100">
        <f>'100'!F87</f>
        <v>10</v>
      </c>
      <c r="I34" s="101">
        <f t="shared" si="1"/>
        <v>0.2025086304</v>
      </c>
      <c r="J34" s="101">
        <f>$E34*'100'!Y87</f>
        <v>607.5258912</v>
      </c>
      <c r="K34" s="98">
        <f t="shared" si="2"/>
        <v>0.3292040766</v>
      </c>
      <c r="L34" s="99">
        <f t="shared" si="3"/>
        <v>0.02</v>
      </c>
      <c r="M34" s="100">
        <f>'150'!F87</f>
        <v>15</v>
      </c>
      <c r="N34" s="101">
        <f t="shared" si="4"/>
        <v>0.3037629456</v>
      </c>
      <c r="O34" s="101">
        <f>$E34*'150'!Y87</f>
        <v>911.2888368</v>
      </c>
      <c r="P34" s="98">
        <f t="shared" si="5"/>
        <v>0.3292040766</v>
      </c>
      <c r="Q34" s="99">
        <f t="shared" si="9"/>
        <v>0.02</v>
      </c>
      <c r="R34" s="100">
        <f>'150'!K87</f>
        <v>120</v>
      </c>
      <c r="S34" s="101">
        <f t="shared" si="7"/>
        <v>2.430103565</v>
      </c>
      <c r="T34" s="101">
        <f>$E34*'88'!Y87</f>
        <v>178.2075948</v>
      </c>
    </row>
    <row r="35" ht="16.5" customHeight="1">
      <c r="A35" s="22" t="s">
        <v>166</v>
      </c>
      <c r="B35" s="97" t="s">
        <v>167</v>
      </c>
      <c r="C35" s="22" t="s">
        <v>168</v>
      </c>
      <c r="D35" s="22">
        <v>1.0</v>
      </c>
      <c r="E35" s="71">
        <f>IFERROR(__xludf.DUMMYFUNCTION("GOOGLEFINANCE(""Currency:""&amp;A35&amp;""TWD"")*D35"),0.25317521530000003)</f>
        <v>0.2531752153</v>
      </c>
      <c r="F35" s="98">
        <f t="shared" si="8"/>
        <v>0.0394983371</v>
      </c>
      <c r="G35" s="102">
        <v>0.002</v>
      </c>
      <c r="H35" s="100">
        <f>'100'!F88</f>
        <v>4</v>
      </c>
      <c r="I35" s="101">
        <f t="shared" si="1"/>
        <v>1.012700861</v>
      </c>
      <c r="J35" s="101">
        <f>$E35*'100'!Y88</f>
        <v>1265.876077</v>
      </c>
      <c r="K35" s="98">
        <f t="shared" si="2"/>
        <v>0.02633222474</v>
      </c>
      <c r="L35" s="99">
        <f t="shared" si="3"/>
        <v>0.002</v>
      </c>
      <c r="M35" s="100">
        <f>'150'!F88</f>
        <v>6</v>
      </c>
      <c r="N35" s="101">
        <f t="shared" si="4"/>
        <v>1.519051292</v>
      </c>
      <c r="O35" s="101">
        <f>$E35*'150'!Y88</f>
        <v>1898.814115</v>
      </c>
      <c r="P35" s="98">
        <f t="shared" si="5"/>
        <v>0.02633222474</v>
      </c>
      <c r="Q35" s="99">
        <f t="shared" si="9"/>
        <v>0.002</v>
      </c>
      <c r="R35" s="100">
        <f>'150'!K88</f>
        <v>24</v>
      </c>
      <c r="S35" s="101">
        <f t="shared" si="7"/>
        <v>6.076205167</v>
      </c>
      <c r="T35" s="101">
        <f>$E35*'88'!Y88</f>
        <v>267.3530274</v>
      </c>
    </row>
    <row r="36" ht="16.5" customHeight="1">
      <c r="A36" s="22" t="s">
        <v>169</v>
      </c>
      <c r="B36" s="97" t="s">
        <v>170</v>
      </c>
      <c r="C36" s="22" t="s">
        <v>171</v>
      </c>
      <c r="D36" s="22">
        <v>1.0</v>
      </c>
      <c r="E36" s="71">
        <f>IFERROR(__xludf.DUMMYFUNCTION("GOOGLEFINANCE(""Currency:""&amp;A36&amp;""TWD"")*D36"),1.7720687490000002)</f>
        <v>1.772068749</v>
      </c>
      <c r="F36" s="98">
        <f t="shared" si="8"/>
        <v>0.005643121919</v>
      </c>
      <c r="G36" s="102">
        <v>0.002</v>
      </c>
      <c r="H36" s="100">
        <f>'100'!F89</f>
        <v>0.4</v>
      </c>
      <c r="I36" s="101">
        <f t="shared" si="1"/>
        <v>0.7088274996</v>
      </c>
      <c r="J36" s="101">
        <f>$E36*'100'!Y89</f>
        <v>1063.241249</v>
      </c>
      <c r="K36" s="98">
        <f t="shared" si="2"/>
        <v>0.00376208128</v>
      </c>
      <c r="L36" s="99">
        <f t="shared" si="3"/>
        <v>0.002</v>
      </c>
      <c r="M36" s="100">
        <f>'150'!F89</f>
        <v>0.6</v>
      </c>
      <c r="N36" s="101">
        <f t="shared" si="4"/>
        <v>1.063241249</v>
      </c>
      <c r="O36" s="101">
        <f>$E36*'150'!Y89</f>
        <v>1594.861874</v>
      </c>
      <c r="P36" s="98">
        <f t="shared" si="5"/>
        <v>0.00376208128</v>
      </c>
      <c r="Q36" s="99">
        <f t="shared" si="9"/>
        <v>0.002</v>
      </c>
      <c r="R36" s="100">
        <f>'150'!K89</f>
        <v>6</v>
      </c>
      <c r="S36" s="101">
        <f t="shared" si="7"/>
        <v>10.63241249</v>
      </c>
      <c r="T36" s="101">
        <f>$E36*'88'!Y89</f>
        <v>545.7971747</v>
      </c>
    </row>
    <row r="37" ht="16.5" customHeight="1">
      <c r="A37" s="22" t="s">
        <v>172</v>
      </c>
      <c r="B37" s="97" t="s">
        <v>173</v>
      </c>
      <c r="C37" s="22" t="s">
        <v>174</v>
      </c>
      <c r="D37" s="22">
        <v>1.0</v>
      </c>
      <c r="E37" s="71">
        <f>IFERROR(__xludf.DUMMYFUNCTION("GOOGLEFINANCE(""Currency:""&amp;A37&amp;""TWD"")*D37"),0.9807094656)</f>
        <v>0.9807094656</v>
      </c>
      <c r="F37" s="98">
        <f t="shared" si="8"/>
        <v>0.01019669979</v>
      </c>
      <c r="G37" s="102">
        <v>0.002</v>
      </c>
      <c r="H37" s="100">
        <f>'100'!F90</f>
        <v>1</v>
      </c>
      <c r="I37" s="101">
        <f t="shared" si="1"/>
        <v>0.9807094656</v>
      </c>
      <c r="J37" s="101">
        <f>$E37*'100'!Y90</f>
        <v>980.7094656</v>
      </c>
      <c r="K37" s="98">
        <f t="shared" si="2"/>
        <v>0.006797799859</v>
      </c>
      <c r="L37" s="99">
        <f t="shared" si="3"/>
        <v>0.002</v>
      </c>
      <c r="M37" s="100">
        <f>'150'!F90</f>
        <v>1.5</v>
      </c>
      <c r="N37" s="101">
        <f t="shared" si="4"/>
        <v>1.471064198</v>
      </c>
      <c r="O37" s="101">
        <f>$E37*'150'!Y90</f>
        <v>1471.064198</v>
      </c>
      <c r="P37" s="98">
        <f t="shared" si="5"/>
        <v>0.006797799859</v>
      </c>
      <c r="Q37" s="99">
        <f t="shared" si="9"/>
        <v>0.002</v>
      </c>
      <c r="R37" s="100">
        <f>'150'!K90</f>
        <v>7.5</v>
      </c>
      <c r="S37" s="101">
        <f t="shared" si="7"/>
        <v>7.355320992</v>
      </c>
      <c r="T37" s="101">
        <f>$E37*'88'!Y90</f>
        <v>345.2097319</v>
      </c>
    </row>
    <row r="38" ht="16.5" customHeight="1">
      <c r="A38" s="22" t="s">
        <v>175</v>
      </c>
      <c r="B38" s="97" t="s">
        <v>176</v>
      </c>
      <c r="C38" s="22" t="s">
        <v>177</v>
      </c>
      <c r="D38" s="22">
        <v>1.0</v>
      </c>
      <c r="E38" s="71">
        <f>IFERROR(__xludf.DUMMYFUNCTION("GOOGLEFINANCE(""Currency:""&amp;A38&amp;""TWD"")*D38"),41.71484)</f>
        <v>41.71484</v>
      </c>
      <c r="F38" s="98">
        <f t="shared" si="8"/>
        <v>0.000239722842</v>
      </c>
      <c r="G38" s="102">
        <v>0.002</v>
      </c>
      <c r="H38" s="100">
        <f>'100'!F91</f>
        <v>0.2</v>
      </c>
      <c r="I38" s="101">
        <f t="shared" si="1"/>
        <v>8.342968</v>
      </c>
      <c r="J38" s="101">
        <f>$E38*'100'!Y91</f>
        <v>1668.5936</v>
      </c>
      <c r="K38" s="98">
        <f t="shared" si="2"/>
        <v>0.000159815228</v>
      </c>
      <c r="L38" s="99">
        <f t="shared" si="3"/>
        <v>0.002</v>
      </c>
      <c r="M38" s="100">
        <f>'150'!F91</f>
        <v>0.3</v>
      </c>
      <c r="N38" s="101">
        <f t="shared" si="4"/>
        <v>12.514452</v>
      </c>
      <c r="O38" s="101">
        <f>$E38*'150'!Y91</f>
        <v>2502.8904</v>
      </c>
      <c r="P38" s="98">
        <f t="shared" si="5"/>
        <v>0.000159815228</v>
      </c>
      <c r="Q38" s="99">
        <f t="shared" si="9"/>
        <v>0.002</v>
      </c>
      <c r="R38" s="100">
        <f>'150'!K91</f>
        <v>4.5</v>
      </c>
      <c r="S38" s="101">
        <f t="shared" si="7"/>
        <v>187.71678</v>
      </c>
      <c r="T38" s="101">
        <f>$E38*'88'!Y91</f>
        <v>3670.90592</v>
      </c>
    </row>
    <row r="39" ht="16.5" customHeight="1">
      <c r="A39" s="22" t="s">
        <v>178</v>
      </c>
      <c r="B39" s="97" t="s">
        <v>179</v>
      </c>
      <c r="C39" s="22" t="s">
        <v>180</v>
      </c>
      <c r="D39" s="22">
        <v>1.0</v>
      </c>
      <c r="E39" s="71">
        <f>IFERROR(__xludf.DUMMYFUNCTION("GOOGLEFINANCE(""Currency:""&amp;A39&amp;""TWD"")*D39"),0.2456753721)</f>
        <v>0.2456753721</v>
      </c>
      <c r="F39" s="98">
        <f t="shared" si="8"/>
        <v>0.0407041207</v>
      </c>
      <c r="G39" s="102">
        <v>0.002</v>
      </c>
      <c r="H39" s="100">
        <f>'100'!F92</f>
        <v>4</v>
      </c>
      <c r="I39" s="101">
        <f t="shared" si="1"/>
        <v>0.9827014884</v>
      </c>
      <c r="J39" s="101">
        <f>$E39*'100'!Y92</f>
        <v>1228.376861</v>
      </c>
      <c r="K39" s="98">
        <f t="shared" si="2"/>
        <v>0.02713608047</v>
      </c>
      <c r="L39" s="99">
        <f t="shared" si="3"/>
        <v>0.002</v>
      </c>
      <c r="M39" s="100">
        <f>'150'!F92</f>
        <v>6</v>
      </c>
      <c r="N39" s="101">
        <f t="shared" si="4"/>
        <v>1.474052233</v>
      </c>
      <c r="O39" s="101">
        <f>$E39*'150'!Y92</f>
        <v>1842.565291</v>
      </c>
      <c r="P39" s="98">
        <f t="shared" si="5"/>
        <v>0.02713608047</v>
      </c>
      <c r="Q39" s="99">
        <f t="shared" si="9"/>
        <v>0.002</v>
      </c>
      <c r="R39" s="100">
        <f>'150'!K92</f>
        <v>24</v>
      </c>
      <c r="S39" s="101">
        <f t="shared" si="7"/>
        <v>5.89620893</v>
      </c>
      <c r="T39" s="101">
        <f>$E39*'88'!Y92</f>
        <v>259.4331929</v>
      </c>
    </row>
    <row r="40" ht="16.5" customHeight="1">
      <c r="A40" s="22" t="s">
        <v>181</v>
      </c>
      <c r="B40" s="97" t="s">
        <v>181</v>
      </c>
      <c r="C40" s="22" t="s">
        <v>182</v>
      </c>
      <c r="D40" s="22">
        <v>1.0</v>
      </c>
      <c r="E40" s="71">
        <f>IFERROR(__xludf.DUMMYFUNCTION("GOOGLEFINANCE(""Currency:""&amp;A40&amp;""TWD"")*D40"),38.475880000000004)</f>
        <v>38.47588</v>
      </c>
      <c r="F40" s="98">
        <f t="shared" si="8"/>
        <v>0.0002599030873</v>
      </c>
      <c r="G40" s="102">
        <v>0.002</v>
      </c>
      <c r="H40" s="100">
        <f>'100'!F93</f>
        <v>0.2</v>
      </c>
      <c r="I40" s="101">
        <f t="shared" si="1"/>
        <v>7.695176</v>
      </c>
      <c r="J40" s="101">
        <f>$E40*'100'!Y93</f>
        <v>1539.0352</v>
      </c>
      <c r="K40" s="98">
        <f t="shared" si="2"/>
        <v>0.0001732687249</v>
      </c>
      <c r="L40" s="99">
        <f t="shared" si="3"/>
        <v>0.002</v>
      </c>
      <c r="M40" s="100">
        <f>'150'!F93</f>
        <v>0.3</v>
      </c>
      <c r="N40" s="101">
        <f t="shared" si="4"/>
        <v>11.542764</v>
      </c>
      <c r="O40" s="101">
        <f>$E40*'150'!Y93</f>
        <v>2308.5528</v>
      </c>
      <c r="P40" s="98">
        <f t="shared" si="5"/>
        <v>0.0001732687249</v>
      </c>
      <c r="Q40" s="99">
        <f t="shared" si="9"/>
        <v>0.002</v>
      </c>
      <c r="R40" s="100">
        <f>'150'!K93</f>
        <v>4.5</v>
      </c>
      <c r="S40" s="101">
        <f t="shared" si="7"/>
        <v>173.14146</v>
      </c>
      <c r="T40" s="101">
        <f>$E40*'88'!Y93</f>
        <v>3385.87744</v>
      </c>
    </row>
    <row r="41" ht="16.5" customHeight="1">
      <c r="A41" s="22" t="s">
        <v>183</v>
      </c>
      <c r="B41" s="97" t="s">
        <v>108</v>
      </c>
      <c r="C41" s="22" t="s">
        <v>184</v>
      </c>
      <c r="D41" s="22">
        <v>1.0</v>
      </c>
      <c r="E41" s="71">
        <f>IFERROR(__xludf.DUMMYFUNCTION("GOOGLEFINANCE(""Currency:""&amp;A41&amp;""TWD"")*D41"),23.491886570000002)</f>
        <v>23.49188657</v>
      </c>
      <c r="F41" s="98">
        <f t="shared" si="8"/>
        <v>0.0004256788815</v>
      </c>
      <c r="G41" s="102">
        <v>0.002</v>
      </c>
      <c r="H41" s="100">
        <f>'100'!F94</f>
        <v>0.2</v>
      </c>
      <c r="I41" s="101">
        <f t="shared" si="1"/>
        <v>4.698377314</v>
      </c>
      <c r="J41" s="101">
        <f>$E41*'100'!Y94</f>
        <v>939.6754628</v>
      </c>
      <c r="K41" s="98">
        <f t="shared" si="2"/>
        <v>0.000283785921</v>
      </c>
      <c r="L41" s="99">
        <f t="shared" si="3"/>
        <v>0.002</v>
      </c>
      <c r="M41" s="100">
        <f>'150'!F94</f>
        <v>0.3</v>
      </c>
      <c r="N41" s="101">
        <f t="shared" si="4"/>
        <v>7.047565971</v>
      </c>
      <c r="O41" s="101">
        <f>$E41*'150'!Y94</f>
        <v>1409.513194</v>
      </c>
      <c r="P41" s="98">
        <f t="shared" si="5"/>
        <v>0.000283785921</v>
      </c>
      <c r="Q41" s="99">
        <f t="shared" si="9"/>
        <v>0.002</v>
      </c>
      <c r="R41" s="100">
        <f>'150'!K94</f>
        <v>4.5</v>
      </c>
      <c r="S41" s="101">
        <f t="shared" si="7"/>
        <v>105.7134896</v>
      </c>
      <c r="T41" s="101">
        <f>$E41*'88'!Y94</f>
        <v>2067.286018</v>
      </c>
    </row>
    <row r="42" ht="16.5" customHeight="1">
      <c r="A42" s="22" t="s">
        <v>185</v>
      </c>
      <c r="B42" s="97" t="s">
        <v>185</v>
      </c>
      <c r="C42" s="22" t="s">
        <v>186</v>
      </c>
      <c r="D42" s="22">
        <v>1.0</v>
      </c>
      <c r="E42" s="71">
        <f>IFERROR(__xludf.DUMMYFUNCTION("GOOGLEFINANCE(""Currency:""&amp;A42&amp;""TWD"")*D42"),8.792228248)</f>
        <v>8.792228248</v>
      </c>
      <c r="F42" s="98">
        <f t="shared" si="8"/>
        <v>0.001137368107</v>
      </c>
      <c r="G42" s="102">
        <v>0.002</v>
      </c>
      <c r="H42" s="100">
        <f>'100'!F95</f>
        <v>0.2</v>
      </c>
      <c r="I42" s="101">
        <f t="shared" si="1"/>
        <v>1.75844565</v>
      </c>
      <c r="J42" s="101">
        <f>$E42*'100'!Y95</f>
        <v>879.2228248</v>
      </c>
      <c r="K42" s="98">
        <f t="shared" si="2"/>
        <v>0.0007582454048</v>
      </c>
      <c r="L42" s="99">
        <f t="shared" si="3"/>
        <v>0.002</v>
      </c>
      <c r="M42" s="100">
        <f>'150'!F95</f>
        <v>0.3</v>
      </c>
      <c r="N42" s="101">
        <f t="shared" si="4"/>
        <v>2.637668474</v>
      </c>
      <c r="O42" s="101">
        <f>$E42*'150'!Y95</f>
        <v>1318.834237</v>
      </c>
      <c r="P42" s="98">
        <f t="shared" si="5"/>
        <v>0.0007582454048</v>
      </c>
      <c r="Q42" s="99">
        <f t="shared" si="9"/>
        <v>0.002</v>
      </c>
      <c r="R42" s="100">
        <f>'150'!K95</f>
        <v>4.5</v>
      </c>
      <c r="S42" s="101">
        <f t="shared" si="7"/>
        <v>39.56502712</v>
      </c>
      <c r="T42" s="101">
        <f>$E42*'88'!Y95</f>
        <v>1160.574129</v>
      </c>
    </row>
    <row r="43" ht="16.5" customHeight="1">
      <c r="A43" s="22" t="s">
        <v>187</v>
      </c>
      <c r="B43" s="97" t="s">
        <v>187</v>
      </c>
      <c r="C43" s="106" t="s">
        <v>188</v>
      </c>
      <c r="D43" s="22">
        <v>1.0</v>
      </c>
      <c r="E43" s="71">
        <f>IFERROR(__xludf.DUMMYFUNCTION("GOOGLEFINANCE(""Currency:""&amp;A43&amp;""TWD"")*D43"),8.883345066)</f>
        <v>8.883345066</v>
      </c>
      <c r="F43" s="98">
        <f t="shared" si="8"/>
        <v>0.001125702078</v>
      </c>
      <c r="G43" s="102">
        <v>0.002</v>
      </c>
      <c r="H43" s="100">
        <f>'100'!F96</f>
        <v>0.2</v>
      </c>
      <c r="I43" s="101">
        <f t="shared" si="1"/>
        <v>1.776669013</v>
      </c>
      <c r="J43" s="101">
        <f>$E43*'100'!Y96</f>
        <v>888.3345066</v>
      </c>
      <c r="K43" s="98">
        <f t="shared" si="2"/>
        <v>0.000750468052</v>
      </c>
      <c r="L43" s="99">
        <f t="shared" si="3"/>
        <v>0.002</v>
      </c>
      <c r="M43" s="100">
        <f>'150'!F96</f>
        <v>0.3</v>
      </c>
      <c r="N43" s="101">
        <f t="shared" si="4"/>
        <v>2.66500352</v>
      </c>
      <c r="O43" s="101">
        <f>$E43*'150'!Y96</f>
        <v>1332.50176</v>
      </c>
      <c r="P43" s="98">
        <f t="shared" si="5"/>
        <v>0.000750468052</v>
      </c>
      <c r="Q43" s="99">
        <f t="shared" si="9"/>
        <v>0.002</v>
      </c>
      <c r="R43" s="100">
        <f>'150'!K96</f>
        <v>4.5</v>
      </c>
      <c r="S43" s="101">
        <f t="shared" si="7"/>
        <v>39.9750528</v>
      </c>
      <c r="T43" s="101">
        <f>$E43*'88'!Y96</f>
        <v>1172.601549</v>
      </c>
    </row>
    <row r="44" ht="16.5" customHeight="1">
      <c r="A44" s="22" t="s">
        <v>189</v>
      </c>
      <c r="B44" s="97" t="s">
        <v>190</v>
      </c>
      <c r="C44" s="22" t="s">
        <v>191</v>
      </c>
      <c r="D44" s="22">
        <v>1.0</v>
      </c>
      <c r="E44" s="71">
        <f>IFERROR(__xludf.DUMMYFUNCTION("GOOGLEFINANCE(""Currency:""&amp;A44&amp;""TWD"")*D44"),24.725020960000002)</f>
        <v>24.72502096</v>
      </c>
      <c r="F44" s="98">
        <f t="shared" si="8"/>
        <v>0.0004044485955</v>
      </c>
      <c r="G44" s="102">
        <v>0.002</v>
      </c>
      <c r="H44" s="100">
        <f>'100'!F97</f>
        <v>0.2</v>
      </c>
      <c r="I44" s="101">
        <f t="shared" si="1"/>
        <v>4.945004192</v>
      </c>
      <c r="J44" s="101">
        <f>$E44*'100'!Y97</f>
        <v>1483.501258</v>
      </c>
      <c r="K44" s="98">
        <f t="shared" si="2"/>
        <v>0.000269632397</v>
      </c>
      <c r="L44" s="99">
        <f t="shared" si="3"/>
        <v>0.002</v>
      </c>
      <c r="M44" s="100">
        <f>'150'!F97</f>
        <v>0.3</v>
      </c>
      <c r="N44" s="101">
        <f t="shared" si="4"/>
        <v>7.417506288</v>
      </c>
      <c r="O44" s="101">
        <f>$E44*'150'!Y97</f>
        <v>2225.251886</v>
      </c>
      <c r="P44" s="98">
        <f t="shared" si="5"/>
        <v>0.000269632397</v>
      </c>
      <c r="Q44" s="99">
        <f t="shared" si="9"/>
        <v>0.002</v>
      </c>
      <c r="R44" s="100">
        <f>'150'!K97</f>
        <v>4.5</v>
      </c>
      <c r="S44" s="101">
        <f t="shared" si="7"/>
        <v>111.2625943</v>
      </c>
      <c r="T44" s="101">
        <f>$E44*'88'!Y97</f>
        <v>2610.962213</v>
      </c>
    </row>
    <row r="45" ht="16.5" customHeight="1">
      <c r="A45" s="22" t="s">
        <v>192</v>
      </c>
      <c r="B45" s="97" t="s">
        <v>108</v>
      </c>
      <c r="C45" s="22" t="s">
        <v>193</v>
      </c>
      <c r="D45" s="22">
        <v>1.0</v>
      </c>
      <c r="E45" s="71">
        <f>IFERROR(__xludf.DUMMYFUNCTION("GOOGLEFINANCE(""Currency:""&amp;A45&amp;""TWD"")*D45"),0.008063120253)</f>
        <v>0.008063120253</v>
      </c>
      <c r="F45" s="98">
        <f t="shared" si="8"/>
        <v>1.240214667</v>
      </c>
      <c r="G45" s="102">
        <v>0.1</v>
      </c>
      <c r="H45" s="100">
        <f>'100'!F98</f>
        <v>100</v>
      </c>
      <c r="I45" s="101">
        <f t="shared" si="1"/>
        <v>0.8063120253</v>
      </c>
      <c r="J45" s="101">
        <f>$E45*'100'!Y98</f>
        <v>1209.468038</v>
      </c>
      <c r="K45" s="98">
        <f t="shared" si="2"/>
        <v>0.826809778</v>
      </c>
      <c r="L45" s="99">
        <f t="shared" si="3"/>
        <v>0.1</v>
      </c>
      <c r="M45" s="100">
        <f>'150'!F98</f>
        <v>150</v>
      </c>
      <c r="N45" s="101">
        <f t="shared" si="4"/>
        <v>1.209468038</v>
      </c>
      <c r="O45" s="101">
        <f>$E45*'150'!Y98</f>
        <v>1814.202057</v>
      </c>
      <c r="P45" s="98">
        <f t="shared" si="5"/>
        <v>0.826809778</v>
      </c>
      <c r="Q45" s="99">
        <f t="shared" si="9"/>
        <v>0.1</v>
      </c>
      <c r="R45" s="100">
        <f>'150'!K98</f>
        <v>750</v>
      </c>
      <c r="S45" s="101">
        <f t="shared" si="7"/>
        <v>6.04734019</v>
      </c>
      <c r="T45" s="101">
        <f>$E45*'88'!Y98</f>
        <v>354.7772911</v>
      </c>
    </row>
    <row r="46" ht="16.5" customHeight="1">
      <c r="A46" s="22" t="s">
        <v>194</v>
      </c>
      <c r="B46" s="97" t="s">
        <v>99</v>
      </c>
      <c r="C46" s="22" t="s">
        <v>195</v>
      </c>
      <c r="D46" s="22">
        <v>1.0</v>
      </c>
      <c r="E46" s="71">
        <f>IFERROR(__xludf.DUMMYFUNCTION("GOOGLEFINANCE(""Currency:""&amp;A46&amp;""TWD"")*D46"),0.0013009686279999999)</f>
        <v>0.001300968628</v>
      </c>
      <c r="F46" s="98">
        <f t="shared" si="8"/>
        <v>7.686580433</v>
      </c>
      <c r="G46" s="102">
        <v>0.5</v>
      </c>
      <c r="H46" s="100">
        <f>'100'!F99</f>
        <v>500</v>
      </c>
      <c r="I46" s="101">
        <f t="shared" si="1"/>
        <v>0.650484314</v>
      </c>
      <c r="J46" s="101">
        <f>$E46*'100'!Y99</f>
        <v>975.726471</v>
      </c>
      <c r="K46" s="98">
        <f t="shared" si="2"/>
        <v>5.124386955</v>
      </c>
      <c r="L46" s="99">
        <f t="shared" si="3"/>
        <v>0.5</v>
      </c>
      <c r="M46" s="100">
        <f>'150'!F99</f>
        <v>750</v>
      </c>
      <c r="N46" s="101">
        <f t="shared" si="4"/>
        <v>0.975726471</v>
      </c>
      <c r="O46" s="101">
        <f>$E46*'150'!Y99</f>
        <v>1463.589707</v>
      </c>
      <c r="P46" s="98">
        <f t="shared" si="5"/>
        <v>5.124386955</v>
      </c>
      <c r="Q46" s="99">
        <f t="shared" si="9"/>
        <v>0.5</v>
      </c>
      <c r="R46" s="100">
        <f>'150'!K99</f>
        <v>3750</v>
      </c>
      <c r="S46" s="101">
        <f t="shared" si="7"/>
        <v>4.878632355</v>
      </c>
      <c r="T46" s="101">
        <f>$E46*'88'!Y99</f>
        <v>286.2130982</v>
      </c>
    </row>
    <row r="47" ht="16.5" customHeight="1">
      <c r="A47" s="22" t="s">
        <v>196</v>
      </c>
      <c r="B47" s="97" t="s">
        <v>102</v>
      </c>
      <c r="C47" s="22" t="s">
        <v>103</v>
      </c>
      <c r="D47" s="22">
        <v>0.01</v>
      </c>
      <c r="E47" s="71">
        <f>IFERROR(__xludf.DUMMYFUNCTION("GOOGLEFINANCE(""Currency:""&amp;A47&amp;""TWD"")*D47"),0.0741468329)</f>
        <v>0.0741468329</v>
      </c>
      <c r="F47" s="98">
        <f t="shared" si="8"/>
        <v>0.1348675272</v>
      </c>
      <c r="G47" s="102">
        <v>0.01</v>
      </c>
      <c r="H47" s="100">
        <f>'100'!F100</f>
        <v>10</v>
      </c>
      <c r="I47" s="101">
        <f t="shared" si="1"/>
        <v>0.741468329</v>
      </c>
      <c r="J47" s="101">
        <f>$E47*'100'!Y100</f>
        <v>1112.202494</v>
      </c>
      <c r="K47" s="98">
        <f t="shared" si="2"/>
        <v>0.08991168477</v>
      </c>
      <c r="L47" s="99">
        <f t="shared" si="3"/>
        <v>0.01</v>
      </c>
      <c r="M47" s="100">
        <f>'150'!F100</f>
        <v>15</v>
      </c>
      <c r="N47" s="101">
        <f t="shared" si="4"/>
        <v>1.112202494</v>
      </c>
      <c r="O47" s="101">
        <f>$E47*'150'!Y100</f>
        <v>1668.30374</v>
      </c>
      <c r="P47" s="98">
        <f t="shared" si="5"/>
        <v>0.08991168477</v>
      </c>
      <c r="Q47" s="99">
        <f t="shared" si="9"/>
        <v>0.01</v>
      </c>
      <c r="R47" s="100">
        <f>'150'!K100</f>
        <v>75</v>
      </c>
      <c r="S47" s="101">
        <f t="shared" si="7"/>
        <v>5.561012468</v>
      </c>
      <c r="T47" s="101">
        <f>$E47*'88'!Y100</f>
        <v>326.2460648</v>
      </c>
    </row>
    <row r="48" ht="16.5" customHeight="1">
      <c r="A48" s="22" t="s">
        <v>197</v>
      </c>
      <c r="C48" s="22" t="s">
        <v>198</v>
      </c>
      <c r="D48" s="22">
        <v>1.0</v>
      </c>
      <c r="E48" s="22">
        <v>0.01</v>
      </c>
      <c r="F48" s="98">
        <f t="shared" si="8"/>
        <v>1</v>
      </c>
      <c r="G48" s="102">
        <v>1.0</v>
      </c>
      <c r="H48" s="100">
        <f>'100'!F101</f>
        <v>100</v>
      </c>
      <c r="I48" s="101">
        <f t="shared" si="1"/>
        <v>1</v>
      </c>
      <c r="J48" s="101">
        <f>$E48*'100'!Y101</f>
        <v>500</v>
      </c>
      <c r="K48" s="98">
        <f t="shared" si="2"/>
        <v>0.6666666667</v>
      </c>
      <c r="L48" s="99">
        <f t="shared" si="3"/>
        <v>1</v>
      </c>
      <c r="M48" s="100">
        <f>'150'!F101</f>
        <v>150</v>
      </c>
      <c r="N48" s="101">
        <f t="shared" si="4"/>
        <v>1.5</v>
      </c>
      <c r="O48" s="101">
        <f>$E48*'150'!Y101</f>
        <v>750</v>
      </c>
      <c r="P48" s="98">
        <f t="shared" si="5"/>
        <v>0.6666666667</v>
      </c>
      <c r="Q48" s="99">
        <f t="shared" si="9"/>
        <v>1</v>
      </c>
      <c r="R48" s="100">
        <f>'150'!K101</f>
        <v>2250</v>
      </c>
      <c r="S48" s="101">
        <f t="shared" si="7"/>
        <v>22.5</v>
      </c>
      <c r="T48" s="101">
        <f>$E48*'88'!Y101</f>
        <v>660</v>
      </c>
    </row>
    <row r="49" ht="16.5" customHeight="1">
      <c r="A49" s="22" t="s">
        <v>199</v>
      </c>
      <c r="B49" s="107" t="s">
        <v>200</v>
      </c>
      <c r="C49" s="22" t="s">
        <v>201</v>
      </c>
      <c r="D49" s="22">
        <v>1.0</v>
      </c>
      <c r="E49" s="71">
        <f>IFERROR(__xludf.DUMMYFUNCTION("GOOGLEFINANCE(""Currency:""&amp;A49&amp;""TWD"")*D49"),0.2429701866)</f>
        <v>0.2429701866</v>
      </c>
      <c r="F49" s="98">
        <f t="shared" si="8"/>
        <v>0.04115731292</v>
      </c>
      <c r="G49" s="102">
        <v>0.002</v>
      </c>
      <c r="H49" s="100">
        <f>'100'!F102</f>
        <v>4</v>
      </c>
      <c r="I49" s="101">
        <f t="shared" si="1"/>
        <v>0.9718807464</v>
      </c>
      <c r="J49" s="101">
        <f>$E49*'100'!Y102</f>
        <v>1214.850933</v>
      </c>
      <c r="K49" s="98">
        <f t="shared" si="2"/>
        <v>0.02743820861</v>
      </c>
      <c r="L49" s="99">
        <f t="shared" si="3"/>
        <v>0.002</v>
      </c>
      <c r="M49" s="100">
        <f>'150'!F102</f>
        <v>6</v>
      </c>
      <c r="N49" s="101">
        <f t="shared" si="4"/>
        <v>1.45782112</v>
      </c>
      <c r="O49" s="101">
        <f>$E49*'150'!Y102</f>
        <v>1822.2764</v>
      </c>
      <c r="P49" s="98">
        <f t="shared" si="5"/>
        <v>0.02743820861</v>
      </c>
      <c r="Q49" s="99">
        <f t="shared" si="9"/>
        <v>0.002</v>
      </c>
      <c r="R49" s="100">
        <f>'150'!K102</f>
        <v>24</v>
      </c>
      <c r="S49" s="101">
        <f t="shared" si="7"/>
        <v>5.831284478</v>
      </c>
      <c r="T49" s="101">
        <f>$E49*'88'!Y102</f>
        <v>256.576517</v>
      </c>
    </row>
    <row r="50" ht="16.5" customHeight="1">
      <c r="A50" s="22" t="s">
        <v>202</v>
      </c>
      <c r="B50" s="108" t="s">
        <v>203</v>
      </c>
      <c r="C50" s="22" t="s">
        <v>204</v>
      </c>
      <c r="D50" s="22">
        <v>1.0</v>
      </c>
      <c r="E50" s="71">
        <f>IFERROR(__xludf.DUMMYFUNCTION("GOOGLEFINANCE(""Currency:""&amp;A50&amp;""TWD"")*D50"),3.33424356)</f>
        <v>3.33424356</v>
      </c>
      <c r="F50" s="98">
        <f t="shared" si="8"/>
        <v>0.00299918102</v>
      </c>
      <c r="G50" s="102">
        <v>0.002</v>
      </c>
      <c r="H50" s="100">
        <f>'100'!F103</f>
        <v>0.2</v>
      </c>
      <c r="I50" s="101">
        <f t="shared" si="1"/>
        <v>0.666848712</v>
      </c>
      <c r="J50" s="101">
        <f>$E50*'100'!Y103</f>
        <v>1000.273068</v>
      </c>
      <c r="K50" s="98">
        <f t="shared" si="2"/>
        <v>0.001999454013</v>
      </c>
      <c r="L50" s="99">
        <f t="shared" si="3"/>
        <v>0.002</v>
      </c>
      <c r="M50" s="100">
        <f>'150'!F103</f>
        <v>0.3</v>
      </c>
      <c r="N50" s="101">
        <f t="shared" si="4"/>
        <v>1.000273068</v>
      </c>
      <c r="O50" s="101">
        <f>$E50*'150'!Y103</f>
        <v>1500.409602</v>
      </c>
      <c r="P50" s="98">
        <f t="shared" si="5"/>
        <v>0.001999454013</v>
      </c>
      <c r="Q50" s="99">
        <f t="shared" si="9"/>
        <v>0.002</v>
      </c>
      <c r="R50" s="100">
        <f>'150'!K103</f>
        <v>4.5</v>
      </c>
      <c r="S50" s="101">
        <f t="shared" si="7"/>
        <v>15.00409602</v>
      </c>
      <c r="T50" s="101">
        <f>$E50*'88'!Y103</f>
        <v>880.2402998</v>
      </c>
    </row>
    <row r="51" ht="16.5" customHeight="1">
      <c r="A51" s="22" t="s">
        <v>205</v>
      </c>
      <c r="B51" s="108" t="s">
        <v>206</v>
      </c>
      <c r="C51" s="22" t="s">
        <v>207</v>
      </c>
      <c r="D51" s="22">
        <v>1.0</v>
      </c>
      <c r="E51" s="71">
        <v>5.1</v>
      </c>
      <c r="F51" s="98">
        <f t="shared" si="8"/>
        <v>0.001960784314</v>
      </c>
      <c r="G51" s="102">
        <v>0.002</v>
      </c>
      <c r="H51" s="100">
        <f>'100'!F104</f>
        <v>0.2</v>
      </c>
      <c r="I51" s="101">
        <f t="shared" si="1"/>
        <v>1.02</v>
      </c>
      <c r="J51" s="101">
        <f>$E51*'100'!Y104</f>
        <v>1530</v>
      </c>
      <c r="K51" s="98">
        <f t="shared" si="2"/>
        <v>0.001307189542</v>
      </c>
      <c r="L51" s="99">
        <f t="shared" si="3"/>
        <v>0.002</v>
      </c>
      <c r="M51" s="100">
        <f>'150'!F104</f>
        <v>0.3</v>
      </c>
      <c r="N51" s="101">
        <f t="shared" si="4"/>
        <v>1.53</v>
      </c>
      <c r="O51" s="101">
        <f>$E51*'150'!Y104</f>
        <v>2295</v>
      </c>
      <c r="P51" s="98">
        <f t="shared" si="5"/>
        <v>0.001307189542</v>
      </c>
      <c r="Q51" s="99">
        <f t="shared" si="9"/>
        <v>0.002</v>
      </c>
      <c r="R51" s="100">
        <f>'150'!K104</f>
        <v>4.5</v>
      </c>
      <c r="S51" s="101">
        <f t="shared" si="7"/>
        <v>22.95</v>
      </c>
      <c r="T51" s="101">
        <f>$E51*'88'!Y104</f>
        <v>1346.4</v>
      </c>
    </row>
    <row r="52" ht="16.5" customHeight="1">
      <c r="A52" s="22" t="s">
        <v>208</v>
      </c>
      <c r="B52" s="108" t="s">
        <v>209</v>
      </c>
      <c r="C52" s="22" t="s">
        <v>210</v>
      </c>
      <c r="D52" s="22">
        <v>1.0</v>
      </c>
      <c r="E52" s="71">
        <f>IFERROR(__xludf.DUMMYFUNCTION("GOOGLEFINANCE(""Currency:""&amp;A52&amp;""TWD"")*D52"),2.115176522)</f>
        <v>2.115176522</v>
      </c>
      <c r="F52" s="98">
        <f t="shared" si="8"/>
        <v>0.004727737802</v>
      </c>
      <c r="G52" s="102">
        <v>0.002</v>
      </c>
      <c r="H52" s="100">
        <f>'100'!F105</f>
        <v>0.4</v>
      </c>
      <c r="I52" s="101">
        <f t="shared" si="1"/>
        <v>0.8460706088</v>
      </c>
      <c r="J52" s="101">
        <f>$E52*'100'!Y105</f>
        <v>1269.105913</v>
      </c>
      <c r="K52" s="98">
        <f t="shared" si="2"/>
        <v>0.003151825201</v>
      </c>
      <c r="L52" s="99">
        <f t="shared" si="3"/>
        <v>0.002</v>
      </c>
      <c r="M52" s="100">
        <f>'150'!F105</f>
        <v>0.6</v>
      </c>
      <c r="N52" s="101">
        <f t="shared" si="4"/>
        <v>1.269105913</v>
      </c>
      <c r="O52" s="101">
        <f>$E52*'150'!Y105</f>
        <v>1903.65887</v>
      </c>
      <c r="P52" s="98">
        <f t="shared" si="5"/>
        <v>0.003151825201</v>
      </c>
      <c r="Q52" s="99">
        <f t="shared" si="9"/>
        <v>0.002</v>
      </c>
      <c r="R52" s="100">
        <f>'150'!K105</f>
        <v>6</v>
      </c>
      <c r="S52" s="101">
        <f t="shared" si="7"/>
        <v>12.69105913</v>
      </c>
      <c r="T52" s="101">
        <f>$E52*'88'!Y105</f>
        <v>651.4743688</v>
      </c>
    </row>
    <row r="53" ht="16.5" customHeight="1">
      <c r="A53" s="22" t="s">
        <v>211</v>
      </c>
      <c r="C53" s="22" t="s">
        <v>212</v>
      </c>
      <c r="D53" s="22">
        <v>1.0</v>
      </c>
      <c r="E53" s="71">
        <f>IFERROR(__xludf.DUMMYFUNCTION("GOOGLEFINANCE(""Currency:""&amp;A13&amp;""TWD"")*D53"),32.6128)</f>
        <v>32.6128</v>
      </c>
      <c r="F53" s="98">
        <f t="shared" si="8"/>
        <v>0.0003066280724</v>
      </c>
      <c r="G53" s="102">
        <f>G13</f>
        <v>0.002</v>
      </c>
      <c r="H53" s="100">
        <f>'100'!F106</f>
        <v>0.2</v>
      </c>
      <c r="I53" s="101">
        <f t="shared" si="1"/>
        <v>6.52256</v>
      </c>
      <c r="J53" s="101">
        <f>$E53*'100'!Y106</f>
        <v>1304.512</v>
      </c>
      <c r="K53" s="98">
        <f t="shared" si="2"/>
        <v>0.0002044187149</v>
      </c>
      <c r="L53" s="99">
        <f>L13</f>
        <v>0.002</v>
      </c>
      <c r="M53" s="100">
        <f>'150'!F106</f>
        <v>0.3</v>
      </c>
      <c r="N53" s="101">
        <f t="shared" si="4"/>
        <v>9.78384</v>
      </c>
      <c r="O53" s="101">
        <f>$E53*'150'!Y106</f>
        <v>1956.768</v>
      </c>
      <c r="P53" s="98">
        <f t="shared" si="5"/>
        <v>0.0002044187149</v>
      </c>
      <c r="Q53" s="99">
        <f>Q13</f>
        <v>0.002</v>
      </c>
      <c r="R53" s="100">
        <f>'150'!K106</f>
        <v>4.5</v>
      </c>
      <c r="S53" s="101">
        <f t="shared" si="7"/>
        <v>146.7576</v>
      </c>
      <c r="T53" s="101">
        <f>$E53*'88'!Y106</f>
        <v>2869.9264</v>
      </c>
    </row>
    <row r="54" ht="16.5" customHeight="1">
      <c r="A54" s="22" t="s">
        <v>213</v>
      </c>
      <c r="C54" s="22" t="s">
        <v>214</v>
      </c>
      <c r="D54" s="22">
        <v>1.0</v>
      </c>
      <c r="E54" s="71">
        <f>1/130</f>
        <v>0.007692307692</v>
      </c>
      <c r="F54" s="98">
        <f t="shared" si="8"/>
        <v>1.3</v>
      </c>
      <c r="G54" s="102">
        <v>0.01</v>
      </c>
      <c r="H54" s="100">
        <f>'100'!F107</f>
        <v>5</v>
      </c>
      <c r="I54" s="101">
        <f t="shared" si="1"/>
        <v>0.03846153846</v>
      </c>
      <c r="J54" s="101">
        <f>$E54*'100'!Y107</f>
        <v>76.92307692</v>
      </c>
      <c r="K54" s="98">
        <f t="shared" si="2"/>
        <v>0.8666666667</v>
      </c>
      <c r="L54" s="99">
        <v>0.01</v>
      </c>
      <c r="M54" s="100">
        <f>'150'!F107</f>
        <v>7.5</v>
      </c>
      <c r="N54" s="101">
        <f t="shared" si="4"/>
        <v>0.05769230769</v>
      </c>
      <c r="O54" s="101">
        <f>$E54*'150'!Y107</f>
        <v>86.53846154</v>
      </c>
      <c r="P54" s="98">
        <f t="shared" si="5"/>
        <v>0.8666666667</v>
      </c>
      <c r="Q54" s="99">
        <v>0.01</v>
      </c>
      <c r="R54" s="100">
        <f>'150'!K107</f>
        <v>45</v>
      </c>
      <c r="S54" s="101">
        <f t="shared" si="7"/>
        <v>0.3461538462</v>
      </c>
      <c r="T54" s="101">
        <f>$E54*'88'!Y107</f>
        <v>40.61538462</v>
      </c>
    </row>
    <row r="55" ht="16.5" customHeight="1">
      <c r="A55" s="22" t="s">
        <v>215</v>
      </c>
      <c r="C55" s="22" t="s">
        <v>216</v>
      </c>
      <c r="D55" s="22">
        <f t="shared" ref="D55:T55" si="10">D48</f>
        <v>1</v>
      </c>
      <c r="E55" s="71">
        <f t="shared" si="10"/>
        <v>0.01</v>
      </c>
      <c r="F55" s="98">
        <f t="shared" si="10"/>
        <v>1</v>
      </c>
      <c r="G55" s="102">
        <f t="shared" si="10"/>
        <v>1</v>
      </c>
      <c r="H55" s="100">
        <f t="shared" si="10"/>
        <v>100</v>
      </c>
      <c r="I55" s="101">
        <f t="shared" si="10"/>
        <v>1</v>
      </c>
      <c r="J55" s="101">
        <f t="shared" si="10"/>
        <v>500</v>
      </c>
      <c r="K55" s="98">
        <f t="shared" si="10"/>
        <v>0.6666666667</v>
      </c>
      <c r="L55" s="99">
        <f t="shared" si="10"/>
        <v>1</v>
      </c>
      <c r="M55" s="100">
        <f t="shared" si="10"/>
        <v>150</v>
      </c>
      <c r="N55" s="101">
        <f t="shared" si="10"/>
        <v>1.5</v>
      </c>
      <c r="O55" s="101">
        <f t="shared" si="10"/>
        <v>750</v>
      </c>
      <c r="P55" s="98">
        <f t="shared" si="10"/>
        <v>0.6666666667</v>
      </c>
      <c r="Q55" s="99">
        <f t="shared" si="10"/>
        <v>1</v>
      </c>
      <c r="R55" s="100">
        <f t="shared" si="10"/>
        <v>2250</v>
      </c>
      <c r="S55" s="101">
        <f t="shared" si="10"/>
        <v>22.5</v>
      </c>
      <c r="T55" s="101">
        <f t="shared" si="10"/>
        <v>660</v>
      </c>
    </row>
    <row r="56" ht="16.5" customHeight="1"/>
    <row r="57" ht="16.5" customHeight="1">
      <c r="A57" s="22"/>
      <c r="C57" s="22"/>
    </row>
    <row r="58" ht="16.5" customHeight="1">
      <c r="A58" s="22"/>
      <c r="C58" s="22"/>
    </row>
    <row r="59" ht="16.5" customHeight="1"/>
    <row r="60" ht="16.5" customHeight="1"/>
    <row r="61" ht="16.5" customHeight="1"/>
    <row r="62" ht="16.5" customHeight="1"/>
    <row r="63" ht="16.5" customHeight="1"/>
    <row r="64" ht="16.5" customHeight="1">
      <c r="C64" s="22"/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</sheetData>
  <mergeCells count="4">
    <mergeCell ref="F2:O2"/>
    <mergeCell ref="F5:J5"/>
    <mergeCell ref="K5:O5"/>
    <mergeCell ref="P5:T5"/>
  </mergeCells>
  <conditionalFormatting sqref="J6:J55 O6:O55 T6:T55">
    <cfRule type="cellIs" dxfId="0" priority="1" operator="greaterThan">
      <formula>2000</formula>
    </cfRule>
  </conditionalFormatting>
  <conditionalFormatting sqref="J6:J55 O6:O55 T6:T55">
    <cfRule type="cellIs" dxfId="1" priority="2" operator="lessThan">
      <formula>1000</formula>
    </cfRule>
  </conditionalFormatting>
  <conditionalFormatting sqref="I6:I55 N6:N55 S6:S55">
    <cfRule type="cellIs" dxfId="2" priority="3" operator="greaterThan">
      <formula>5</formula>
    </cfRule>
  </conditionalFormatting>
  <conditionalFormatting sqref="I6:I55 N6:N55 S6:S55">
    <cfRule type="cellIs" dxfId="2" priority="4" operator="lessThan">
      <formula>0.6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9" t="s">
        <v>79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>
      <c r="A2" s="109" t="s">
        <v>88</v>
      </c>
      <c r="B2" s="110">
        <v>0.25</v>
      </c>
      <c r="C2" s="110">
        <v>0.5</v>
      </c>
      <c r="D2" s="110">
        <v>1.0</v>
      </c>
      <c r="E2" s="110">
        <v>2.0</v>
      </c>
      <c r="F2" s="110">
        <v>5.0</v>
      </c>
      <c r="G2" s="110">
        <v>10.0</v>
      </c>
      <c r="H2" s="111">
        <v>20.0</v>
      </c>
      <c r="I2" s="111">
        <v>50.0</v>
      </c>
      <c r="J2" s="111">
        <v>100.0</v>
      </c>
      <c r="K2" s="111">
        <v>500.0</v>
      </c>
      <c r="L2" s="111">
        <v>1000.0</v>
      </c>
      <c r="M2" s="109"/>
      <c r="N2" s="109"/>
      <c r="O2" s="109"/>
      <c r="P2" s="109"/>
      <c r="Q2" s="109"/>
      <c r="R2" s="109"/>
      <c r="S2" s="109"/>
    </row>
    <row r="3">
      <c r="A3" s="109" t="s">
        <v>91</v>
      </c>
      <c r="B3" s="110">
        <v>0.1</v>
      </c>
      <c r="C3" s="110">
        <v>0.2</v>
      </c>
      <c r="D3" s="110">
        <v>0.5</v>
      </c>
      <c r="E3" s="110">
        <v>1.0</v>
      </c>
      <c r="F3" s="110">
        <v>2.0</v>
      </c>
      <c r="G3" s="110">
        <v>5.0</v>
      </c>
      <c r="H3" s="110">
        <v>10.0</v>
      </c>
      <c r="I3" s="111">
        <v>10.0</v>
      </c>
      <c r="J3" s="111">
        <v>20.0</v>
      </c>
      <c r="K3" s="111">
        <v>50.0</v>
      </c>
      <c r="L3" s="111">
        <v>100.0</v>
      </c>
      <c r="M3" s="111">
        <v>500.0</v>
      </c>
      <c r="N3" s="111">
        <v>1000.0</v>
      </c>
      <c r="O3" s="109"/>
      <c r="P3" s="109"/>
      <c r="Q3" s="109"/>
      <c r="R3" s="109"/>
      <c r="S3" s="109"/>
    </row>
    <row r="4">
      <c r="A4" s="109" t="s">
        <v>94</v>
      </c>
      <c r="B4" s="110">
        <v>1.0</v>
      </c>
      <c r="C4" s="110">
        <v>2.0</v>
      </c>
      <c r="D4" s="110">
        <v>5.0</v>
      </c>
      <c r="E4" s="110">
        <v>10.0</v>
      </c>
      <c r="F4" s="111">
        <v>10.0</v>
      </c>
      <c r="G4" s="111">
        <v>20.0</v>
      </c>
      <c r="H4" s="111">
        <v>50.0</v>
      </c>
      <c r="I4" s="111">
        <v>100.0</v>
      </c>
      <c r="J4" s="111">
        <v>200.0</v>
      </c>
      <c r="K4" s="111">
        <v>500.0</v>
      </c>
      <c r="L4" s="111">
        <v>2000.0</v>
      </c>
      <c r="M4" s="109"/>
      <c r="N4" s="109"/>
      <c r="O4" s="109"/>
      <c r="P4" s="109"/>
      <c r="Q4" s="109"/>
      <c r="R4" s="109"/>
      <c r="S4" s="109"/>
    </row>
    <row r="5">
      <c r="A5" s="109" t="s">
        <v>97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</row>
    <row r="6">
      <c r="A6" s="109" t="s">
        <v>100</v>
      </c>
      <c r="B6" s="110">
        <v>200.0</v>
      </c>
      <c r="C6" s="110">
        <v>500.0</v>
      </c>
      <c r="D6" s="110">
        <v>1000.0</v>
      </c>
      <c r="E6" s="110">
        <v>2000.0</v>
      </c>
      <c r="F6" s="110">
        <v>5000.0</v>
      </c>
      <c r="G6" s="111">
        <v>10000.0</v>
      </c>
      <c r="H6" s="111">
        <v>20000.0</v>
      </c>
      <c r="I6" s="111">
        <v>50000.0</v>
      </c>
      <c r="J6" s="111">
        <v>100000.0</v>
      </c>
      <c r="K6" s="111">
        <v>200000.0</v>
      </c>
      <c r="L6" s="111">
        <v>500000.0</v>
      </c>
      <c r="M6" s="109"/>
      <c r="N6" s="109"/>
      <c r="O6" s="109"/>
      <c r="P6" s="109"/>
      <c r="Q6" s="109"/>
      <c r="R6" s="109"/>
      <c r="S6" s="109"/>
    </row>
    <row r="7">
      <c r="A7" s="109" t="s">
        <v>103</v>
      </c>
      <c r="B7" s="110">
        <v>0.05</v>
      </c>
      <c r="C7" s="110">
        <v>0.1</v>
      </c>
      <c r="D7" s="110">
        <v>0.2</v>
      </c>
      <c r="E7" s="110">
        <v>0.5</v>
      </c>
      <c r="F7" s="111">
        <v>1.0</v>
      </c>
      <c r="G7" s="111">
        <v>5.0</v>
      </c>
      <c r="H7" s="111">
        <v>10.0</v>
      </c>
      <c r="I7" s="111">
        <v>20.0</v>
      </c>
      <c r="J7" s="111">
        <v>50.0</v>
      </c>
      <c r="K7" s="111">
        <v>100.0</v>
      </c>
      <c r="L7" s="109"/>
      <c r="M7" s="109"/>
      <c r="N7" s="109"/>
      <c r="O7" s="109"/>
      <c r="P7" s="109"/>
      <c r="Q7" s="109"/>
      <c r="R7" s="109"/>
      <c r="S7" s="109"/>
    </row>
    <row r="8">
      <c r="A8" s="109" t="s">
        <v>106</v>
      </c>
      <c r="B8" s="110">
        <v>0.05</v>
      </c>
      <c r="C8" s="110">
        <v>0.1</v>
      </c>
      <c r="D8" s="110">
        <v>0.2</v>
      </c>
      <c r="E8" s="110">
        <v>0.5</v>
      </c>
      <c r="F8" s="110">
        <v>1.0</v>
      </c>
      <c r="G8" s="111">
        <v>2.0</v>
      </c>
      <c r="H8" s="111">
        <v>5.0</v>
      </c>
      <c r="I8" s="111">
        <v>10.0</v>
      </c>
      <c r="J8" s="111">
        <v>50.0</v>
      </c>
      <c r="K8" s="111">
        <v>100.0</v>
      </c>
      <c r="L8" s="109"/>
      <c r="M8" s="109"/>
      <c r="N8" s="109"/>
      <c r="O8" s="109"/>
      <c r="P8" s="109"/>
      <c r="Q8" s="109"/>
      <c r="R8" s="109"/>
      <c r="S8" s="109"/>
    </row>
    <row r="9">
      <c r="A9" s="109" t="s">
        <v>109</v>
      </c>
      <c r="B9" s="110">
        <v>0.01</v>
      </c>
      <c r="C9" s="110">
        <v>0.05</v>
      </c>
      <c r="D9" s="110">
        <v>0.1</v>
      </c>
      <c r="E9" s="110">
        <v>0.25</v>
      </c>
      <c r="F9" s="110">
        <v>0.5</v>
      </c>
      <c r="G9" s="110">
        <v>1.0</v>
      </c>
      <c r="H9" s="111">
        <v>1.0</v>
      </c>
      <c r="I9" s="111">
        <v>2.0</v>
      </c>
      <c r="J9" s="111">
        <v>5.0</v>
      </c>
      <c r="K9" s="111">
        <v>10.0</v>
      </c>
      <c r="L9" s="111">
        <v>20.0</v>
      </c>
      <c r="M9" s="111">
        <v>50.0</v>
      </c>
      <c r="N9" s="111">
        <v>100.0</v>
      </c>
      <c r="O9" s="109"/>
      <c r="P9" s="109"/>
      <c r="Q9" s="109"/>
      <c r="R9" s="109"/>
      <c r="S9" s="109"/>
    </row>
    <row r="10">
      <c r="A10" s="109" t="s">
        <v>112</v>
      </c>
      <c r="B10" s="111">
        <v>5.0</v>
      </c>
      <c r="C10" s="111">
        <v>10.0</v>
      </c>
      <c r="D10" s="111">
        <v>20.0</v>
      </c>
      <c r="E10" s="111">
        <v>50.0</v>
      </c>
      <c r="F10" s="111">
        <v>100.0</v>
      </c>
      <c r="G10" s="111">
        <v>200.0</v>
      </c>
      <c r="H10" s="111">
        <v>500.0</v>
      </c>
      <c r="I10" s="111">
        <v>1000.0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</row>
    <row r="11">
      <c r="A11" s="109" t="s">
        <v>115</v>
      </c>
      <c r="B11" s="110">
        <v>1.0</v>
      </c>
      <c r="C11" s="110">
        <v>2.0</v>
      </c>
      <c r="D11" s="110">
        <v>5.0</v>
      </c>
      <c r="E11" s="111">
        <v>10.0</v>
      </c>
      <c r="F11" s="111">
        <v>20.0</v>
      </c>
      <c r="G11" s="111">
        <v>50.0</v>
      </c>
      <c r="H11" s="111">
        <v>100.0</v>
      </c>
      <c r="I11" s="111">
        <v>500.0</v>
      </c>
      <c r="J11" s="111">
        <v>1000.0</v>
      </c>
      <c r="K11" s="109"/>
      <c r="L11" s="109"/>
      <c r="M11" s="109"/>
      <c r="N11" s="109"/>
      <c r="O11" s="109"/>
      <c r="P11" s="109"/>
      <c r="Q11" s="109"/>
      <c r="R11" s="109"/>
      <c r="S11" s="109"/>
    </row>
    <row r="12">
      <c r="A12" s="109" t="s">
        <v>118</v>
      </c>
      <c r="B12" s="110">
        <v>0.01</v>
      </c>
      <c r="C12" s="110">
        <v>0.05</v>
      </c>
      <c r="D12" s="110">
        <v>0.1</v>
      </c>
      <c r="E12" s="110">
        <v>0.2</v>
      </c>
      <c r="F12" s="110">
        <v>0.5</v>
      </c>
      <c r="G12" s="110">
        <v>1.0</v>
      </c>
      <c r="H12" s="111">
        <v>0.5</v>
      </c>
      <c r="I12" s="111">
        <v>1.0</v>
      </c>
      <c r="J12" s="111">
        <v>5.0</v>
      </c>
      <c r="K12" s="111">
        <v>10.0</v>
      </c>
      <c r="L12" s="111">
        <v>20.0</v>
      </c>
      <c r="M12" s="111">
        <v>50.0</v>
      </c>
      <c r="N12" s="111">
        <v>100.0</v>
      </c>
      <c r="O12" s="111">
        <v>200.0</v>
      </c>
      <c r="P12" s="111">
        <v>500.0</v>
      </c>
      <c r="Q12" s="111">
        <v>1000.0</v>
      </c>
      <c r="R12" s="111">
        <v>5000.0</v>
      </c>
      <c r="S12" s="111">
        <v>10000.0</v>
      </c>
    </row>
    <row r="13">
      <c r="A13" s="109" t="s">
        <v>120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</row>
    <row r="14">
      <c r="A14" s="109" t="s">
        <v>123</v>
      </c>
      <c r="B14" s="110">
        <v>0.01</v>
      </c>
      <c r="C14" s="110">
        <v>0.05</v>
      </c>
      <c r="D14" s="110">
        <v>0.1</v>
      </c>
      <c r="E14" s="110">
        <v>0.25</v>
      </c>
      <c r="F14" s="110">
        <v>1.0</v>
      </c>
      <c r="G14" s="110">
        <v>2.0</v>
      </c>
      <c r="H14" s="110">
        <v>5.0</v>
      </c>
      <c r="I14" s="110">
        <v>10.0</v>
      </c>
      <c r="J14" s="111">
        <v>20.0</v>
      </c>
      <c r="K14" s="111">
        <v>50.0</v>
      </c>
      <c r="L14" s="111">
        <v>100.0</v>
      </c>
      <c r="M14" s="111">
        <v>200.0</v>
      </c>
      <c r="N14" s="111">
        <v>500.0</v>
      </c>
      <c r="O14" s="111">
        <v>1000.0</v>
      </c>
      <c r="P14" s="109"/>
      <c r="Q14" s="109"/>
      <c r="R14" s="109"/>
      <c r="S14" s="109"/>
    </row>
    <row r="15">
      <c r="A15" s="109" t="s">
        <v>126</v>
      </c>
      <c r="B15" s="110">
        <v>0.1</v>
      </c>
      <c r="C15" s="110">
        <v>0.5</v>
      </c>
      <c r="D15" s="110">
        <v>1.0</v>
      </c>
      <c r="E15" s="111">
        <v>1.0</v>
      </c>
      <c r="F15" s="111">
        <v>5.0</v>
      </c>
      <c r="G15" s="111">
        <v>10.0</v>
      </c>
      <c r="H15" s="111">
        <v>20.0</v>
      </c>
      <c r="I15" s="111">
        <v>50.0</v>
      </c>
      <c r="J15" s="111">
        <v>100.0</v>
      </c>
      <c r="K15" s="109"/>
      <c r="L15" s="109"/>
      <c r="M15" s="109"/>
      <c r="N15" s="109"/>
      <c r="O15" s="109"/>
      <c r="P15" s="109"/>
      <c r="Q15" s="109"/>
      <c r="R15" s="109"/>
      <c r="S15" s="109"/>
    </row>
    <row r="16">
      <c r="A16" s="109" t="s">
        <v>217</v>
      </c>
      <c r="B16" s="110">
        <v>0.5</v>
      </c>
      <c r="C16" s="110">
        <v>1.0</v>
      </c>
      <c r="D16" s="110">
        <v>2.0</v>
      </c>
      <c r="E16" s="110">
        <v>5.0</v>
      </c>
      <c r="F16" s="110">
        <v>10.0</v>
      </c>
      <c r="G16" s="110">
        <v>20.0</v>
      </c>
      <c r="H16" s="111">
        <v>20.0</v>
      </c>
      <c r="I16" s="111">
        <v>50.0</v>
      </c>
      <c r="J16" s="111">
        <v>100.0</v>
      </c>
      <c r="K16" s="111">
        <v>200.0</v>
      </c>
      <c r="L16" s="111">
        <v>500.0</v>
      </c>
      <c r="M16" s="109"/>
      <c r="N16" s="109"/>
      <c r="O16" s="109"/>
      <c r="P16" s="109"/>
      <c r="Q16" s="109"/>
      <c r="R16" s="109"/>
      <c r="S16" s="109"/>
    </row>
    <row r="17">
      <c r="A17" s="109" t="s">
        <v>132</v>
      </c>
      <c r="B17" s="110">
        <v>0.01</v>
      </c>
      <c r="C17" s="110">
        <v>0.05</v>
      </c>
      <c r="D17" s="110">
        <v>0.1</v>
      </c>
      <c r="E17" s="110">
        <v>0.25</v>
      </c>
      <c r="F17" s="110">
        <v>0.5</v>
      </c>
      <c r="G17" s="110">
        <v>1.0</v>
      </c>
      <c r="H17" s="111">
        <v>1.0</v>
      </c>
      <c r="I17" s="111">
        <v>2.0</v>
      </c>
      <c r="J17" s="111">
        <v>5.0</v>
      </c>
      <c r="K17" s="111">
        <v>10.0</v>
      </c>
      <c r="L17" s="111">
        <v>20.0</v>
      </c>
      <c r="M17" s="111">
        <v>50.0</v>
      </c>
      <c r="N17" s="111">
        <v>100.0</v>
      </c>
      <c r="O17" s="111">
        <v>200.0</v>
      </c>
      <c r="P17" s="109"/>
      <c r="Q17" s="109"/>
      <c r="R17" s="109"/>
      <c r="S17" s="109"/>
    </row>
    <row r="18">
      <c r="A18" s="109" t="s">
        <v>135</v>
      </c>
      <c r="B18" s="110">
        <v>0.05</v>
      </c>
      <c r="C18" s="110">
        <v>0.1</v>
      </c>
      <c r="D18" s="110">
        <v>0.2</v>
      </c>
      <c r="E18" s="110">
        <v>0.5</v>
      </c>
      <c r="F18" s="110">
        <v>1.0</v>
      </c>
      <c r="G18" s="110">
        <v>2.0</v>
      </c>
      <c r="H18" s="111">
        <v>5.0</v>
      </c>
      <c r="I18" s="111">
        <v>10.0</v>
      </c>
      <c r="J18" s="111">
        <v>20.0</v>
      </c>
      <c r="K18" s="111">
        <v>50.0</v>
      </c>
      <c r="L18" s="111">
        <v>100.0</v>
      </c>
      <c r="M18" s="109"/>
      <c r="N18" s="109"/>
      <c r="O18" s="109"/>
      <c r="P18" s="109"/>
      <c r="Q18" s="109"/>
      <c r="R18" s="109"/>
      <c r="S18" s="109"/>
    </row>
    <row r="19">
      <c r="A19" s="109" t="s">
        <v>137</v>
      </c>
      <c r="B19" s="110">
        <v>1.0</v>
      </c>
      <c r="C19" s="110">
        <v>5.0</v>
      </c>
      <c r="D19" s="110">
        <v>10.0</v>
      </c>
      <c r="E19" s="110">
        <v>50.0</v>
      </c>
      <c r="F19" s="110">
        <v>100.0</v>
      </c>
      <c r="G19" s="110">
        <v>500.0</v>
      </c>
      <c r="H19" s="111">
        <v>1000.0</v>
      </c>
      <c r="I19" s="111">
        <v>5000.0</v>
      </c>
      <c r="J19" s="111">
        <v>10000.0</v>
      </c>
      <c r="K19" s="109"/>
      <c r="L19" s="109"/>
      <c r="M19" s="109"/>
      <c r="N19" s="109"/>
      <c r="O19" s="109"/>
      <c r="P19" s="109"/>
      <c r="Q19" s="109"/>
      <c r="R19" s="109"/>
      <c r="S19" s="109"/>
    </row>
    <row r="20">
      <c r="A20" s="109" t="s">
        <v>140</v>
      </c>
      <c r="B20" s="110">
        <v>10.0</v>
      </c>
      <c r="C20" s="110">
        <v>50.0</v>
      </c>
      <c r="D20" s="110">
        <v>100.0</v>
      </c>
      <c r="E20" s="110">
        <v>500.0</v>
      </c>
      <c r="F20" s="111">
        <v>1000.0</v>
      </c>
      <c r="G20" s="111">
        <v>5000.0</v>
      </c>
      <c r="H20" s="111">
        <v>10000.0</v>
      </c>
      <c r="I20" s="111">
        <v>50000.0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</row>
    <row r="21">
      <c r="A21" s="109" t="s">
        <v>142</v>
      </c>
      <c r="B21" s="110">
        <v>10.0</v>
      </c>
      <c r="C21" s="110">
        <v>50.0</v>
      </c>
      <c r="D21" s="110">
        <v>100.0</v>
      </c>
      <c r="E21" s="110">
        <v>500.0</v>
      </c>
      <c r="F21" s="111">
        <v>1000.0</v>
      </c>
      <c r="G21" s="111">
        <v>2000.0</v>
      </c>
      <c r="H21" s="111">
        <v>5000.0</v>
      </c>
      <c r="I21" s="111">
        <v>10000.0</v>
      </c>
      <c r="J21" s="111">
        <v>20000.0</v>
      </c>
      <c r="K21" s="109"/>
      <c r="L21" s="109"/>
      <c r="M21" s="109"/>
      <c r="N21" s="109"/>
      <c r="O21" s="109"/>
      <c r="P21" s="109"/>
      <c r="Q21" s="109"/>
      <c r="R21" s="109"/>
      <c r="S21" s="109"/>
    </row>
    <row r="22">
      <c r="A22" s="109" t="s">
        <v>144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</row>
    <row r="23">
      <c r="A23" s="109" t="s">
        <v>146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</row>
    <row r="24">
      <c r="A24" s="109" t="s">
        <v>218</v>
      </c>
      <c r="B24" s="110">
        <v>0.1</v>
      </c>
      <c r="C24" s="110">
        <v>0.5</v>
      </c>
      <c r="D24" s="110">
        <v>1.0</v>
      </c>
      <c r="E24" s="110">
        <v>2.0</v>
      </c>
      <c r="F24" s="110">
        <v>5.0</v>
      </c>
      <c r="G24" s="110">
        <v>10.0</v>
      </c>
      <c r="H24" s="111">
        <v>5.0</v>
      </c>
      <c r="I24" s="111">
        <v>10.0</v>
      </c>
      <c r="J24" s="111">
        <v>50.0</v>
      </c>
      <c r="K24" s="111">
        <v>100.0</v>
      </c>
      <c r="L24" s="111">
        <v>500.0</v>
      </c>
      <c r="M24" s="111">
        <v>1000.0</v>
      </c>
      <c r="N24" s="111">
        <v>5000.0</v>
      </c>
      <c r="O24" s="109"/>
      <c r="P24" s="109"/>
      <c r="Q24" s="109"/>
      <c r="R24" s="109"/>
      <c r="S24" s="109"/>
    </row>
    <row r="25">
      <c r="A25" s="109" t="s">
        <v>151</v>
      </c>
      <c r="B25" s="110">
        <v>1.0</v>
      </c>
      <c r="C25" s="110">
        <v>2.0</v>
      </c>
      <c r="D25" s="110">
        <v>5.0</v>
      </c>
      <c r="E25" s="110">
        <v>10.0</v>
      </c>
      <c r="F25" s="110">
        <v>20.0</v>
      </c>
      <c r="G25" s="111">
        <v>20.0</v>
      </c>
      <c r="H25" s="111">
        <v>50.0</v>
      </c>
      <c r="I25" s="111">
        <v>100.0</v>
      </c>
      <c r="J25" s="111">
        <v>500.0</v>
      </c>
      <c r="K25" s="111">
        <v>1000.0</v>
      </c>
      <c r="L25" s="111">
        <v>5000.0</v>
      </c>
      <c r="M25" s="109"/>
      <c r="N25" s="109"/>
      <c r="O25" s="109"/>
      <c r="P25" s="109"/>
      <c r="Q25" s="109"/>
      <c r="R25" s="109"/>
      <c r="S25" s="109"/>
    </row>
    <row r="26">
      <c r="A26" s="109" t="s">
        <v>154</v>
      </c>
      <c r="B26" s="110">
        <v>0.01</v>
      </c>
      <c r="C26" s="110">
        <v>0.05</v>
      </c>
      <c r="D26" s="110">
        <v>0.1</v>
      </c>
      <c r="E26" s="110">
        <v>0.25</v>
      </c>
      <c r="F26" s="110">
        <v>0.5</v>
      </c>
      <c r="G26" s="110">
        <v>1.0</v>
      </c>
      <c r="H26" s="111">
        <v>1.0</v>
      </c>
      <c r="I26" s="111">
        <v>5.0</v>
      </c>
      <c r="J26" s="111">
        <v>10.0</v>
      </c>
      <c r="K26" s="111">
        <v>50.0</v>
      </c>
      <c r="L26" s="111">
        <v>100.0</v>
      </c>
      <c r="M26" s="109"/>
      <c r="N26" s="109"/>
      <c r="O26" s="109"/>
      <c r="P26" s="109"/>
      <c r="Q26" s="109"/>
      <c r="R26" s="109"/>
      <c r="S26" s="109"/>
    </row>
    <row r="27">
      <c r="A27" s="109" t="s">
        <v>157</v>
      </c>
      <c r="B27" s="110">
        <v>50.0</v>
      </c>
      <c r="C27" s="110">
        <v>100.0</v>
      </c>
      <c r="D27" s="110">
        <v>200.0</v>
      </c>
      <c r="E27" s="110">
        <v>500.0</v>
      </c>
      <c r="F27" s="110">
        <v>1000.0</v>
      </c>
      <c r="G27" s="111">
        <v>1000.0</v>
      </c>
      <c r="H27" s="111">
        <v>2000.0</v>
      </c>
      <c r="I27" s="111">
        <v>5000.0</v>
      </c>
      <c r="J27" s="111">
        <v>10000.0</v>
      </c>
      <c r="K27" s="111">
        <v>20000.0</v>
      </c>
      <c r="L27" s="111">
        <v>50000.0</v>
      </c>
      <c r="M27" s="109"/>
      <c r="N27" s="109"/>
      <c r="O27" s="109"/>
      <c r="P27" s="109"/>
      <c r="Q27" s="109"/>
      <c r="R27" s="109"/>
      <c r="S27" s="109"/>
    </row>
    <row r="28">
      <c r="A28" s="109" t="s">
        <v>160</v>
      </c>
      <c r="B28" s="110">
        <v>0.01</v>
      </c>
      <c r="C28" s="110">
        <v>0.02</v>
      </c>
      <c r="D28" s="110">
        <v>0.05</v>
      </c>
      <c r="E28" s="110">
        <v>0.1</v>
      </c>
      <c r="F28" s="110">
        <v>0.2</v>
      </c>
      <c r="G28" s="110">
        <v>0.5</v>
      </c>
      <c r="H28" s="110">
        <v>1.0</v>
      </c>
      <c r="I28" s="110">
        <v>2.0</v>
      </c>
      <c r="J28" s="111">
        <v>5.0</v>
      </c>
      <c r="K28" s="111">
        <v>10.0</v>
      </c>
      <c r="L28" s="111">
        <v>20.0</v>
      </c>
      <c r="M28" s="111">
        <v>50.0</v>
      </c>
      <c r="N28" s="111">
        <v>100.0</v>
      </c>
      <c r="O28" s="109"/>
      <c r="P28" s="109"/>
      <c r="Q28" s="109"/>
      <c r="R28" s="109"/>
      <c r="S28" s="109"/>
    </row>
    <row r="29">
      <c r="A29" s="22" t="s">
        <v>162</v>
      </c>
    </row>
    <row r="30">
      <c r="A30" s="22" t="s">
        <v>165</v>
      </c>
    </row>
    <row r="31">
      <c r="A31" s="22" t="s">
        <v>168</v>
      </c>
    </row>
    <row r="32">
      <c r="A32" s="22" t="s">
        <v>171</v>
      </c>
    </row>
    <row r="33">
      <c r="A33" s="22" t="s">
        <v>174</v>
      </c>
      <c r="B33" s="22">
        <v>0.01</v>
      </c>
      <c r="C33" s="22">
        <v>0.05</v>
      </c>
      <c r="D33" s="22">
        <v>0.1</v>
      </c>
      <c r="E33" s="22">
        <v>0.25</v>
      </c>
      <c r="F33" s="22">
        <v>0.5</v>
      </c>
      <c r="G33" s="22">
        <v>1.0</v>
      </c>
      <c r="H33" s="112">
        <v>5.0</v>
      </c>
      <c r="I33" s="112">
        <v>10.0</v>
      </c>
      <c r="J33" s="112">
        <v>20.0</v>
      </c>
      <c r="K33" s="112">
        <v>50.0</v>
      </c>
      <c r="L33" s="112">
        <v>100.0</v>
      </c>
      <c r="M33" s="112">
        <v>200.0</v>
      </c>
    </row>
    <row r="34">
      <c r="A34" s="22" t="s">
        <v>177</v>
      </c>
      <c r="B34" s="22">
        <v>0.01</v>
      </c>
      <c r="C34" s="22">
        <v>0.02</v>
      </c>
      <c r="D34" s="22">
        <v>0.05</v>
      </c>
      <c r="E34" s="22">
        <v>0.1</v>
      </c>
      <c r="F34" s="22">
        <v>0.2</v>
      </c>
      <c r="G34" s="22">
        <v>0.5</v>
      </c>
      <c r="H34" s="22">
        <v>1.0</v>
      </c>
      <c r="I34" s="22">
        <v>2.0</v>
      </c>
      <c r="J34" s="112">
        <v>5.0</v>
      </c>
      <c r="K34" s="112">
        <v>10.0</v>
      </c>
      <c r="L34" s="112">
        <v>20.0</v>
      </c>
      <c r="M34" s="112">
        <v>50.0</v>
      </c>
      <c r="N34" s="112">
        <v>100.0</v>
      </c>
    </row>
    <row r="35">
      <c r="A35" s="22" t="s">
        <v>180</v>
      </c>
      <c r="B35" s="22">
        <v>1.0</v>
      </c>
      <c r="C35" s="22">
        <v>2.0</v>
      </c>
      <c r="D35" s="112">
        <v>5.0</v>
      </c>
      <c r="E35" s="112">
        <v>10.0</v>
      </c>
      <c r="F35" s="112">
        <v>20.0</v>
      </c>
      <c r="G35" s="112">
        <v>50.0</v>
      </c>
      <c r="H35" s="112">
        <v>100.0</v>
      </c>
      <c r="I35" s="112">
        <v>500.0</v>
      </c>
      <c r="J35" s="112">
        <v>1000.0</v>
      </c>
    </row>
    <row r="36">
      <c r="A36" s="22" t="s">
        <v>182</v>
      </c>
      <c r="B36" s="22">
        <v>0.05</v>
      </c>
      <c r="C36" s="22">
        <v>0.1</v>
      </c>
      <c r="D36" s="22">
        <v>0.2</v>
      </c>
      <c r="E36" s="22">
        <v>0.5</v>
      </c>
      <c r="F36" s="22">
        <v>1.0</v>
      </c>
      <c r="G36" s="22">
        <v>2.0</v>
      </c>
      <c r="H36" s="22">
        <v>5.0</v>
      </c>
      <c r="I36" s="112">
        <v>10.0</v>
      </c>
      <c r="J36" s="112">
        <v>20.0</v>
      </c>
      <c r="K36" s="112">
        <v>50.0</v>
      </c>
      <c r="L36" s="112">
        <v>100.0</v>
      </c>
      <c r="M36" s="112">
        <v>200.0</v>
      </c>
      <c r="N36" s="112">
        <v>1000.0</v>
      </c>
    </row>
    <row r="37">
      <c r="A37" s="22" t="s">
        <v>184</v>
      </c>
      <c r="B37" s="22">
        <v>0.05</v>
      </c>
      <c r="C37" s="22">
        <v>0.1</v>
      </c>
      <c r="D37" s="22">
        <v>0.25</v>
      </c>
      <c r="E37" s="22">
        <v>1.0</v>
      </c>
      <c r="F37" s="22">
        <v>2.0</v>
      </c>
      <c r="G37" s="112">
        <v>5.0</v>
      </c>
      <c r="H37" s="112">
        <v>10.0</v>
      </c>
      <c r="I37" s="112">
        <v>20.0</v>
      </c>
      <c r="J37" s="112">
        <v>50.0</v>
      </c>
      <c r="K37" s="112">
        <v>100.0</v>
      </c>
    </row>
    <row r="38">
      <c r="A38" s="22" t="s">
        <v>186</v>
      </c>
      <c r="B38" s="22">
        <v>0.01</v>
      </c>
      <c r="C38" s="22">
        <v>0.05</v>
      </c>
      <c r="D38" s="22">
        <v>0.1</v>
      </c>
      <c r="E38" s="22">
        <v>0.2</v>
      </c>
      <c r="F38" s="22">
        <v>0.5</v>
      </c>
      <c r="G38" s="22">
        <v>1.0</v>
      </c>
      <c r="H38" s="22">
        <v>2.0</v>
      </c>
      <c r="I38" s="22">
        <v>5.0</v>
      </c>
      <c r="J38" s="112">
        <v>10.0</v>
      </c>
      <c r="K38" s="112">
        <v>20.0</v>
      </c>
      <c r="L38" s="112">
        <v>50.0</v>
      </c>
      <c r="M38" s="112">
        <v>100.0</v>
      </c>
    </row>
    <row r="39">
      <c r="A39" s="22" t="s">
        <v>188</v>
      </c>
      <c r="B39" s="22">
        <v>0.01</v>
      </c>
      <c r="C39" s="22">
        <v>0.05</v>
      </c>
      <c r="D39" s="22">
        <v>0.1</v>
      </c>
      <c r="E39" s="22">
        <v>0.25</v>
      </c>
      <c r="F39" s="22">
        <v>0.5</v>
      </c>
      <c r="G39" s="22">
        <v>1.0</v>
      </c>
      <c r="H39" s="112">
        <v>5.0</v>
      </c>
      <c r="I39" s="112">
        <v>10.0</v>
      </c>
      <c r="J39" s="112">
        <v>20.0</v>
      </c>
      <c r="K39" s="112">
        <v>50.0</v>
      </c>
      <c r="L39" s="112">
        <v>100.0</v>
      </c>
      <c r="M39" s="112">
        <v>200.0</v>
      </c>
      <c r="N39" s="112">
        <v>500.0</v>
      </c>
      <c r="O39" s="112">
        <v>1000.0</v>
      </c>
    </row>
    <row r="40">
      <c r="A40" s="22" t="s">
        <v>191</v>
      </c>
      <c r="B40" s="22">
        <v>0.01</v>
      </c>
      <c r="C40" s="22">
        <v>0.05</v>
      </c>
      <c r="D40" s="22">
        <v>0.1</v>
      </c>
      <c r="E40" s="22">
        <v>0.2</v>
      </c>
      <c r="F40" s="22">
        <v>0.5</v>
      </c>
      <c r="G40" s="112">
        <v>1.0</v>
      </c>
      <c r="H40" s="112">
        <v>5.0</v>
      </c>
      <c r="I40" s="112">
        <v>10.0</v>
      </c>
      <c r="J40" s="112">
        <v>20.0</v>
      </c>
      <c r="K40" s="112">
        <v>25.0</v>
      </c>
      <c r="L40" s="112">
        <v>50.0</v>
      </c>
      <c r="M40" s="112">
        <v>100.0</v>
      </c>
      <c r="N40" s="112">
        <v>500.0</v>
      </c>
      <c r="O40" s="112">
        <v>1000.0</v>
      </c>
      <c r="P40" s="112">
        <v>10000.0</v>
      </c>
    </row>
    <row r="41">
      <c r="A41" s="22" t="s">
        <v>193</v>
      </c>
      <c r="B41" s="22">
        <v>50.0</v>
      </c>
      <c r="C41" s="22">
        <v>100.0</v>
      </c>
      <c r="D41" s="22">
        <v>200.0</v>
      </c>
      <c r="E41" s="22">
        <v>500.0</v>
      </c>
      <c r="F41" s="22">
        <v>1000.0</v>
      </c>
      <c r="G41" s="112">
        <v>1000.0</v>
      </c>
      <c r="H41" s="112">
        <v>2000.0</v>
      </c>
      <c r="I41" s="112">
        <v>5000.0</v>
      </c>
      <c r="J41" s="112">
        <v>10000.0</v>
      </c>
      <c r="K41" s="112">
        <v>20000.0</v>
      </c>
      <c r="L41" s="112">
        <v>50000.0</v>
      </c>
      <c r="M41" s="112">
        <v>100000.0</v>
      </c>
    </row>
    <row r="42">
      <c r="A42" s="22" t="s">
        <v>195</v>
      </c>
      <c r="B42" s="110">
        <v>200.0</v>
      </c>
      <c r="C42" s="110">
        <v>500.0</v>
      </c>
      <c r="D42" s="110">
        <v>1000.0</v>
      </c>
      <c r="E42" s="110">
        <v>2000.0</v>
      </c>
      <c r="F42" s="110">
        <v>5000.0</v>
      </c>
      <c r="G42" s="111">
        <v>10000.0</v>
      </c>
      <c r="H42" s="111">
        <v>20000.0</v>
      </c>
      <c r="I42" s="111">
        <v>50000.0</v>
      </c>
      <c r="J42" s="111">
        <v>100000.0</v>
      </c>
      <c r="K42" s="111">
        <v>200000.0</v>
      </c>
      <c r="L42" s="111">
        <v>500000.0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100.0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2.0</v>
      </c>
      <c r="H2" s="37">
        <v>4.0</v>
      </c>
      <c r="I2" s="37">
        <v>8.0</v>
      </c>
      <c r="J2" s="37">
        <v>12.0</v>
      </c>
      <c r="K2" s="37">
        <v>16.0</v>
      </c>
      <c r="L2" s="37">
        <v>20.0</v>
      </c>
      <c r="M2" s="37">
        <v>30.0</v>
      </c>
      <c r="N2" s="37">
        <v>40.0</v>
      </c>
      <c r="O2" s="37">
        <v>50.0</v>
      </c>
      <c r="P2" s="37">
        <v>80.0</v>
      </c>
      <c r="Q2" s="37">
        <v>100.0</v>
      </c>
      <c r="R2" s="37">
        <v>120.0</v>
      </c>
      <c r="S2" s="37">
        <v>140.0</v>
      </c>
      <c r="T2" s="37">
        <v>160.0</v>
      </c>
      <c r="U2" s="37">
        <v>180.0</v>
      </c>
      <c r="V2" s="37">
        <v>200.0</v>
      </c>
      <c r="W2" s="37">
        <v>250.0</v>
      </c>
      <c r="X2" s="37">
        <v>300.0</v>
      </c>
      <c r="Y2" s="37">
        <v>400.0</v>
      </c>
      <c r="Z2" s="37">
        <v>500.0</v>
      </c>
      <c r="AA2" s="37">
        <v>600.0</v>
      </c>
      <c r="AB2" s="37">
        <v>700.0</v>
      </c>
      <c r="AC2" s="37">
        <v>800.0</v>
      </c>
      <c r="AD2" s="113">
        <v>1000.0</v>
      </c>
      <c r="AE2" s="113">
        <v>1200.0</v>
      </c>
      <c r="AF2" s="113">
        <v>1400.0</v>
      </c>
      <c r="AG2" s="113">
        <v>1600.0</v>
      </c>
      <c r="AH2" s="114">
        <v>2000.0</v>
      </c>
      <c r="AI2" s="114">
        <v>2400.0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ht="16.5" customHeight="1">
      <c r="A5" s="74" t="s">
        <v>45</v>
      </c>
      <c r="B5" s="50" t="s">
        <v>46</v>
      </c>
      <c r="C5" s="50" t="s">
        <v>47</v>
      </c>
      <c r="D5" s="50" t="s">
        <v>48</v>
      </c>
      <c r="E5" s="5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Z5" s="45"/>
      <c r="AA5" s="46" t="s">
        <v>70</v>
      </c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64">
        <v>0.01</v>
      </c>
      <c r="F6" s="75">
        <v>2.0</v>
      </c>
      <c r="G6" s="75">
        <v>3.0</v>
      </c>
      <c r="H6" s="75">
        <v>4.0</v>
      </c>
      <c r="I6" s="75">
        <v>5.0</v>
      </c>
      <c r="J6" s="75">
        <v>6.0</v>
      </c>
      <c r="K6" s="75">
        <v>7.0</v>
      </c>
      <c r="L6" s="75">
        <v>9.0</v>
      </c>
      <c r="M6" s="75">
        <v>11.0</v>
      </c>
      <c r="N6" s="75">
        <v>13.0</v>
      </c>
      <c r="O6" s="75">
        <v>15.0</v>
      </c>
      <c r="P6" s="75">
        <v>17.0</v>
      </c>
      <c r="Q6" s="75">
        <v>19.0</v>
      </c>
      <c r="R6" s="75">
        <v>20.0</v>
      </c>
      <c r="S6" s="75">
        <v>21.0</v>
      </c>
      <c r="T6" s="75">
        <v>22.0</v>
      </c>
      <c r="U6" s="75">
        <v>24.0</v>
      </c>
      <c r="V6" s="75">
        <v>26.0</v>
      </c>
      <c r="W6" s="75">
        <v>28.0</v>
      </c>
      <c r="X6" s="75">
        <v>29.0</v>
      </c>
      <c r="Y6" s="75">
        <v>30.0</v>
      </c>
      <c r="Z6" s="76"/>
      <c r="AA6" s="5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64">
        <v>0.01</v>
      </c>
      <c r="F7" s="75">
        <v>1.0</v>
      </c>
      <c r="G7" s="75">
        <v>2.0</v>
      </c>
      <c r="H7" s="75">
        <v>3.0</v>
      </c>
      <c r="I7" s="75">
        <v>4.0</v>
      </c>
      <c r="J7" s="75">
        <v>5.0</v>
      </c>
      <c r="K7" s="75">
        <v>6.0</v>
      </c>
      <c r="L7" s="75">
        <v>7.0</v>
      </c>
      <c r="M7" s="75">
        <v>8.0</v>
      </c>
      <c r="N7" s="75">
        <v>9.0</v>
      </c>
      <c r="O7" s="75">
        <v>10.0</v>
      </c>
      <c r="P7" s="75">
        <v>11.0</v>
      </c>
      <c r="Q7" s="75">
        <v>12.0</v>
      </c>
      <c r="R7" s="75">
        <v>14.0</v>
      </c>
      <c r="S7" s="75">
        <v>15.0</v>
      </c>
      <c r="T7" s="75">
        <v>16.0</v>
      </c>
      <c r="U7" s="75">
        <v>17.0</v>
      </c>
      <c r="V7" s="75">
        <v>18.0</v>
      </c>
      <c r="W7" s="75">
        <v>19.0</v>
      </c>
      <c r="X7" s="75">
        <v>20.0</v>
      </c>
      <c r="Y7" s="75">
        <v>21.0</v>
      </c>
      <c r="Z7" s="76"/>
      <c r="AA7" s="5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64">
        <v>0.01</v>
      </c>
      <c r="F8" s="75">
        <v>2.0</v>
      </c>
      <c r="G8" s="75">
        <v>3.0</v>
      </c>
      <c r="H8" s="75">
        <v>4.0</v>
      </c>
      <c r="I8" s="75">
        <v>5.0</v>
      </c>
      <c r="J8" s="75">
        <v>6.0</v>
      </c>
      <c r="K8" s="75">
        <v>7.0</v>
      </c>
      <c r="L8" s="75">
        <v>9.0</v>
      </c>
      <c r="M8" s="75">
        <v>11.0</v>
      </c>
      <c r="N8" s="75">
        <v>13.0</v>
      </c>
      <c r="O8" s="75">
        <v>15.0</v>
      </c>
      <c r="P8" s="75">
        <v>17.0</v>
      </c>
      <c r="Q8" s="75">
        <v>19.0</v>
      </c>
      <c r="R8" s="75">
        <v>20.0</v>
      </c>
      <c r="S8" s="75">
        <v>21.0</v>
      </c>
      <c r="T8" s="75">
        <v>22.0</v>
      </c>
      <c r="U8" s="75">
        <v>24.0</v>
      </c>
      <c r="V8" s="75">
        <v>26.0</v>
      </c>
      <c r="W8" s="75">
        <v>28.0</v>
      </c>
      <c r="X8" s="75">
        <v>29.0</v>
      </c>
      <c r="Y8" s="75">
        <v>30.0</v>
      </c>
      <c r="Z8" s="76"/>
      <c r="AA8" s="5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64">
        <v>0.01</v>
      </c>
      <c r="F9" s="75">
        <v>1.0</v>
      </c>
      <c r="G9" s="75">
        <v>2.0</v>
      </c>
      <c r="H9" s="75">
        <v>3.0</v>
      </c>
      <c r="I9" s="75">
        <v>4.0</v>
      </c>
      <c r="J9" s="75">
        <v>5.0</v>
      </c>
      <c r="K9" s="75">
        <v>6.0</v>
      </c>
      <c r="L9" s="75">
        <v>7.0</v>
      </c>
      <c r="M9" s="75">
        <v>8.0</v>
      </c>
      <c r="N9" s="75">
        <v>10.0</v>
      </c>
      <c r="O9" s="75">
        <v>11.0</v>
      </c>
      <c r="P9" s="75">
        <v>12.0</v>
      </c>
      <c r="Q9" s="75">
        <v>13.0</v>
      </c>
      <c r="R9" s="75">
        <v>15.0</v>
      </c>
      <c r="S9" s="75">
        <v>17.0</v>
      </c>
      <c r="T9" s="75">
        <v>18.0</v>
      </c>
      <c r="U9" s="75">
        <v>19.0</v>
      </c>
      <c r="V9" s="75">
        <v>20.0</v>
      </c>
      <c r="W9" s="75">
        <v>21.0</v>
      </c>
      <c r="X9" s="75">
        <v>24.0</v>
      </c>
      <c r="Y9" s="75">
        <v>25.0</v>
      </c>
      <c r="Z9" s="76"/>
      <c r="AA9" s="5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64">
        <v>0.01</v>
      </c>
      <c r="F10" s="75">
        <v>1.0</v>
      </c>
      <c r="G10" s="75">
        <v>2.0</v>
      </c>
      <c r="H10" s="75">
        <v>3.0</v>
      </c>
      <c r="I10" s="75">
        <v>4.0</v>
      </c>
      <c r="J10" s="75">
        <v>5.0</v>
      </c>
      <c r="K10" s="75">
        <v>6.0</v>
      </c>
      <c r="L10" s="75">
        <v>7.0</v>
      </c>
      <c r="M10" s="75">
        <v>8.0</v>
      </c>
      <c r="N10" s="75">
        <v>10.0</v>
      </c>
      <c r="O10" s="75">
        <v>11.0</v>
      </c>
      <c r="P10" s="75">
        <v>12.0</v>
      </c>
      <c r="Q10" s="75">
        <v>13.0</v>
      </c>
      <c r="R10" s="75">
        <v>15.0</v>
      </c>
      <c r="S10" s="75">
        <v>17.0</v>
      </c>
      <c r="T10" s="75">
        <v>18.0</v>
      </c>
      <c r="U10" s="75">
        <v>19.0</v>
      </c>
      <c r="V10" s="75">
        <v>20.0</v>
      </c>
      <c r="W10" s="75">
        <v>21.0</v>
      </c>
      <c r="X10" s="75">
        <v>24.0</v>
      </c>
      <c r="Y10" s="75">
        <v>25.0</v>
      </c>
      <c r="Z10" s="76"/>
      <c r="AA10" s="5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64">
        <v>0.01</v>
      </c>
      <c r="F11" s="75">
        <v>1.0</v>
      </c>
      <c r="G11" s="75">
        <v>2.0</v>
      </c>
      <c r="H11" s="75">
        <v>3.0</v>
      </c>
      <c r="I11" s="75">
        <v>4.0</v>
      </c>
      <c r="J11" s="75">
        <v>5.0</v>
      </c>
      <c r="K11" s="75">
        <v>6.0</v>
      </c>
      <c r="L11" s="75">
        <v>7.0</v>
      </c>
      <c r="M11" s="75">
        <v>8.0</v>
      </c>
      <c r="N11" s="75">
        <v>9.0</v>
      </c>
      <c r="O11" s="75">
        <v>10.0</v>
      </c>
      <c r="P11" s="75">
        <v>11.0</v>
      </c>
      <c r="Q11" s="75">
        <v>12.0</v>
      </c>
      <c r="R11" s="75">
        <v>14.0</v>
      </c>
      <c r="S11" s="75">
        <v>15.0</v>
      </c>
      <c r="T11" s="75">
        <v>16.0</v>
      </c>
      <c r="U11" s="75">
        <v>17.0</v>
      </c>
      <c r="V11" s="75">
        <v>18.0</v>
      </c>
      <c r="W11" s="75">
        <v>19.0</v>
      </c>
      <c r="X11" s="75">
        <v>20.0</v>
      </c>
      <c r="Y11" s="75">
        <v>21.0</v>
      </c>
      <c r="Z11" s="76"/>
      <c r="AA11" s="5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64">
        <v>0.001</v>
      </c>
      <c r="F12" s="75">
        <v>1.0</v>
      </c>
      <c r="G12" s="75">
        <v>2.0</v>
      </c>
      <c r="H12" s="75">
        <v>3.0</v>
      </c>
      <c r="I12" s="75">
        <v>4.0</v>
      </c>
      <c r="J12" s="75">
        <v>6.0</v>
      </c>
      <c r="K12" s="75">
        <v>7.0</v>
      </c>
      <c r="L12" s="75">
        <v>9.0</v>
      </c>
      <c r="M12" s="75">
        <v>10.0</v>
      </c>
      <c r="N12" s="75">
        <v>11.0</v>
      </c>
      <c r="O12" s="75">
        <v>12.0</v>
      </c>
      <c r="P12" s="75">
        <v>15.0</v>
      </c>
      <c r="Q12" s="75">
        <v>16.0</v>
      </c>
      <c r="R12" s="75">
        <v>17.0</v>
      </c>
      <c r="S12" s="75">
        <v>19.0</v>
      </c>
      <c r="T12" s="75">
        <v>20.0</v>
      </c>
      <c r="U12" s="75">
        <v>21.0</v>
      </c>
      <c r="V12" s="75">
        <v>22.0</v>
      </c>
      <c r="W12" s="75">
        <v>23.0</v>
      </c>
      <c r="X12" s="75">
        <v>24.0</v>
      </c>
      <c r="Y12" s="75">
        <v>25.0</v>
      </c>
      <c r="Z12" s="76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64">
        <v>0.001</v>
      </c>
      <c r="F13" s="75">
        <v>1.0</v>
      </c>
      <c r="G13" s="75">
        <v>2.0</v>
      </c>
      <c r="H13" s="75">
        <v>3.0</v>
      </c>
      <c r="I13" s="75">
        <v>4.0</v>
      </c>
      <c r="J13" s="75">
        <v>6.0</v>
      </c>
      <c r="K13" s="75">
        <v>7.0</v>
      </c>
      <c r="L13" s="75">
        <v>9.0</v>
      </c>
      <c r="M13" s="75">
        <v>10.0</v>
      </c>
      <c r="N13" s="75">
        <v>11.0</v>
      </c>
      <c r="O13" s="75">
        <v>12.0</v>
      </c>
      <c r="P13" s="75">
        <v>15.0</v>
      </c>
      <c r="Q13" s="75">
        <v>16.0</v>
      </c>
      <c r="R13" s="75">
        <v>17.0</v>
      </c>
      <c r="S13" s="75">
        <v>19.0</v>
      </c>
      <c r="T13" s="75">
        <v>20.0</v>
      </c>
      <c r="U13" s="75">
        <v>21.0</v>
      </c>
      <c r="V13" s="75">
        <v>22.0</v>
      </c>
      <c r="W13" s="75">
        <v>23.0</v>
      </c>
      <c r="X13" s="75">
        <v>24.0</v>
      </c>
      <c r="Y13" s="75">
        <v>25.0</v>
      </c>
      <c r="Z13" s="76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64">
        <v>0.01</v>
      </c>
      <c r="F14" s="75">
        <v>2.0</v>
      </c>
      <c r="G14" s="75">
        <v>3.0</v>
      </c>
      <c r="H14" s="75">
        <v>4.0</v>
      </c>
      <c r="I14" s="75">
        <v>5.0</v>
      </c>
      <c r="J14" s="75">
        <v>6.0</v>
      </c>
      <c r="K14" s="75">
        <v>7.0</v>
      </c>
      <c r="L14" s="75">
        <v>9.0</v>
      </c>
      <c r="M14" s="75">
        <v>11.0</v>
      </c>
      <c r="N14" s="75">
        <v>13.0</v>
      </c>
      <c r="O14" s="75">
        <v>15.0</v>
      </c>
      <c r="P14" s="75">
        <v>17.0</v>
      </c>
      <c r="Q14" s="75">
        <v>19.0</v>
      </c>
      <c r="R14" s="75">
        <v>20.0</v>
      </c>
      <c r="S14" s="75">
        <v>21.0</v>
      </c>
      <c r="T14" s="75">
        <v>22.0</v>
      </c>
      <c r="U14" s="75">
        <v>24.0</v>
      </c>
      <c r="V14" s="75">
        <v>26.0</v>
      </c>
      <c r="W14" s="75">
        <v>28.0</v>
      </c>
      <c r="X14" s="75">
        <v>29.0</v>
      </c>
      <c r="Y14" s="75">
        <v>30.0</v>
      </c>
      <c r="Z14" s="76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64">
        <v>0.01</v>
      </c>
      <c r="F15" s="75">
        <v>2.0</v>
      </c>
      <c r="G15" s="75">
        <v>3.0</v>
      </c>
      <c r="H15" s="75">
        <v>4.0</v>
      </c>
      <c r="I15" s="75">
        <v>5.0</v>
      </c>
      <c r="J15" s="75">
        <v>6.0</v>
      </c>
      <c r="K15" s="75">
        <v>7.0</v>
      </c>
      <c r="L15" s="75">
        <v>9.0</v>
      </c>
      <c r="M15" s="75">
        <v>11.0</v>
      </c>
      <c r="N15" s="75">
        <v>13.0</v>
      </c>
      <c r="O15" s="75">
        <v>15.0</v>
      </c>
      <c r="P15" s="75">
        <v>17.0</v>
      </c>
      <c r="Q15" s="75">
        <v>19.0</v>
      </c>
      <c r="R15" s="75">
        <v>20.0</v>
      </c>
      <c r="S15" s="75">
        <v>21.0</v>
      </c>
      <c r="T15" s="75">
        <v>22.0</v>
      </c>
      <c r="U15" s="75">
        <v>24.0</v>
      </c>
      <c r="V15" s="75">
        <v>26.0</v>
      </c>
      <c r="W15" s="75">
        <v>28.0</v>
      </c>
      <c r="X15" s="75">
        <v>29.0</v>
      </c>
      <c r="Y15" s="75">
        <v>30.0</v>
      </c>
      <c r="Z15" s="76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64">
        <v>0.001</v>
      </c>
      <c r="F16" s="75">
        <v>1.0</v>
      </c>
      <c r="G16" s="75">
        <v>2.0</v>
      </c>
      <c r="H16" s="75">
        <v>3.0</v>
      </c>
      <c r="I16" s="75">
        <v>4.0</v>
      </c>
      <c r="J16" s="75">
        <v>6.0</v>
      </c>
      <c r="K16" s="75">
        <v>7.0</v>
      </c>
      <c r="L16" s="75">
        <v>9.0</v>
      </c>
      <c r="M16" s="75">
        <v>10.0</v>
      </c>
      <c r="N16" s="75">
        <v>11.0</v>
      </c>
      <c r="O16" s="75">
        <v>12.0</v>
      </c>
      <c r="P16" s="75">
        <v>15.0</v>
      </c>
      <c r="Q16" s="75">
        <v>16.0</v>
      </c>
      <c r="R16" s="75">
        <v>17.0</v>
      </c>
      <c r="S16" s="75">
        <v>19.0</v>
      </c>
      <c r="T16" s="75">
        <v>20.0</v>
      </c>
      <c r="U16" s="75">
        <v>21.0</v>
      </c>
      <c r="V16" s="75">
        <v>22.0</v>
      </c>
      <c r="W16" s="75">
        <v>23.0</v>
      </c>
      <c r="X16" s="75">
        <v>24.0</v>
      </c>
      <c r="Y16" s="75">
        <v>25.0</v>
      </c>
      <c r="Z16" s="76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64">
        <v>0.01</v>
      </c>
      <c r="F17" s="75">
        <v>1.0</v>
      </c>
      <c r="G17" s="75">
        <v>2.0</v>
      </c>
      <c r="H17" s="75">
        <v>3.0</v>
      </c>
      <c r="I17" s="75">
        <v>4.0</v>
      </c>
      <c r="J17" s="75">
        <v>5.0</v>
      </c>
      <c r="K17" s="75">
        <v>6.0</v>
      </c>
      <c r="L17" s="75">
        <v>7.0</v>
      </c>
      <c r="M17" s="75">
        <v>8.0</v>
      </c>
      <c r="N17" s="75">
        <v>10.0</v>
      </c>
      <c r="O17" s="75">
        <v>11.0</v>
      </c>
      <c r="P17" s="75">
        <v>12.0</v>
      </c>
      <c r="Q17" s="75">
        <v>13.0</v>
      </c>
      <c r="R17" s="75">
        <v>15.0</v>
      </c>
      <c r="S17" s="75">
        <v>17.0</v>
      </c>
      <c r="T17" s="75">
        <v>18.0</v>
      </c>
      <c r="U17" s="75">
        <v>19.0</v>
      </c>
      <c r="V17" s="75">
        <v>20.0</v>
      </c>
      <c r="W17" s="75">
        <v>21.0</v>
      </c>
      <c r="X17" s="75">
        <v>24.0</v>
      </c>
      <c r="Y17" s="75">
        <v>25.0</v>
      </c>
      <c r="Z17" s="76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64">
        <v>0.01</v>
      </c>
      <c r="F18" s="75">
        <v>2.0</v>
      </c>
      <c r="G18" s="75">
        <v>3.0</v>
      </c>
      <c r="H18" s="75">
        <v>4.0</v>
      </c>
      <c r="I18" s="75">
        <v>5.0</v>
      </c>
      <c r="J18" s="75">
        <v>6.0</v>
      </c>
      <c r="K18" s="75">
        <v>7.0</v>
      </c>
      <c r="L18" s="75">
        <v>9.0</v>
      </c>
      <c r="M18" s="75">
        <v>11.0</v>
      </c>
      <c r="N18" s="75">
        <v>13.0</v>
      </c>
      <c r="O18" s="75">
        <v>15.0</v>
      </c>
      <c r="P18" s="75">
        <v>17.0</v>
      </c>
      <c r="Q18" s="75">
        <v>19.0</v>
      </c>
      <c r="R18" s="75">
        <v>20.0</v>
      </c>
      <c r="S18" s="75">
        <v>21.0</v>
      </c>
      <c r="T18" s="75">
        <v>22.0</v>
      </c>
      <c r="U18" s="75">
        <v>24.0</v>
      </c>
      <c r="V18" s="75">
        <v>26.0</v>
      </c>
      <c r="W18" s="75">
        <v>28.0</v>
      </c>
      <c r="X18" s="75">
        <v>29.0</v>
      </c>
      <c r="Y18" s="75">
        <v>30.0</v>
      </c>
      <c r="Z18" s="76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64">
        <v>0.01</v>
      </c>
      <c r="F19" s="75">
        <v>1.0</v>
      </c>
      <c r="G19" s="75">
        <v>2.0</v>
      </c>
      <c r="H19" s="75">
        <v>3.0</v>
      </c>
      <c r="I19" s="75">
        <v>4.0</v>
      </c>
      <c r="J19" s="75">
        <v>5.0</v>
      </c>
      <c r="K19" s="75">
        <v>6.0</v>
      </c>
      <c r="L19" s="75">
        <v>7.0</v>
      </c>
      <c r="M19" s="75">
        <v>8.0</v>
      </c>
      <c r="N19" s="75">
        <v>9.0</v>
      </c>
      <c r="O19" s="75">
        <v>10.0</v>
      </c>
      <c r="P19" s="75">
        <v>11.0</v>
      </c>
      <c r="Q19" s="75">
        <v>12.0</v>
      </c>
      <c r="R19" s="75">
        <v>14.0</v>
      </c>
      <c r="S19" s="75">
        <v>15.0</v>
      </c>
      <c r="T19" s="75">
        <v>16.0</v>
      </c>
      <c r="U19" s="75">
        <v>17.0</v>
      </c>
      <c r="V19" s="75">
        <v>18.0</v>
      </c>
      <c r="W19" s="75">
        <v>19.0</v>
      </c>
      <c r="X19" s="75">
        <v>20.0</v>
      </c>
      <c r="Y19" s="75">
        <v>21.0</v>
      </c>
      <c r="Z19" s="76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64">
        <v>0.01</v>
      </c>
      <c r="F20" s="75">
        <v>1.0</v>
      </c>
      <c r="G20" s="75">
        <v>2.0</v>
      </c>
      <c r="H20" s="75">
        <v>3.0</v>
      </c>
      <c r="I20" s="75">
        <v>4.0</v>
      </c>
      <c r="J20" s="75">
        <v>5.0</v>
      </c>
      <c r="K20" s="75">
        <v>6.0</v>
      </c>
      <c r="L20" s="75">
        <v>7.0</v>
      </c>
      <c r="M20" s="75">
        <v>8.0</v>
      </c>
      <c r="N20" s="75">
        <v>10.0</v>
      </c>
      <c r="O20" s="75">
        <v>11.0</v>
      </c>
      <c r="P20" s="75">
        <v>12.0</v>
      </c>
      <c r="Q20" s="75">
        <v>13.0</v>
      </c>
      <c r="R20" s="75">
        <v>15.0</v>
      </c>
      <c r="S20" s="75">
        <v>17.0</v>
      </c>
      <c r="T20" s="75">
        <v>18.0</v>
      </c>
      <c r="U20" s="75">
        <v>19.0</v>
      </c>
      <c r="V20" s="75">
        <v>20.0</v>
      </c>
      <c r="W20" s="75">
        <v>21.0</v>
      </c>
      <c r="X20" s="75">
        <v>24.0</v>
      </c>
      <c r="Y20" s="75">
        <v>25.0</v>
      </c>
      <c r="Z20" s="77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64">
        <v>0.01</v>
      </c>
      <c r="F21" s="75">
        <v>1.0</v>
      </c>
      <c r="G21" s="75">
        <v>2.0</v>
      </c>
      <c r="H21" s="75">
        <v>3.0</v>
      </c>
      <c r="I21" s="75">
        <v>4.0</v>
      </c>
      <c r="J21" s="75">
        <v>5.0</v>
      </c>
      <c r="K21" s="75">
        <v>6.0</v>
      </c>
      <c r="L21" s="75">
        <v>7.0</v>
      </c>
      <c r="M21" s="75">
        <v>8.0</v>
      </c>
      <c r="N21" s="75">
        <v>9.0</v>
      </c>
      <c r="O21" s="75">
        <v>10.0</v>
      </c>
      <c r="P21" s="75">
        <v>11.0</v>
      </c>
      <c r="Q21" s="75">
        <v>12.0</v>
      </c>
      <c r="R21" s="75">
        <v>14.0</v>
      </c>
      <c r="S21" s="75">
        <v>15.0</v>
      </c>
      <c r="T21" s="75">
        <v>16.0</v>
      </c>
      <c r="U21" s="75">
        <v>17.0</v>
      </c>
      <c r="V21" s="75">
        <v>18.0</v>
      </c>
      <c r="W21" s="75">
        <v>19.0</v>
      </c>
      <c r="X21" s="75">
        <v>20.0</v>
      </c>
      <c r="Y21" s="75">
        <v>21.0</v>
      </c>
      <c r="Z21" s="77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64">
        <v>0.001</v>
      </c>
      <c r="F22" s="75">
        <v>1.0</v>
      </c>
      <c r="G22" s="75">
        <v>2.0</v>
      </c>
      <c r="H22" s="75">
        <v>3.0</v>
      </c>
      <c r="I22" s="75">
        <v>4.0</v>
      </c>
      <c r="J22" s="75">
        <v>6.0</v>
      </c>
      <c r="K22" s="75">
        <v>7.0</v>
      </c>
      <c r="L22" s="75">
        <v>9.0</v>
      </c>
      <c r="M22" s="75">
        <v>10.0</v>
      </c>
      <c r="N22" s="75">
        <v>11.0</v>
      </c>
      <c r="O22" s="75">
        <v>12.0</v>
      </c>
      <c r="P22" s="75">
        <v>15.0</v>
      </c>
      <c r="Q22" s="75">
        <v>16.0</v>
      </c>
      <c r="R22" s="75">
        <v>17.0</v>
      </c>
      <c r="S22" s="75">
        <v>19.0</v>
      </c>
      <c r="T22" s="75">
        <v>20.0</v>
      </c>
      <c r="U22" s="75">
        <v>21.0</v>
      </c>
      <c r="V22" s="75">
        <v>22.0</v>
      </c>
      <c r="W22" s="75">
        <v>23.0</v>
      </c>
      <c r="X22" s="75">
        <v>24.0</v>
      </c>
      <c r="Y22" s="75">
        <v>25.0</v>
      </c>
      <c r="Z22" s="77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64">
        <v>0.02</v>
      </c>
      <c r="F23" s="75">
        <v>2.0</v>
      </c>
      <c r="G23" s="75">
        <v>3.0</v>
      </c>
      <c r="H23" s="75">
        <v>4.0</v>
      </c>
      <c r="I23" s="75">
        <v>5.0</v>
      </c>
      <c r="J23" s="75">
        <v>6.0</v>
      </c>
      <c r="K23" s="75">
        <v>7.0</v>
      </c>
      <c r="L23" s="75">
        <v>9.0</v>
      </c>
      <c r="M23" s="75">
        <v>11.0</v>
      </c>
      <c r="N23" s="75">
        <v>13.0</v>
      </c>
      <c r="O23" s="75">
        <v>15.0</v>
      </c>
      <c r="P23" s="75">
        <v>17.0</v>
      </c>
      <c r="Q23" s="75">
        <v>19.0</v>
      </c>
      <c r="R23" s="75">
        <v>20.0</v>
      </c>
      <c r="S23" s="75">
        <v>21.0</v>
      </c>
      <c r="T23" s="75">
        <v>22.0</v>
      </c>
      <c r="U23" s="75">
        <v>24.0</v>
      </c>
      <c r="V23" s="75">
        <v>26.0</v>
      </c>
      <c r="W23" s="75">
        <v>28.0</v>
      </c>
      <c r="X23" s="75">
        <v>29.0</v>
      </c>
      <c r="Y23" s="75">
        <v>30.0</v>
      </c>
      <c r="Z23" s="77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64">
        <v>0.2</v>
      </c>
      <c r="F24" s="75">
        <v>2.0</v>
      </c>
      <c r="G24" s="75">
        <v>3.0</v>
      </c>
      <c r="H24" s="75">
        <v>4.0</v>
      </c>
      <c r="I24" s="75">
        <v>5.0</v>
      </c>
      <c r="J24" s="75">
        <v>6.0</v>
      </c>
      <c r="K24" s="75">
        <v>7.0</v>
      </c>
      <c r="L24" s="75">
        <v>9.0</v>
      </c>
      <c r="M24" s="75">
        <v>11.0</v>
      </c>
      <c r="N24" s="75">
        <v>13.0</v>
      </c>
      <c r="O24" s="75">
        <v>15.0</v>
      </c>
      <c r="P24" s="75">
        <v>17.0</v>
      </c>
      <c r="Q24" s="75">
        <v>19.0</v>
      </c>
      <c r="R24" s="75">
        <v>20.0</v>
      </c>
      <c r="S24" s="75">
        <v>21.0</v>
      </c>
      <c r="T24" s="75">
        <v>22.0</v>
      </c>
      <c r="U24" s="75">
        <v>24.0</v>
      </c>
      <c r="V24" s="75">
        <v>26.0</v>
      </c>
      <c r="W24" s="75">
        <v>28.0</v>
      </c>
      <c r="X24" s="75">
        <v>29.0</v>
      </c>
      <c r="Y24" s="75">
        <v>30.0</v>
      </c>
      <c r="Z24" s="77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64">
        <v>0.2</v>
      </c>
      <c r="F25" s="75">
        <v>2.0</v>
      </c>
      <c r="G25" s="75">
        <v>3.0</v>
      </c>
      <c r="H25" s="75">
        <v>4.0</v>
      </c>
      <c r="I25" s="75">
        <v>5.0</v>
      </c>
      <c r="J25" s="75">
        <v>6.0</v>
      </c>
      <c r="K25" s="75">
        <v>7.0</v>
      </c>
      <c r="L25" s="75">
        <v>9.0</v>
      </c>
      <c r="M25" s="75">
        <v>11.0</v>
      </c>
      <c r="N25" s="75">
        <v>13.0</v>
      </c>
      <c r="O25" s="75">
        <v>15.0</v>
      </c>
      <c r="P25" s="75">
        <v>17.0</v>
      </c>
      <c r="Q25" s="75">
        <v>19.0</v>
      </c>
      <c r="R25" s="75">
        <v>20.0</v>
      </c>
      <c r="S25" s="75">
        <v>21.0</v>
      </c>
      <c r="T25" s="75">
        <v>22.0</v>
      </c>
      <c r="U25" s="75">
        <v>24.0</v>
      </c>
      <c r="V25" s="75">
        <v>26.0</v>
      </c>
      <c r="W25" s="75">
        <v>28.0</v>
      </c>
      <c r="X25" s="75">
        <v>29.0</v>
      </c>
      <c r="Y25" s="75">
        <v>30.0</v>
      </c>
      <c r="Z25" s="77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64">
        <v>0.2</v>
      </c>
      <c r="F26" s="75">
        <v>2.0</v>
      </c>
      <c r="G26" s="75">
        <v>3.0</v>
      </c>
      <c r="H26" s="75">
        <v>4.0</v>
      </c>
      <c r="I26" s="75">
        <v>5.0</v>
      </c>
      <c r="J26" s="75">
        <v>6.0</v>
      </c>
      <c r="K26" s="75">
        <v>7.0</v>
      </c>
      <c r="L26" s="75">
        <v>9.0</v>
      </c>
      <c r="M26" s="75">
        <v>11.0</v>
      </c>
      <c r="N26" s="75">
        <v>13.0</v>
      </c>
      <c r="O26" s="75">
        <v>15.0</v>
      </c>
      <c r="P26" s="75">
        <v>17.0</v>
      </c>
      <c r="Q26" s="75">
        <v>19.0</v>
      </c>
      <c r="R26" s="75">
        <v>20.0</v>
      </c>
      <c r="S26" s="75">
        <v>21.0</v>
      </c>
      <c r="T26" s="75">
        <v>22.0</v>
      </c>
      <c r="U26" s="75">
        <v>24.0</v>
      </c>
      <c r="V26" s="75">
        <v>26.0</v>
      </c>
      <c r="W26" s="75">
        <v>28.0</v>
      </c>
      <c r="X26" s="75">
        <v>29.0</v>
      </c>
      <c r="Y26" s="75">
        <v>30.0</v>
      </c>
      <c r="Z26" s="78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64">
        <v>0.2</v>
      </c>
      <c r="F27" s="75">
        <v>2.0</v>
      </c>
      <c r="G27" s="75">
        <v>3.0</v>
      </c>
      <c r="H27" s="75">
        <v>4.0</v>
      </c>
      <c r="I27" s="75">
        <v>5.0</v>
      </c>
      <c r="J27" s="75">
        <v>6.0</v>
      </c>
      <c r="K27" s="75">
        <v>7.0</v>
      </c>
      <c r="L27" s="75">
        <v>9.0</v>
      </c>
      <c r="M27" s="75">
        <v>11.0</v>
      </c>
      <c r="N27" s="75">
        <v>13.0</v>
      </c>
      <c r="O27" s="75">
        <v>15.0</v>
      </c>
      <c r="P27" s="75">
        <v>17.0</v>
      </c>
      <c r="Q27" s="75">
        <v>19.0</v>
      </c>
      <c r="R27" s="75">
        <v>20.0</v>
      </c>
      <c r="S27" s="75">
        <v>21.0</v>
      </c>
      <c r="T27" s="75">
        <v>22.0</v>
      </c>
      <c r="U27" s="75">
        <v>24.0</v>
      </c>
      <c r="V27" s="75">
        <v>26.0</v>
      </c>
      <c r="W27" s="75">
        <v>28.0</v>
      </c>
      <c r="X27" s="75">
        <v>29.0</v>
      </c>
      <c r="Y27" s="75">
        <v>30.0</v>
      </c>
      <c r="Z27" s="78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64">
        <v>0.01</v>
      </c>
      <c r="F28" s="75">
        <v>2.0</v>
      </c>
      <c r="G28" s="75">
        <v>3.0</v>
      </c>
      <c r="H28" s="75">
        <v>4.0</v>
      </c>
      <c r="I28" s="75">
        <v>5.0</v>
      </c>
      <c r="J28" s="75">
        <v>6.0</v>
      </c>
      <c r="K28" s="75">
        <v>7.0</v>
      </c>
      <c r="L28" s="75">
        <v>9.0</v>
      </c>
      <c r="M28" s="75">
        <v>11.0</v>
      </c>
      <c r="N28" s="75">
        <v>13.0</v>
      </c>
      <c r="O28" s="75">
        <v>15.0</v>
      </c>
      <c r="P28" s="75">
        <v>17.0</v>
      </c>
      <c r="Q28" s="75">
        <v>19.0</v>
      </c>
      <c r="R28" s="75">
        <v>20.0</v>
      </c>
      <c r="S28" s="75">
        <v>21.0</v>
      </c>
      <c r="T28" s="75">
        <v>22.0</v>
      </c>
      <c r="U28" s="75">
        <v>24.0</v>
      </c>
      <c r="V28" s="75">
        <v>26.0</v>
      </c>
      <c r="W28" s="75">
        <v>28.0</v>
      </c>
      <c r="X28" s="75">
        <v>29.0</v>
      </c>
      <c r="Y28" s="75">
        <v>30.0</v>
      </c>
      <c r="Z28" s="78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64">
        <v>0.01</v>
      </c>
      <c r="F29" s="75">
        <v>2.0</v>
      </c>
      <c r="G29" s="75">
        <v>3.0</v>
      </c>
      <c r="H29" s="75">
        <v>4.0</v>
      </c>
      <c r="I29" s="75">
        <v>5.0</v>
      </c>
      <c r="J29" s="75">
        <v>6.0</v>
      </c>
      <c r="K29" s="75">
        <v>7.0</v>
      </c>
      <c r="L29" s="75">
        <v>9.0</v>
      </c>
      <c r="M29" s="75">
        <v>11.0</v>
      </c>
      <c r="N29" s="75">
        <v>13.0</v>
      </c>
      <c r="O29" s="75">
        <v>15.0</v>
      </c>
      <c r="P29" s="75">
        <v>17.0</v>
      </c>
      <c r="Q29" s="75">
        <v>19.0</v>
      </c>
      <c r="R29" s="75">
        <v>20.0</v>
      </c>
      <c r="S29" s="75">
        <v>21.0</v>
      </c>
      <c r="T29" s="75">
        <v>22.0</v>
      </c>
      <c r="U29" s="75">
        <v>24.0</v>
      </c>
      <c r="V29" s="75">
        <v>26.0</v>
      </c>
      <c r="W29" s="75">
        <v>28.0</v>
      </c>
      <c r="X29" s="75">
        <v>29.0</v>
      </c>
      <c r="Y29" s="75">
        <v>30.0</v>
      </c>
      <c r="Z29" s="78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64">
        <v>0.01</v>
      </c>
      <c r="F30" s="75">
        <v>2.0</v>
      </c>
      <c r="G30" s="75">
        <v>3.0</v>
      </c>
      <c r="H30" s="75">
        <v>4.0</v>
      </c>
      <c r="I30" s="75">
        <v>5.0</v>
      </c>
      <c r="J30" s="75">
        <v>6.0</v>
      </c>
      <c r="K30" s="75">
        <v>7.0</v>
      </c>
      <c r="L30" s="75">
        <v>9.0</v>
      </c>
      <c r="M30" s="75">
        <v>11.0</v>
      </c>
      <c r="N30" s="75">
        <v>13.0</v>
      </c>
      <c r="O30" s="75">
        <v>15.0</v>
      </c>
      <c r="P30" s="75">
        <v>17.0</v>
      </c>
      <c r="Q30" s="75">
        <v>19.0</v>
      </c>
      <c r="R30" s="75">
        <v>20.0</v>
      </c>
      <c r="S30" s="75">
        <v>21.0</v>
      </c>
      <c r="T30" s="75">
        <v>22.0</v>
      </c>
      <c r="U30" s="75">
        <v>24.0</v>
      </c>
      <c r="V30" s="75">
        <v>26.0</v>
      </c>
      <c r="W30" s="75">
        <v>28.0</v>
      </c>
      <c r="X30" s="75">
        <v>29.0</v>
      </c>
      <c r="Y30" s="75">
        <v>30.0</v>
      </c>
      <c r="Z30" s="78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64">
        <v>0.2</v>
      </c>
      <c r="F31" s="75">
        <v>2.0</v>
      </c>
      <c r="G31" s="75">
        <v>3.0</v>
      </c>
      <c r="H31" s="75">
        <v>4.0</v>
      </c>
      <c r="I31" s="75">
        <v>5.0</v>
      </c>
      <c r="J31" s="75">
        <v>6.0</v>
      </c>
      <c r="K31" s="75">
        <v>7.0</v>
      </c>
      <c r="L31" s="75">
        <v>9.0</v>
      </c>
      <c r="M31" s="75">
        <v>11.0</v>
      </c>
      <c r="N31" s="75">
        <v>13.0</v>
      </c>
      <c r="O31" s="75">
        <v>15.0</v>
      </c>
      <c r="P31" s="75">
        <v>17.0</v>
      </c>
      <c r="Q31" s="75">
        <v>19.0</v>
      </c>
      <c r="R31" s="75">
        <v>20.0</v>
      </c>
      <c r="S31" s="75">
        <v>21.0</v>
      </c>
      <c r="T31" s="75">
        <v>22.0</v>
      </c>
      <c r="U31" s="75">
        <v>24.0</v>
      </c>
      <c r="V31" s="75">
        <v>26.0</v>
      </c>
      <c r="W31" s="75">
        <v>28.0</v>
      </c>
      <c r="X31" s="75">
        <v>29.0</v>
      </c>
      <c r="Y31" s="75">
        <v>30.0</v>
      </c>
      <c r="Z31" s="78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64">
        <v>0.001</v>
      </c>
      <c r="F32" s="75">
        <v>1.0</v>
      </c>
      <c r="G32" s="75">
        <v>2.0</v>
      </c>
      <c r="H32" s="75">
        <v>3.0</v>
      </c>
      <c r="I32" s="75">
        <v>4.0</v>
      </c>
      <c r="J32" s="75">
        <v>6.0</v>
      </c>
      <c r="K32" s="75">
        <v>7.0</v>
      </c>
      <c r="L32" s="75">
        <v>9.0</v>
      </c>
      <c r="M32" s="75">
        <v>10.0</v>
      </c>
      <c r="N32" s="75">
        <v>11.0</v>
      </c>
      <c r="O32" s="75">
        <v>12.0</v>
      </c>
      <c r="P32" s="75">
        <v>15.0</v>
      </c>
      <c r="Q32" s="75">
        <v>16.0</v>
      </c>
      <c r="R32" s="75">
        <v>17.0</v>
      </c>
      <c r="S32" s="75">
        <v>19.0</v>
      </c>
      <c r="T32" s="75">
        <v>20.0</v>
      </c>
      <c r="U32" s="75">
        <v>21.0</v>
      </c>
      <c r="V32" s="75">
        <v>22.0</v>
      </c>
      <c r="W32" s="75">
        <v>23.0</v>
      </c>
      <c r="X32" s="75">
        <v>24.0</v>
      </c>
      <c r="Y32" s="75">
        <v>25.0</v>
      </c>
      <c r="Z32" s="78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64">
        <v>0.01</v>
      </c>
      <c r="F33" s="75">
        <v>2.0</v>
      </c>
      <c r="G33" s="75">
        <v>3.0</v>
      </c>
      <c r="H33" s="75">
        <v>4.0</v>
      </c>
      <c r="I33" s="75">
        <v>5.0</v>
      </c>
      <c r="J33" s="75">
        <v>6.0</v>
      </c>
      <c r="K33" s="75">
        <v>7.0</v>
      </c>
      <c r="L33" s="75">
        <v>9.0</v>
      </c>
      <c r="M33" s="75">
        <v>11.0</v>
      </c>
      <c r="N33" s="75">
        <v>13.0</v>
      </c>
      <c r="O33" s="75">
        <v>15.0</v>
      </c>
      <c r="P33" s="75">
        <v>17.0</v>
      </c>
      <c r="Q33" s="75">
        <v>19.0</v>
      </c>
      <c r="R33" s="75">
        <v>20.0</v>
      </c>
      <c r="S33" s="75">
        <v>21.0</v>
      </c>
      <c r="T33" s="75">
        <v>22.0</v>
      </c>
      <c r="U33" s="75">
        <v>24.0</v>
      </c>
      <c r="V33" s="75">
        <v>26.0</v>
      </c>
      <c r="W33" s="75">
        <v>28.0</v>
      </c>
      <c r="X33" s="75">
        <v>29.0</v>
      </c>
      <c r="Y33" s="75">
        <v>30.0</v>
      </c>
      <c r="Z33" s="78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64">
        <v>0.2</v>
      </c>
      <c r="F34" s="75">
        <v>2.0</v>
      </c>
      <c r="G34" s="75">
        <v>3.0</v>
      </c>
      <c r="H34" s="75">
        <v>4.0</v>
      </c>
      <c r="I34" s="75">
        <v>5.0</v>
      </c>
      <c r="J34" s="75">
        <v>6.0</v>
      </c>
      <c r="K34" s="75">
        <v>7.0</v>
      </c>
      <c r="L34" s="75">
        <v>9.0</v>
      </c>
      <c r="M34" s="75">
        <v>11.0</v>
      </c>
      <c r="N34" s="75">
        <v>13.0</v>
      </c>
      <c r="O34" s="75">
        <v>15.0</v>
      </c>
      <c r="P34" s="75">
        <v>17.0</v>
      </c>
      <c r="Q34" s="75">
        <v>19.0</v>
      </c>
      <c r="R34" s="75">
        <v>20.0</v>
      </c>
      <c r="S34" s="75">
        <v>21.0</v>
      </c>
      <c r="T34" s="75">
        <v>22.0</v>
      </c>
      <c r="U34" s="75">
        <v>24.0</v>
      </c>
      <c r="V34" s="75">
        <v>26.0</v>
      </c>
      <c r="W34" s="75">
        <v>28.0</v>
      </c>
      <c r="X34" s="75">
        <v>29.0</v>
      </c>
      <c r="Y34" s="75">
        <v>30.0</v>
      </c>
      <c r="Z34" s="78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64">
        <v>0.02</v>
      </c>
      <c r="F35" s="75">
        <v>2.0</v>
      </c>
      <c r="G35" s="75">
        <v>3.0</v>
      </c>
      <c r="H35" s="75">
        <v>4.0</v>
      </c>
      <c r="I35" s="75">
        <v>5.0</v>
      </c>
      <c r="J35" s="75">
        <v>6.0</v>
      </c>
      <c r="K35" s="75">
        <v>7.0</v>
      </c>
      <c r="L35" s="75">
        <v>9.0</v>
      </c>
      <c r="M35" s="75">
        <v>11.0</v>
      </c>
      <c r="N35" s="75">
        <v>13.0</v>
      </c>
      <c r="O35" s="75">
        <v>15.0</v>
      </c>
      <c r="P35" s="75">
        <v>17.0</v>
      </c>
      <c r="Q35" s="75">
        <v>19.0</v>
      </c>
      <c r="R35" s="75">
        <v>20.0</v>
      </c>
      <c r="S35" s="75">
        <v>21.0</v>
      </c>
      <c r="T35" s="75">
        <v>22.0</v>
      </c>
      <c r="U35" s="75">
        <v>24.0</v>
      </c>
      <c r="V35" s="75">
        <v>26.0</v>
      </c>
      <c r="W35" s="75">
        <v>28.0</v>
      </c>
      <c r="X35" s="75">
        <v>29.0</v>
      </c>
      <c r="Y35" s="75">
        <v>30.0</v>
      </c>
      <c r="Z35" s="78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64">
        <v>0.01</v>
      </c>
      <c r="F36" s="75">
        <v>1.0</v>
      </c>
      <c r="G36" s="75">
        <v>2.0</v>
      </c>
      <c r="H36" s="75">
        <v>3.0</v>
      </c>
      <c r="I36" s="75">
        <v>4.0</v>
      </c>
      <c r="J36" s="75">
        <v>5.0</v>
      </c>
      <c r="K36" s="75">
        <v>6.0</v>
      </c>
      <c r="L36" s="75">
        <v>7.0</v>
      </c>
      <c r="M36" s="75">
        <v>8.0</v>
      </c>
      <c r="N36" s="75">
        <v>10.0</v>
      </c>
      <c r="O36" s="75">
        <v>11.0</v>
      </c>
      <c r="P36" s="75">
        <v>12.0</v>
      </c>
      <c r="Q36" s="75">
        <v>13.0</v>
      </c>
      <c r="R36" s="75">
        <v>15.0</v>
      </c>
      <c r="S36" s="75">
        <v>17.0</v>
      </c>
      <c r="T36" s="75">
        <v>18.0</v>
      </c>
      <c r="U36" s="75">
        <v>19.0</v>
      </c>
      <c r="V36" s="75">
        <v>20.0</v>
      </c>
      <c r="W36" s="75">
        <v>21.0</v>
      </c>
      <c r="X36" s="75">
        <v>24.0</v>
      </c>
      <c r="Y36" s="75">
        <v>25.0</v>
      </c>
      <c r="Z36" s="78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64">
        <v>0.01</v>
      </c>
      <c r="F37" s="75">
        <v>1.0</v>
      </c>
      <c r="G37" s="75">
        <v>2.0</v>
      </c>
      <c r="H37" s="75">
        <v>3.0</v>
      </c>
      <c r="I37" s="75">
        <v>4.0</v>
      </c>
      <c r="J37" s="75">
        <v>5.0</v>
      </c>
      <c r="K37" s="75">
        <v>6.0</v>
      </c>
      <c r="L37" s="75">
        <v>7.0</v>
      </c>
      <c r="M37" s="75">
        <v>8.0</v>
      </c>
      <c r="N37" s="75">
        <v>10.0</v>
      </c>
      <c r="O37" s="75">
        <v>11.0</v>
      </c>
      <c r="P37" s="75">
        <v>12.0</v>
      </c>
      <c r="Q37" s="75">
        <v>13.0</v>
      </c>
      <c r="R37" s="75">
        <v>15.0</v>
      </c>
      <c r="S37" s="75">
        <v>17.0</v>
      </c>
      <c r="T37" s="75">
        <v>18.0</v>
      </c>
      <c r="U37" s="75">
        <v>19.0</v>
      </c>
      <c r="V37" s="75">
        <v>20.0</v>
      </c>
      <c r="W37" s="75">
        <v>21.0</v>
      </c>
      <c r="X37" s="75">
        <v>24.0</v>
      </c>
      <c r="Y37" s="75">
        <v>25.0</v>
      </c>
      <c r="Z37" s="78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64">
        <v>0.001</v>
      </c>
      <c r="F38" s="75">
        <v>1.0</v>
      </c>
      <c r="G38" s="75">
        <v>2.0</v>
      </c>
      <c r="H38" s="75">
        <v>3.0</v>
      </c>
      <c r="I38" s="75">
        <v>4.0</v>
      </c>
      <c r="J38" s="75">
        <v>6.0</v>
      </c>
      <c r="K38" s="75">
        <v>7.0</v>
      </c>
      <c r="L38" s="75">
        <v>9.0</v>
      </c>
      <c r="M38" s="75">
        <v>10.0</v>
      </c>
      <c r="N38" s="75">
        <v>11.0</v>
      </c>
      <c r="O38" s="75">
        <v>12.0</v>
      </c>
      <c r="P38" s="75">
        <v>15.0</v>
      </c>
      <c r="Q38" s="75">
        <v>16.0</v>
      </c>
      <c r="R38" s="75">
        <v>17.0</v>
      </c>
      <c r="S38" s="75">
        <v>19.0</v>
      </c>
      <c r="T38" s="75">
        <v>20.0</v>
      </c>
      <c r="U38" s="75">
        <v>21.0</v>
      </c>
      <c r="V38" s="75">
        <v>22.0</v>
      </c>
      <c r="W38" s="75">
        <v>23.0</v>
      </c>
      <c r="X38" s="75">
        <v>24.0</v>
      </c>
      <c r="Y38" s="75">
        <v>25.0</v>
      </c>
      <c r="Z38" s="78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64">
        <v>0.02</v>
      </c>
      <c r="F39" s="75">
        <v>2.0</v>
      </c>
      <c r="G39" s="75">
        <v>3.0</v>
      </c>
      <c r="H39" s="75">
        <v>4.0</v>
      </c>
      <c r="I39" s="75">
        <v>5.0</v>
      </c>
      <c r="J39" s="75">
        <v>6.0</v>
      </c>
      <c r="K39" s="75">
        <v>7.0</v>
      </c>
      <c r="L39" s="75">
        <v>9.0</v>
      </c>
      <c r="M39" s="75">
        <v>11.0</v>
      </c>
      <c r="N39" s="75">
        <v>13.0</v>
      </c>
      <c r="O39" s="75">
        <v>15.0</v>
      </c>
      <c r="P39" s="75">
        <v>17.0</v>
      </c>
      <c r="Q39" s="75">
        <v>19.0</v>
      </c>
      <c r="R39" s="75">
        <v>20.0</v>
      </c>
      <c r="S39" s="75">
        <v>21.0</v>
      </c>
      <c r="T39" s="75">
        <v>22.0</v>
      </c>
      <c r="U39" s="75">
        <v>24.0</v>
      </c>
      <c r="V39" s="75">
        <v>26.0</v>
      </c>
      <c r="W39" s="75">
        <v>28.0</v>
      </c>
      <c r="X39" s="75">
        <v>29.0</v>
      </c>
      <c r="Y39" s="75">
        <v>30.0</v>
      </c>
      <c r="Z39" s="78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64">
        <v>0.001</v>
      </c>
      <c r="F40" s="75">
        <v>1.0</v>
      </c>
      <c r="G40" s="75">
        <v>2.0</v>
      </c>
      <c r="H40" s="75">
        <v>3.0</v>
      </c>
      <c r="I40" s="75">
        <v>4.0</v>
      </c>
      <c r="J40" s="75">
        <v>6.0</v>
      </c>
      <c r="K40" s="75">
        <v>7.0</v>
      </c>
      <c r="L40" s="75">
        <v>9.0</v>
      </c>
      <c r="M40" s="75">
        <v>10.0</v>
      </c>
      <c r="N40" s="75">
        <v>11.0</v>
      </c>
      <c r="O40" s="75">
        <v>12.0</v>
      </c>
      <c r="P40" s="75">
        <v>15.0</v>
      </c>
      <c r="Q40" s="75">
        <v>16.0</v>
      </c>
      <c r="R40" s="75">
        <v>17.0</v>
      </c>
      <c r="S40" s="75">
        <v>19.0</v>
      </c>
      <c r="T40" s="75">
        <v>20.0</v>
      </c>
      <c r="U40" s="75">
        <v>21.0</v>
      </c>
      <c r="V40" s="75">
        <v>22.0</v>
      </c>
      <c r="W40" s="75">
        <v>23.0</v>
      </c>
      <c r="X40" s="75">
        <v>24.0</v>
      </c>
      <c r="Y40" s="75">
        <v>25.0</v>
      </c>
      <c r="Z40" s="78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64">
        <v>0.001</v>
      </c>
      <c r="F41" s="75">
        <v>1.0</v>
      </c>
      <c r="G41" s="75">
        <v>2.0</v>
      </c>
      <c r="H41" s="75">
        <v>3.0</v>
      </c>
      <c r="I41" s="75">
        <v>4.0</v>
      </c>
      <c r="J41" s="75">
        <v>6.0</v>
      </c>
      <c r="K41" s="75">
        <v>7.0</v>
      </c>
      <c r="L41" s="75">
        <v>9.0</v>
      </c>
      <c r="M41" s="75">
        <v>10.0</v>
      </c>
      <c r="N41" s="75">
        <v>11.0</v>
      </c>
      <c r="O41" s="75">
        <v>12.0</v>
      </c>
      <c r="P41" s="75">
        <v>15.0</v>
      </c>
      <c r="Q41" s="75">
        <v>16.0</v>
      </c>
      <c r="R41" s="75">
        <v>17.0</v>
      </c>
      <c r="S41" s="75">
        <v>19.0</v>
      </c>
      <c r="T41" s="75">
        <v>20.0</v>
      </c>
      <c r="U41" s="75">
        <v>21.0</v>
      </c>
      <c r="V41" s="75">
        <v>22.0</v>
      </c>
      <c r="W41" s="75">
        <v>23.0</v>
      </c>
      <c r="X41" s="75">
        <v>24.0</v>
      </c>
      <c r="Y41" s="75">
        <v>25.0</v>
      </c>
      <c r="Z41" s="78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64">
        <v>0.01</v>
      </c>
      <c r="F42" s="75">
        <v>1.0</v>
      </c>
      <c r="G42" s="75">
        <v>2.0</v>
      </c>
      <c r="H42" s="75">
        <v>3.0</v>
      </c>
      <c r="I42" s="75">
        <v>4.0</v>
      </c>
      <c r="J42" s="75">
        <v>5.0</v>
      </c>
      <c r="K42" s="75">
        <v>6.0</v>
      </c>
      <c r="L42" s="75">
        <v>7.0</v>
      </c>
      <c r="M42" s="75">
        <v>8.0</v>
      </c>
      <c r="N42" s="75">
        <v>9.0</v>
      </c>
      <c r="O42" s="75">
        <v>10.0</v>
      </c>
      <c r="P42" s="75">
        <v>11.0</v>
      </c>
      <c r="Q42" s="75">
        <v>12.0</v>
      </c>
      <c r="R42" s="75">
        <v>14.0</v>
      </c>
      <c r="S42" s="75">
        <v>15.0</v>
      </c>
      <c r="T42" s="75">
        <v>16.0</v>
      </c>
      <c r="U42" s="75">
        <v>17.0</v>
      </c>
      <c r="V42" s="75">
        <v>18.0</v>
      </c>
      <c r="W42" s="75">
        <v>19.0</v>
      </c>
      <c r="X42" s="75">
        <v>20.0</v>
      </c>
      <c r="Y42" s="75">
        <v>21.0</v>
      </c>
      <c r="Z42" s="78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64">
        <v>0.01</v>
      </c>
      <c r="F43" s="75">
        <v>1.0</v>
      </c>
      <c r="G43" s="75">
        <v>2.0</v>
      </c>
      <c r="H43" s="75">
        <v>3.0</v>
      </c>
      <c r="I43" s="75">
        <v>4.0</v>
      </c>
      <c r="J43" s="75">
        <v>5.0</v>
      </c>
      <c r="K43" s="75">
        <v>6.0</v>
      </c>
      <c r="L43" s="75">
        <v>7.0</v>
      </c>
      <c r="M43" s="75">
        <v>8.0</v>
      </c>
      <c r="N43" s="75">
        <v>9.0</v>
      </c>
      <c r="O43" s="75">
        <v>10.0</v>
      </c>
      <c r="P43" s="75">
        <v>11.0</v>
      </c>
      <c r="Q43" s="75">
        <v>12.0</v>
      </c>
      <c r="R43" s="75">
        <v>14.0</v>
      </c>
      <c r="S43" s="75">
        <v>15.0</v>
      </c>
      <c r="T43" s="75">
        <v>16.0</v>
      </c>
      <c r="U43" s="75">
        <v>17.0</v>
      </c>
      <c r="V43" s="75">
        <v>18.0</v>
      </c>
      <c r="W43" s="75">
        <v>19.0</v>
      </c>
      <c r="X43" s="75">
        <v>20.0</v>
      </c>
      <c r="Y43" s="75">
        <v>21.0</v>
      </c>
      <c r="Z43" s="78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64">
        <v>0.001</v>
      </c>
      <c r="F44" s="75">
        <v>1.0</v>
      </c>
      <c r="G44" s="75">
        <v>2.0</v>
      </c>
      <c r="H44" s="75">
        <v>3.0</v>
      </c>
      <c r="I44" s="75">
        <v>4.0</v>
      </c>
      <c r="J44" s="75">
        <v>6.0</v>
      </c>
      <c r="K44" s="75">
        <v>7.0</v>
      </c>
      <c r="L44" s="75">
        <v>9.0</v>
      </c>
      <c r="M44" s="75">
        <v>10.0</v>
      </c>
      <c r="N44" s="75">
        <v>11.0</v>
      </c>
      <c r="O44" s="75">
        <v>12.0</v>
      </c>
      <c r="P44" s="75">
        <v>15.0</v>
      </c>
      <c r="Q44" s="75">
        <v>16.0</v>
      </c>
      <c r="R44" s="75">
        <v>17.0</v>
      </c>
      <c r="S44" s="75">
        <v>19.0</v>
      </c>
      <c r="T44" s="75">
        <v>20.0</v>
      </c>
      <c r="U44" s="75">
        <v>21.0</v>
      </c>
      <c r="V44" s="75">
        <v>22.0</v>
      </c>
      <c r="W44" s="75">
        <v>23.0</v>
      </c>
      <c r="X44" s="75">
        <v>24.0</v>
      </c>
      <c r="Y44" s="75">
        <v>25.0</v>
      </c>
      <c r="Z44" s="78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64">
        <v>0.2</v>
      </c>
      <c r="F45" s="75">
        <v>2.0</v>
      </c>
      <c r="G45" s="75">
        <v>3.0</v>
      </c>
      <c r="H45" s="75">
        <v>4.0</v>
      </c>
      <c r="I45" s="75">
        <v>5.0</v>
      </c>
      <c r="J45" s="75">
        <v>6.0</v>
      </c>
      <c r="K45" s="75">
        <v>7.0</v>
      </c>
      <c r="L45" s="75">
        <v>9.0</v>
      </c>
      <c r="M45" s="75">
        <v>11.0</v>
      </c>
      <c r="N45" s="75">
        <v>13.0</v>
      </c>
      <c r="O45" s="75">
        <v>15.0</v>
      </c>
      <c r="P45" s="75">
        <v>17.0</v>
      </c>
      <c r="Q45" s="75">
        <v>19.0</v>
      </c>
      <c r="R45" s="75">
        <v>20.0</v>
      </c>
      <c r="S45" s="75">
        <v>21.0</v>
      </c>
      <c r="T45" s="75">
        <v>22.0</v>
      </c>
      <c r="U45" s="75">
        <v>24.0</v>
      </c>
      <c r="V45" s="75">
        <v>26.0</v>
      </c>
      <c r="W45" s="75">
        <v>28.0</v>
      </c>
      <c r="X45" s="75">
        <v>29.0</v>
      </c>
      <c r="Y45" s="75">
        <v>30.0</v>
      </c>
      <c r="Z45" s="78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64">
        <v>0.2</v>
      </c>
      <c r="F46" s="75">
        <v>2.0</v>
      </c>
      <c r="G46" s="75">
        <v>3.0</v>
      </c>
      <c r="H46" s="75">
        <v>4.0</v>
      </c>
      <c r="I46" s="75">
        <v>5.0</v>
      </c>
      <c r="J46" s="75">
        <v>6.0</v>
      </c>
      <c r="K46" s="75">
        <v>7.0</v>
      </c>
      <c r="L46" s="75">
        <v>9.0</v>
      </c>
      <c r="M46" s="75">
        <v>11.0</v>
      </c>
      <c r="N46" s="75">
        <v>13.0</v>
      </c>
      <c r="O46" s="75">
        <v>15.0</v>
      </c>
      <c r="P46" s="75">
        <v>17.0</v>
      </c>
      <c r="Q46" s="75">
        <v>19.0</v>
      </c>
      <c r="R46" s="75">
        <v>20.0</v>
      </c>
      <c r="S46" s="75">
        <v>21.0</v>
      </c>
      <c r="T46" s="75">
        <v>22.0</v>
      </c>
      <c r="U46" s="75">
        <v>24.0</v>
      </c>
      <c r="V46" s="75">
        <v>26.0</v>
      </c>
      <c r="W46" s="75">
        <v>28.0</v>
      </c>
      <c r="X46" s="75">
        <v>29.0</v>
      </c>
      <c r="Y46" s="75">
        <v>30.0</v>
      </c>
      <c r="Z46" s="78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64">
        <v>0.01</v>
      </c>
      <c r="F47" s="75">
        <v>2.0</v>
      </c>
      <c r="G47" s="75">
        <v>3.0</v>
      </c>
      <c r="H47" s="75">
        <v>4.0</v>
      </c>
      <c r="I47" s="75">
        <v>5.0</v>
      </c>
      <c r="J47" s="75">
        <v>6.0</v>
      </c>
      <c r="K47" s="75">
        <v>7.0</v>
      </c>
      <c r="L47" s="75">
        <v>9.0</v>
      </c>
      <c r="M47" s="75">
        <v>11.0</v>
      </c>
      <c r="N47" s="75">
        <v>13.0</v>
      </c>
      <c r="O47" s="75">
        <v>15.0</v>
      </c>
      <c r="P47" s="75">
        <v>17.0</v>
      </c>
      <c r="Q47" s="75">
        <v>19.0</v>
      </c>
      <c r="R47" s="75">
        <v>20.0</v>
      </c>
      <c r="S47" s="75">
        <v>21.0</v>
      </c>
      <c r="T47" s="75">
        <v>22.0</v>
      </c>
      <c r="U47" s="75">
        <v>24.0</v>
      </c>
      <c r="V47" s="75">
        <v>26.0</v>
      </c>
      <c r="W47" s="75">
        <v>28.0</v>
      </c>
      <c r="X47" s="75">
        <v>29.0</v>
      </c>
      <c r="Y47" s="75">
        <v>30.0</v>
      </c>
      <c r="Z47" s="78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64">
        <v>1.0</v>
      </c>
      <c r="F48" s="75">
        <v>1.0</v>
      </c>
      <c r="G48" s="75">
        <v>2.0</v>
      </c>
      <c r="H48" s="75">
        <v>3.0</v>
      </c>
      <c r="I48" s="75">
        <v>4.0</v>
      </c>
      <c r="J48" s="75">
        <v>5.0</v>
      </c>
      <c r="K48" s="75">
        <v>6.0</v>
      </c>
      <c r="L48" s="75">
        <v>7.0</v>
      </c>
      <c r="M48" s="75">
        <v>8.0</v>
      </c>
      <c r="N48" s="75">
        <v>9.0</v>
      </c>
      <c r="O48" s="75">
        <v>10.0</v>
      </c>
      <c r="P48" s="75">
        <v>11.0</v>
      </c>
      <c r="Q48" s="75">
        <v>12.0</v>
      </c>
      <c r="R48" s="75">
        <v>14.0</v>
      </c>
      <c r="S48" s="75">
        <v>15.0</v>
      </c>
      <c r="T48" s="75">
        <v>16.0</v>
      </c>
      <c r="U48" s="75">
        <v>17.0</v>
      </c>
      <c r="V48" s="75">
        <v>18.0</v>
      </c>
      <c r="W48" s="75">
        <v>19.0</v>
      </c>
      <c r="X48" s="75">
        <v>20.0</v>
      </c>
      <c r="Y48" s="75">
        <v>21.0</v>
      </c>
      <c r="Z48" s="53"/>
      <c r="AA48" s="115"/>
    </row>
    <row r="49" ht="16.5" customHeight="1">
      <c r="A49" s="48" t="str">
        <f>'試算-SLOT'!A49</f>
        <v>DZD</v>
      </c>
      <c r="B49" s="48" t="str">
        <f>'試算-SLOT'!B49</f>
        <v>دج</v>
      </c>
      <c r="C49" s="48" t="str">
        <f>'試算-SLOT'!C49</f>
        <v>阿爾及利亞第納爾</v>
      </c>
      <c r="D49" s="48" t="str">
        <f>IF('試算-SLOT'!D49=1,"",'試算-SLOT'!D49)</f>
        <v/>
      </c>
      <c r="E49" s="64">
        <v>0.01</v>
      </c>
      <c r="F49" s="75">
        <v>2.0</v>
      </c>
      <c r="G49" s="75">
        <v>3.0</v>
      </c>
      <c r="H49" s="75">
        <v>4.0</v>
      </c>
      <c r="I49" s="75">
        <v>5.0</v>
      </c>
      <c r="J49" s="75">
        <v>6.0</v>
      </c>
      <c r="K49" s="75">
        <v>7.0</v>
      </c>
      <c r="L49" s="75">
        <v>9.0</v>
      </c>
      <c r="M49" s="75">
        <v>11.0</v>
      </c>
      <c r="N49" s="75">
        <v>13.0</v>
      </c>
      <c r="O49" s="75">
        <v>15.0</v>
      </c>
      <c r="P49" s="75">
        <v>17.0</v>
      </c>
      <c r="Q49" s="75">
        <v>19.0</v>
      </c>
      <c r="R49" s="75">
        <v>20.0</v>
      </c>
      <c r="S49" s="75">
        <v>21.0</v>
      </c>
      <c r="T49" s="75">
        <v>22.0</v>
      </c>
      <c r="U49" s="75">
        <v>24.0</v>
      </c>
      <c r="V49" s="75">
        <v>26.0</v>
      </c>
      <c r="W49" s="75">
        <v>28.0</v>
      </c>
      <c r="X49" s="75">
        <v>29.0</v>
      </c>
      <c r="Y49" s="75">
        <v>30.0</v>
      </c>
      <c r="Z49" s="53"/>
      <c r="AA49" s="115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64">
        <v>0.01</v>
      </c>
      <c r="F50" s="75">
        <v>1.0</v>
      </c>
      <c r="G50" s="75">
        <v>2.0</v>
      </c>
      <c r="H50" s="75">
        <v>3.0</v>
      </c>
      <c r="I50" s="75">
        <v>4.0</v>
      </c>
      <c r="J50" s="75">
        <v>5.0</v>
      </c>
      <c r="K50" s="75">
        <v>6.0</v>
      </c>
      <c r="L50" s="75">
        <v>7.0</v>
      </c>
      <c r="M50" s="75">
        <v>8.0</v>
      </c>
      <c r="N50" s="75">
        <v>9.0</v>
      </c>
      <c r="O50" s="75">
        <v>10.0</v>
      </c>
      <c r="P50" s="75">
        <v>11.0</v>
      </c>
      <c r="Q50" s="75">
        <v>12.0</v>
      </c>
      <c r="R50" s="75">
        <v>14.0</v>
      </c>
      <c r="S50" s="75">
        <v>15.0</v>
      </c>
      <c r="T50" s="75">
        <v>16.0</v>
      </c>
      <c r="U50" s="75">
        <v>17.0</v>
      </c>
      <c r="V50" s="75">
        <v>18.0</v>
      </c>
      <c r="W50" s="75">
        <v>19.0</v>
      </c>
      <c r="X50" s="75">
        <v>20.0</v>
      </c>
      <c r="Y50" s="75">
        <v>21.0</v>
      </c>
      <c r="Z50" s="53"/>
      <c r="AA50" s="115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64">
        <v>0.01</v>
      </c>
      <c r="F51" s="75">
        <v>1.0</v>
      </c>
      <c r="G51" s="75">
        <v>2.0</v>
      </c>
      <c r="H51" s="75">
        <v>3.0</v>
      </c>
      <c r="I51" s="75">
        <v>4.0</v>
      </c>
      <c r="J51" s="75">
        <v>5.0</v>
      </c>
      <c r="K51" s="75">
        <v>6.0</v>
      </c>
      <c r="L51" s="75">
        <v>7.0</v>
      </c>
      <c r="M51" s="75">
        <v>8.0</v>
      </c>
      <c r="N51" s="75">
        <v>9.0</v>
      </c>
      <c r="O51" s="75">
        <v>10.0</v>
      </c>
      <c r="P51" s="75">
        <v>11.0</v>
      </c>
      <c r="Q51" s="75">
        <v>12.0</v>
      </c>
      <c r="R51" s="75">
        <v>14.0</v>
      </c>
      <c r="S51" s="75">
        <v>15.0</v>
      </c>
      <c r="T51" s="75">
        <v>16.0</v>
      </c>
      <c r="U51" s="75">
        <v>17.0</v>
      </c>
      <c r="V51" s="75">
        <v>18.0</v>
      </c>
      <c r="W51" s="75">
        <v>19.0</v>
      </c>
      <c r="X51" s="75">
        <v>20.0</v>
      </c>
      <c r="Y51" s="75">
        <v>21.0</v>
      </c>
      <c r="Z51" s="53"/>
      <c r="AA51" s="115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64">
        <v>0.01</v>
      </c>
      <c r="F52" s="75">
        <v>1.0</v>
      </c>
      <c r="G52" s="75">
        <v>2.0</v>
      </c>
      <c r="H52" s="75">
        <v>3.0</v>
      </c>
      <c r="I52" s="75">
        <v>4.0</v>
      </c>
      <c r="J52" s="75">
        <v>5.0</v>
      </c>
      <c r="K52" s="75">
        <v>6.0</v>
      </c>
      <c r="L52" s="75">
        <v>7.0</v>
      </c>
      <c r="M52" s="75">
        <v>8.0</v>
      </c>
      <c r="N52" s="75">
        <v>9.0</v>
      </c>
      <c r="O52" s="75">
        <v>10.0</v>
      </c>
      <c r="P52" s="75">
        <v>11.0</v>
      </c>
      <c r="Q52" s="75">
        <v>12.0</v>
      </c>
      <c r="R52" s="75">
        <v>14.0</v>
      </c>
      <c r="S52" s="75">
        <v>15.0</v>
      </c>
      <c r="T52" s="75">
        <v>16.0</v>
      </c>
      <c r="U52" s="75">
        <v>17.0</v>
      </c>
      <c r="V52" s="75">
        <v>18.0</v>
      </c>
      <c r="W52" s="75">
        <v>19.0</v>
      </c>
      <c r="X52" s="75">
        <v>20.0</v>
      </c>
      <c r="Y52" s="75">
        <v>21.0</v>
      </c>
      <c r="Z52" s="53"/>
      <c r="AA52" s="115"/>
    </row>
    <row r="53" ht="16.5" customHeight="1">
      <c r="A53" s="57"/>
      <c r="B53" s="57"/>
      <c r="C53" s="57"/>
      <c r="D53" s="57"/>
      <c r="E53" s="58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3"/>
    </row>
    <row r="54" ht="16.5" customHeight="1">
      <c r="A54" s="116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3"/>
    </row>
    <row r="55" ht="16.5" customHeight="1">
      <c r="A55" s="74" t="str">
        <f t="shared" ref="A55:Y55" si="1">A5</f>
        <v>貨幣簡稱</v>
      </c>
      <c r="B55" s="50" t="str">
        <f t="shared" si="1"/>
        <v>貨幣符號</v>
      </c>
      <c r="C55" s="50" t="str">
        <f t="shared" si="1"/>
        <v>中文名稱</v>
      </c>
      <c r="D55" s="50" t="str">
        <f t="shared" si="1"/>
        <v>貨幣轉換</v>
      </c>
      <c r="E55" s="50" t="str">
        <f t="shared" si="1"/>
        <v>Denom</v>
      </c>
      <c r="F55" s="50" t="str">
        <f t="shared" si="1"/>
        <v>第 1 組</v>
      </c>
      <c r="G55" s="50" t="str">
        <f t="shared" si="1"/>
        <v>第 2 組</v>
      </c>
      <c r="H55" s="50" t="str">
        <f t="shared" si="1"/>
        <v>第 3 組</v>
      </c>
      <c r="I55" s="50" t="str">
        <f t="shared" si="1"/>
        <v>第 4 組</v>
      </c>
      <c r="J55" s="50" t="str">
        <f t="shared" si="1"/>
        <v>第 5 組</v>
      </c>
      <c r="K55" s="50" t="str">
        <f t="shared" si="1"/>
        <v>第 6 組</v>
      </c>
      <c r="L55" s="50" t="str">
        <f t="shared" si="1"/>
        <v>第 7 組</v>
      </c>
      <c r="M55" s="50" t="str">
        <f t="shared" si="1"/>
        <v>第 8 組</v>
      </c>
      <c r="N55" s="50" t="str">
        <f t="shared" si="1"/>
        <v>第 9 組</v>
      </c>
      <c r="O55" s="50" t="str">
        <f t="shared" si="1"/>
        <v>第 10 組</v>
      </c>
      <c r="P55" s="50" t="str">
        <f t="shared" si="1"/>
        <v>第 11 組</v>
      </c>
      <c r="Q55" s="50" t="str">
        <f t="shared" si="1"/>
        <v>第 12 組</v>
      </c>
      <c r="R55" s="50" t="str">
        <f t="shared" si="1"/>
        <v>第 13 組</v>
      </c>
      <c r="S55" s="50" t="str">
        <f t="shared" si="1"/>
        <v>第 14 組</v>
      </c>
      <c r="T55" s="50" t="str">
        <f t="shared" si="1"/>
        <v>第 15 組</v>
      </c>
      <c r="U55" s="50" t="str">
        <f t="shared" si="1"/>
        <v>第 16 組</v>
      </c>
      <c r="V55" s="50" t="str">
        <f t="shared" si="1"/>
        <v>第 17 組</v>
      </c>
      <c r="W55" s="50" t="str">
        <f t="shared" si="1"/>
        <v>第 18 組</v>
      </c>
      <c r="X55" s="50" t="str">
        <f t="shared" si="1"/>
        <v>第 19 組</v>
      </c>
      <c r="Y55" s="50" t="str">
        <f t="shared" si="1"/>
        <v>第 20 組</v>
      </c>
      <c r="AA55" s="117" t="s">
        <v>71</v>
      </c>
    </row>
    <row r="56" ht="16.5" customHeight="1">
      <c r="A56" s="48" t="str">
        <f t="shared" ref="A56:E56" si="2">A6</f>
        <v>THB</v>
      </c>
      <c r="B56" s="48" t="str">
        <f t="shared" si="2"/>
        <v>฿</v>
      </c>
      <c r="C56" s="48" t="str">
        <f t="shared" si="2"/>
        <v>泰銖</v>
      </c>
      <c r="D56" s="48" t="str">
        <f t="shared" si="2"/>
        <v/>
      </c>
      <c r="E56" s="64">
        <f t="shared" si="2"/>
        <v>0.01</v>
      </c>
      <c r="F56" s="65">
        <f t="shared" ref="F56:Y56" si="3">HLOOKUP(F6,$F$1:$AI$2,2) * $D$1 * $E56</f>
        <v>2</v>
      </c>
      <c r="G56" s="65">
        <f t="shared" si="3"/>
        <v>4</v>
      </c>
      <c r="H56" s="65">
        <f t="shared" si="3"/>
        <v>8</v>
      </c>
      <c r="I56" s="65">
        <f t="shared" si="3"/>
        <v>12</v>
      </c>
      <c r="J56" s="65">
        <f t="shared" si="3"/>
        <v>16</v>
      </c>
      <c r="K56" s="65">
        <f t="shared" si="3"/>
        <v>20</v>
      </c>
      <c r="L56" s="65">
        <f t="shared" si="3"/>
        <v>40</v>
      </c>
      <c r="M56" s="65">
        <f t="shared" si="3"/>
        <v>80</v>
      </c>
      <c r="N56" s="65">
        <f t="shared" si="3"/>
        <v>120</v>
      </c>
      <c r="O56" s="65">
        <f t="shared" si="3"/>
        <v>160</v>
      </c>
      <c r="P56" s="65">
        <f t="shared" si="3"/>
        <v>200</v>
      </c>
      <c r="Q56" s="65">
        <f t="shared" si="3"/>
        <v>300</v>
      </c>
      <c r="R56" s="65">
        <f t="shared" si="3"/>
        <v>400</v>
      </c>
      <c r="S56" s="65">
        <f t="shared" si="3"/>
        <v>500</v>
      </c>
      <c r="T56" s="65">
        <f t="shared" si="3"/>
        <v>600</v>
      </c>
      <c r="U56" s="65">
        <f t="shared" si="3"/>
        <v>800</v>
      </c>
      <c r="V56" s="65">
        <f t="shared" si="3"/>
        <v>1200</v>
      </c>
      <c r="W56" s="65">
        <f t="shared" si="3"/>
        <v>1600</v>
      </c>
      <c r="X56" s="65">
        <f t="shared" si="3"/>
        <v>2000</v>
      </c>
      <c r="Y56" s="65">
        <f t="shared" si="3"/>
        <v>2400</v>
      </c>
      <c r="AA56" s="80"/>
    </row>
    <row r="57" ht="16.5" customHeight="1">
      <c r="A57" s="48" t="str">
        <f t="shared" ref="A57:E57" si="4">A7</f>
        <v>HKD</v>
      </c>
      <c r="B57" s="48" t="str">
        <f t="shared" si="4"/>
        <v>HK$</v>
      </c>
      <c r="C57" s="48" t="str">
        <f t="shared" si="4"/>
        <v>港幣</v>
      </c>
      <c r="D57" s="48" t="str">
        <f t="shared" si="4"/>
        <v/>
      </c>
      <c r="E57" s="64">
        <f t="shared" si="4"/>
        <v>0.01</v>
      </c>
      <c r="F57" s="65">
        <f t="shared" ref="F57:Y57" si="5">HLOOKUP(F7,$F$1:$AI$2,2) * $D$1 * $E57</f>
        <v>1</v>
      </c>
      <c r="G57" s="65">
        <f t="shared" si="5"/>
        <v>2</v>
      </c>
      <c r="H57" s="65">
        <f t="shared" si="5"/>
        <v>4</v>
      </c>
      <c r="I57" s="65">
        <f t="shared" si="5"/>
        <v>8</v>
      </c>
      <c r="J57" s="65">
        <f t="shared" si="5"/>
        <v>12</v>
      </c>
      <c r="K57" s="65">
        <f t="shared" si="5"/>
        <v>16</v>
      </c>
      <c r="L57" s="65">
        <f t="shared" si="5"/>
        <v>20</v>
      </c>
      <c r="M57" s="65">
        <f t="shared" si="5"/>
        <v>30</v>
      </c>
      <c r="N57" s="65">
        <f t="shared" si="5"/>
        <v>40</v>
      </c>
      <c r="O57" s="65">
        <f t="shared" si="5"/>
        <v>50</v>
      </c>
      <c r="P57" s="65">
        <f t="shared" si="5"/>
        <v>80</v>
      </c>
      <c r="Q57" s="65">
        <f t="shared" si="5"/>
        <v>100</v>
      </c>
      <c r="R57" s="65">
        <f t="shared" si="5"/>
        <v>140</v>
      </c>
      <c r="S57" s="65">
        <f t="shared" si="5"/>
        <v>160</v>
      </c>
      <c r="T57" s="65">
        <f t="shared" si="5"/>
        <v>180</v>
      </c>
      <c r="U57" s="65">
        <f t="shared" si="5"/>
        <v>200</v>
      </c>
      <c r="V57" s="65">
        <f t="shared" si="5"/>
        <v>250</v>
      </c>
      <c r="W57" s="65">
        <f t="shared" si="5"/>
        <v>300</v>
      </c>
      <c r="X57" s="65">
        <f t="shared" si="5"/>
        <v>400</v>
      </c>
      <c r="Y57" s="65">
        <f t="shared" si="5"/>
        <v>500</v>
      </c>
      <c r="AA57" s="80"/>
    </row>
    <row r="58" ht="16.5" customHeight="1">
      <c r="A58" s="48" t="str">
        <f t="shared" ref="A58:E58" si="6">A8</f>
        <v>INR</v>
      </c>
      <c r="B58" s="48" t="str">
        <f t="shared" si="6"/>
        <v>₹</v>
      </c>
      <c r="C58" s="48" t="str">
        <f t="shared" si="6"/>
        <v>印度盧比</v>
      </c>
      <c r="D58" s="48" t="str">
        <f t="shared" si="6"/>
        <v/>
      </c>
      <c r="E58" s="64">
        <f t="shared" si="6"/>
        <v>0.01</v>
      </c>
      <c r="F58" s="65">
        <f t="shared" ref="F58:Y58" si="7">HLOOKUP(F8,$F$1:$AI$2,2) * $D$1 * $E58</f>
        <v>2</v>
      </c>
      <c r="G58" s="65">
        <f t="shared" si="7"/>
        <v>4</v>
      </c>
      <c r="H58" s="65">
        <f t="shared" si="7"/>
        <v>8</v>
      </c>
      <c r="I58" s="65">
        <f t="shared" si="7"/>
        <v>12</v>
      </c>
      <c r="J58" s="65">
        <f t="shared" si="7"/>
        <v>16</v>
      </c>
      <c r="K58" s="65">
        <f t="shared" si="7"/>
        <v>20</v>
      </c>
      <c r="L58" s="65">
        <f t="shared" si="7"/>
        <v>40</v>
      </c>
      <c r="M58" s="65">
        <f t="shared" si="7"/>
        <v>80</v>
      </c>
      <c r="N58" s="65">
        <f t="shared" si="7"/>
        <v>120</v>
      </c>
      <c r="O58" s="65">
        <f t="shared" si="7"/>
        <v>160</v>
      </c>
      <c r="P58" s="65">
        <f t="shared" si="7"/>
        <v>200</v>
      </c>
      <c r="Q58" s="65">
        <f t="shared" si="7"/>
        <v>300</v>
      </c>
      <c r="R58" s="65">
        <f t="shared" si="7"/>
        <v>400</v>
      </c>
      <c r="S58" s="65">
        <f t="shared" si="7"/>
        <v>500</v>
      </c>
      <c r="T58" s="65">
        <f t="shared" si="7"/>
        <v>600</v>
      </c>
      <c r="U58" s="65">
        <f t="shared" si="7"/>
        <v>800</v>
      </c>
      <c r="V58" s="65">
        <f t="shared" si="7"/>
        <v>1200</v>
      </c>
      <c r="W58" s="65">
        <f t="shared" si="7"/>
        <v>1600</v>
      </c>
      <c r="X58" s="65">
        <f t="shared" si="7"/>
        <v>2000</v>
      </c>
      <c r="Y58" s="65">
        <f t="shared" si="7"/>
        <v>2400</v>
      </c>
      <c r="AA58" s="80"/>
    </row>
    <row r="59" ht="16.5" customHeight="1">
      <c r="A59" s="48" t="str">
        <f t="shared" ref="A59:E59" si="8">A9</f>
        <v>IDR</v>
      </c>
      <c r="B59" s="48" t="str">
        <f t="shared" si="8"/>
        <v>Rp</v>
      </c>
      <c r="C59" s="48" t="str">
        <f t="shared" si="8"/>
        <v>印尼盧比(K)</v>
      </c>
      <c r="D59" s="48">
        <f t="shared" si="8"/>
        <v>1000</v>
      </c>
      <c r="E59" s="64">
        <f t="shared" si="8"/>
        <v>0.01</v>
      </c>
      <c r="F59" s="65">
        <f t="shared" ref="F59:Y59" si="9">HLOOKUP(F9,$F$1:$AI$2,2) * $D$1 * $E59</f>
        <v>1</v>
      </c>
      <c r="G59" s="65">
        <f t="shared" si="9"/>
        <v>2</v>
      </c>
      <c r="H59" s="65">
        <f t="shared" si="9"/>
        <v>4</v>
      </c>
      <c r="I59" s="65">
        <f t="shared" si="9"/>
        <v>8</v>
      </c>
      <c r="J59" s="65">
        <f t="shared" si="9"/>
        <v>12</v>
      </c>
      <c r="K59" s="65">
        <f t="shared" si="9"/>
        <v>16</v>
      </c>
      <c r="L59" s="65">
        <f t="shared" si="9"/>
        <v>20</v>
      </c>
      <c r="M59" s="65">
        <f t="shared" si="9"/>
        <v>30</v>
      </c>
      <c r="N59" s="65">
        <f t="shared" si="9"/>
        <v>50</v>
      </c>
      <c r="O59" s="65">
        <f t="shared" si="9"/>
        <v>80</v>
      </c>
      <c r="P59" s="65">
        <f t="shared" si="9"/>
        <v>100</v>
      </c>
      <c r="Q59" s="65">
        <f t="shared" si="9"/>
        <v>120</v>
      </c>
      <c r="R59" s="65">
        <f t="shared" si="9"/>
        <v>160</v>
      </c>
      <c r="S59" s="65">
        <f t="shared" si="9"/>
        <v>200</v>
      </c>
      <c r="T59" s="65">
        <f t="shared" si="9"/>
        <v>250</v>
      </c>
      <c r="U59" s="65">
        <f t="shared" si="9"/>
        <v>300</v>
      </c>
      <c r="V59" s="65">
        <f t="shared" si="9"/>
        <v>400</v>
      </c>
      <c r="W59" s="65">
        <f t="shared" si="9"/>
        <v>500</v>
      </c>
      <c r="X59" s="65">
        <f t="shared" si="9"/>
        <v>800</v>
      </c>
      <c r="Y59" s="65">
        <f t="shared" si="9"/>
        <v>1000</v>
      </c>
      <c r="AA59" s="80"/>
    </row>
    <row r="60" ht="16.5" customHeight="1">
      <c r="A60" s="48" t="str">
        <f t="shared" ref="A60:E60" si="10">A10</f>
        <v>VND</v>
      </c>
      <c r="B60" s="48" t="str">
        <f t="shared" si="10"/>
        <v>₫</v>
      </c>
      <c r="C60" s="48" t="str">
        <f t="shared" si="10"/>
        <v>越南盾(K)</v>
      </c>
      <c r="D60" s="48">
        <f t="shared" si="10"/>
        <v>1000</v>
      </c>
      <c r="E60" s="64">
        <f t="shared" si="10"/>
        <v>0.01</v>
      </c>
      <c r="F60" s="65">
        <f t="shared" ref="F60:Y60" si="11">HLOOKUP(F10,$F$1:$AI$2,2) * $D$1 * $E60</f>
        <v>1</v>
      </c>
      <c r="G60" s="65">
        <f t="shared" si="11"/>
        <v>2</v>
      </c>
      <c r="H60" s="65">
        <f t="shared" si="11"/>
        <v>4</v>
      </c>
      <c r="I60" s="65">
        <f t="shared" si="11"/>
        <v>8</v>
      </c>
      <c r="J60" s="65">
        <f t="shared" si="11"/>
        <v>12</v>
      </c>
      <c r="K60" s="65">
        <f t="shared" si="11"/>
        <v>16</v>
      </c>
      <c r="L60" s="65">
        <f t="shared" si="11"/>
        <v>20</v>
      </c>
      <c r="M60" s="65">
        <f t="shared" si="11"/>
        <v>30</v>
      </c>
      <c r="N60" s="65">
        <f t="shared" si="11"/>
        <v>50</v>
      </c>
      <c r="O60" s="65">
        <f t="shared" si="11"/>
        <v>80</v>
      </c>
      <c r="P60" s="65">
        <f t="shared" si="11"/>
        <v>100</v>
      </c>
      <c r="Q60" s="65">
        <f t="shared" si="11"/>
        <v>120</v>
      </c>
      <c r="R60" s="65">
        <f t="shared" si="11"/>
        <v>160</v>
      </c>
      <c r="S60" s="65">
        <f t="shared" si="11"/>
        <v>200</v>
      </c>
      <c r="T60" s="65">
        <f t="shared" si="11"/>
        <v>250</v>
      </c>
      <c r="U60" s="65">
        <f t="shared" si="11"/>
        <v>300</v>
      </c>
      <c r="V60" s="65">
        <f t="shared" si="11"/>
        <v>400</v>
      </c>
      <c r="W60" s="65">
        <f t="shared" si="11"/>
        <v>500</v>
      </c>
      <c r="X60" s="65">
        <f t="shared" si="11"/>
        <v>800</v>
      </c>
      <c r="Y60" s="65">
        <f t="shared" si="11"/>
        <v>1000</v>
      </c>
      <c r="AA60" s="80"/>
    </row>
    <row r="61" ht="16.5" customHeight="1">
      <c r="A61" s="48" t="str">
        <f t="shared" ref="A61:E61" si="12">A11</f>
        <v>MYR</v>
      </c>
      <c r="B61" s="48" t="str">
        <f t="shared" si="12"/>
        <v>RM</v>
      </c>
      <c r="C61" s="48" t="str">
        <f t="shared" si="12"/>
        <v>馬來西亞令吉</v>
      </c>
      <c r="D61" s="48" t="str">
        <f t="shared" si="12"/>
        <v/>
      </c>
      <c r="E61" s="64">
        <f t="shared" si="12"/>
        <v>0.01</v>
      </c>
      <c r="F61" s="65">
        <f t="shared" ref="F61:Y61" si="13">HLOOKUP(F11,$F$1:$AI$2,2) * $D$1 * $E61</f>
        <v>1</v>
      </c>
      <c r="G61" s="65">
        <f t="shared" si="13"/>
        <v>2</v>
      </c>
      <c r="H61" s="65">
        <f t="shared" si="13"/>
        <v>4</v>
      </c>
      <c r="I61" s="65">
        <f t="shared" si="13"/>
        <v>8</v>
      </c>
      <c r="J61" s="65">
        <f t="shared" si="13"/>
        <v>12</v>
      </c>
      <c r="K61" s="65">
        <f t="shared" si="13"/>
        <v>16</v>
      </c>
      <c r="L61" s="65">
        <f t="shared" si="13"/>
        <v>20</v>
      </c>
      <c r="M61" s="65">
        <f t="shared" si="13"/>
        <v>30</v>
      </c>
      <c r="N61" s="65">
        <f t="shared" si="13"/>
        <v>40</v>
      </c>
      <c r="O61" s="65">
        <f t="shared" si="13"/>
        <v>50</v>
      </c>
      <c r="P61" s="65">
        <f t="shared" si="13"/>
        <v>80</v>
      </c>
      <c r="Q61" s="65">
        <f t="shared" si="13"/>
        <v>100</v>
      </c>
      <c r="R61" s="65">
        <f t="shared" si="13"/>
        <v>140</v>
      </c>
      <c r="S61" s="65">
        <f t="shared" si="13"/>
        <v>160</v>
      </c>
      <c r="T61" s="65">
        <f t="shared" si="13"/>
        <v>180</v>
      </c>
      <c r="U61" s="65">
        <f t="shared" si="13"/>
        <v>200</v>
      </c>
      <c r="V61" s="65">
        <f t="shared" si="13"/>
        <v>250</v>
      </c>
      <c r="W61" s="65">
        <f t="shared" si="13"/>
        <v>300</v>
      </c>
      <c r="X61" s="65">
        <f t="shared" si="13"/>
        <v>400</v>
      </c>
      <c r="Y61" s="65">
        <f t="shared" si="13"/>
        <v>500</v>
      </c>
      <c r="AA61" s="80"/>
    </row>
    <row r="62" ht="16.5" customHeight="1">
      <c r="A62" s="48" t="str">
        <f t="shared" ref="A62:E62" si="14">A12</f>
        <v>SGD</v>
      </c>
      <c r="B62" s="48" t="str">
        <f t="shared" si="14"/>
        <v>S$</v>
      </c>
      <c r="C62" s="48" t="str">
        <f t="shared" si="14"/>
        <v>新加坡幣</v>
      </c>
      <c r="D62" s="48" t="str">
        <f t="shared" si="14"/>
        <v/>
      </c>
      <c r="E62" s="64">
        <f t="shared" si="14"/>
        <v>0.001</v>
      </c>
      <c r="F62" s="65">
        <f t="shared" ref="F62:Y62" si="15">HLOOKUP(F12,$F$1:$AI$2,2) * $D$1 * $E62</f>
        <v>0.1</v>
      </c>
      <c r="G62" s="65">
        <f t="shared" si="15"/>
        <v>0.2</v>
      </c>
      <c r="H62" s="65">
        <f t="shared" si="15"/>
        <v>0.4</v>
      </c>
      <c r="I62" s="65">
        <f t="shared" si="15"/>
        <v>0.8</v>
      </c>
      <c r="J62" s="65">
        <f t="shared" si="15"/>
        <v>1.6</v>
      </c>
      <c r="K62" s="65">
        <f t="shared" si="15"/>
        <v>2</v>
      </c>
      <c r="L62" s="65">
        <f t="shared" si="15"/>
        <v>4</v>
      </c>
      <c r="M62" s="65">
        <f t="shared" si="15"/>
        <v>5</v>
      </c>
      <c r="N62" s="65">
        <f t="shared" si="15"/>
        <v>8</v>
      </c>
      <c r="O62" s="65">
        <f t="shared" si="15"/>
        <v>10</v>
      </c>
      <c r="P62" s="65">
        <f t="shared" si="15"/>
        <v>16</v>
      </c>
      <c r="Q62" s="65">
        <f t="shared" si="15"/>
        <v>18</v>
      </c>
      <c r="R62" s="65">
        <f t="shared" si="15"/>
        <v>20</v>
      </c>
      <c r="S62" s="65">
        <f t="shared" si="15"/>
        <v>30</v>
      </c>
      <c r="T62" s="65">
        <f t="shared" si="15"/>
        <v>40</v>
      </c>
      <c r="U62" s="65">
        <f t="shared" si="15"/>
        <v>50</v>
      </c>
      <c r="V62" s="65">
        <f t="shared" si="15"/>
        <v>60</v>
      </c>
      <c r="W62" s="65">
        <f t="shared" si="15"/>
        <v>70</v>
      </c>
      <c r="X62" s="65">
        <f t="shared" si="15"/>
        <v>80</v>
      </c>
      <c r="Y62" s="65">
        <f t="shared" si="15"/>
        <v>100</v>
      </c>
      <c r="AA62" s="80"/>
    </row>
    <row r="63" ht="16.5" customHeight="1">
      <c r="A63" s="48" t="str">
        <f t="shared" ref="A63:E63" si="16">A13</f>
        <v>USD</v>
      </c>
      <c r="B63" s="48" t="str">
        <f t="shared" si="16"/>
        <v>$</v>
      </c>
      <c r="C63" s="48" t="str">
        <f t="shared" si="16"/>
        <v>美元</v>
      </c>
      <c r="D63" s="48" t="str">
        <f t="shared" si="16"/>
        <v/>
      </c>
      <c r="E63" s="64">
        <f t="shared" si="16"/>
        <v>0.001</v>
      </c>
      <c r="F63" s="65">
        <f t="shared" ref="F63:Y63" si="17">HLOOKUP(F13,$F$1:$AI$2,2) * $D$1 * $E63</f>
        <v>0.1</v>
      </c>
      <c r="G63" s="65">
        <f t="shared" si="17"/>
        <v>0.2</v>
      </c>
      <c r="H63" s="65">
        <f t="shared" si="17"/>
        <v>0.4</v>
      </c>
      <c r="I63" s="65">
        <f t="shared" si="17"/>
        <v>0.8</v>
      </c>
      <c r="J63" s="65">
        <f t="shared" si="17"/>
        <v>1.6</v>
      </c>
      <c r="K63" s="65">
        <f t="shared" si="17"/>
        <v>2</v>
      </c>
      <c r="L63" s="65">
        <f t="shared" si="17"/>
        <v>4</v>
      </c>
      <c r="M63" s="65">
        <f t="shared" si="17"/>
        <v>5</v>
      </c>
      <c r="N63" s="65">
        <f t="shared" si="17"/>
        <v>8</v>
      </c>
      <c r="O63" s="65">
        <f t="shared" si="17"/>
        <v>10</v>
      </c>
      <c r="P63" s="65">
        <f t="shared" si="17"/>
        <v>16</v>
      </c>
      <c r="Q63" s="65">
        <f t="shared" si="17"/>
        <v>18</v>
      </c>
      <c r="R63" s="65">
        <f t="shared" si="17"/>
        <v>20</v>
      </c>
      <c r="S63" s="65">
        <f t="shared" si="17"/>
        <v>30</v>
      </c>
      <c r="T63" s="65">
        <f t="shared" si="17"/>
        <v>40</v>
      </c>
      <c r="U63" s="65">
        <f t="shared" si="17"/>
        <v>50</v>
      </c>
      <c r="V63" s="65">
        <f t="shared" si="17"/>
        <v>60</v>
      </c>
      <c r="W63" s="65">
        <f t="shared" si="17"/>
        <v>70</v>
      </c>
      <c r="X63" s="65">
        <f t="shared" si="17"/>
        <v>80</v>
      </c>
      <c r="Y63" s="65">
        <f t="shared" si="17"/>
        <v>100</v>
      </c>
      <c r="AA63" s="80"/>
    </row>
    <row r="64" ht="16.5" customHeight="1">
      <c r="A64" s="48" t="str">
        <f t="shared" ref="A64:E64" si="18">A14</f>
        <v>BDT</v>
      </c>
      <c r="B64" s="48" t="str">
        <f t="shared" si="18"/>
        <v>৳</v>
      </c>
      <c r="C64" s="48" t="str">
        <f t="shared" si="18"/>
        <v>孟加拉塔卡</v>
      </c>
      <c r="D64" s="48" t="str">
        <f t="shared" si="18"/>
        <v/>
      </c>
      <c r="E64" s="64">
        <f t="shared" si="18"/>
        <v>0.01</v>
      </c>
      <c r="F64" s="65">
        <f t="shared" ref="F64:Y64" si="19">HLOOKUP(F14,$F$1:$AI$2,2) * $D$1 * $E64</f>
        <v>2</v>
      </c>
      <c r="G64" s="65">
        <f t="shared" si="19"/>
        <v>4</v>
      </c>
      <c r="H64" s="65">
        <f t="shared" si="19"/>
        <v>8</v>
      </c>
      <c r="I64" s="65">
        <f t="shared" si="19"/>
        <v>12</v>
      </c>
      <c r="J64" s="65">
        <f t="shared" si="19"/>
        <v>16</v>
      </c>
      <c r="K64" s="65">
        <f t="shared" si="19"/>
        <v>20</v>
      </c>
      <c r="L64" s="65">
        <f t="shared" si="19"/>
        <v>40</v>
      </c>
      <c r="M64" s="65">
        <f t="shared" si="19"/>
        <v>80</v>
      </c>
      <c r="N64" s="65">
        <f t="shared" si="19"/>
        <v>120</v>
      </c>
      <c r="O64" s="65">
        <f t="shared" si="19"/>
        <v>160</v>
      </c>
      <c r="P64" s="65">
        <f t="shared" si="19"/>
        <v>200</v>
      </c>
      <c r="Q64" s="65">
        <f t="shared" si="19"/>
        <v>300</v>
      </c>
      <c r="R64" s="65">
        <f t="shared" si="19"/>
        <v>400</v>
      </c>
      <c r="S64" s="65">
        <f t="shared" si="19"/>
        <v>500</v>
      </c>
      <c r="T64" s="65">
        <f t="shared" si="19"/>
        <v>600</v>
      </c>
      <c r="U64" s="65">
        <f t="shared" si="19"/>
        <v>800</v>
      </c>
      <c r="V64" s="65">
        <f t="shared" si="19"/>
        <v>1200</v>
      </c>
      <c r="W64" s="65">
        <f t="shared" si="19"/>
        <v>1600</v>
      </c>
      <c r="X64" s="65">
        <f t="shared" si="19"/>
        <v>2000</v>
      </c>
      <c r="Y64" s="65">
        <f t="shared" si="19"/>
        <v>2400</v>
      </c>
      <c r="AA64" s="80"/>
    </row>
    <row r="65" ht="16.5" customHeight="1">
      <c r="A65" s="48" t="str">
        <f t="shared" ref="A65:E65" si="20">A15</f>
        <v>PKR</v>
      </c>
      <c r="B65" s="48" t="str">
        <f t="shared" si="20"/>
        <v>₨</v>
      </c>
      <c r="C65" s="48" t="str">
        <f t="shared" si="20"/>
        <v>巴基斯坦盧比</v>
      </c>
      <c r="D65" s="48" t="str">
        <f t="shared" si="20"/>
        <v/>
      </c>
      <c r="E65" s="64">
        <f t="shared" si="20"/>
        <v>0.01</v>
      </c>
      <c r="F65" s="65">
        <f t="shared" ref="F65:Y65" si="21">HLOOKUP(F15,$F$1:$AI$2,2) * $D$1 * $E65</f>
        <v>2</v>
      </c>
      <c r="G65" s="65">
        <f t="shared" si="21"/>
        <v>4</v>
      </c>
      <c r="H65" s="65">
        <f t="shared" si="21"/>
        <v>8</v>
      </c>
      <c r="I65" s="65">
        <f t="shared" si="21"/>
        <v>12</v>
      </c>
      <c r="J65" s="65">
        <f t="shared" si="21"/>
        <v>16</v>
      </c>
      <c r="K65" s="65">
        <f t="shared" si="21"/>
        <v>20</v>
      </c>
      <c r="L65" s="65">
        <f t="shared" si="21"/>
        <v>40</v>
      </c>
      <c r="M65" s="65">
        <f t="shared" si="21"/>
        <v>80</v>
      </c>
      <c r="N65" s="65">
        <f t="shared" si="21"/>
        <v>120</v>
      </c>
      <c r="O65" s="65">
        <f t="shared" si="21"/>
        <v>160</v>
      </c>
      <c r="P65" s="65">
        <f t="shared" si="21"/>
        <v>200</v>
      </c>
      <c r="Q65" s="65">
        <f t="shared" si="21"/>
        <v>300</v>
      </c>
      <c r="R65" s="65">
        <f t="shared" si="21"/>
        <v>400</v>
      </c>
      <c r="S65" s="65">
        <f t="shared" si="21"/>
        <v>500</v>
      </c>
      <c r="T65" s="65">
        <f t="shared" si="21"/>
        <v>600</v>
      </c>
      <c r="U65" s="65">
        <f t="shared" si="21"/>
        <v>800</v>
      </c>
      <c r="V65" s="65">
        <f t="shared" si="21"/>
        <v>1200</v>
      </c>
      <c r="W65" s="65">
        <f t="shared" si="21"/>
        <v>1600</v>
      </c>
      <c r="X65" s="65">
        <f t="shared" si="21"/>
        <v>2000</v>
      </c>
      <c r="Y65" s="65">
        <f t="shared" si="21"/>
        <v>2400</v>
      </c>
      <c r="AA65" s="80"/>
    </row>
    <row r="66" ht="16.5" customHeight="1">
      <c r="A66" s="48" t="str">
        <f t="shared" ref="A66:E66" si="22">A16</f>
        <v>MMK</v>
      </c>
      <c r="B66" s="48" t="str">
        <f t="shared" si="22"/>
        <v>K</v>
      </c>
      <c r="C66" s="48" t="str">
        <f t="shared" si="22"/>
        <v>緬甸元(K)</v>
      </c>
      <c r="D66" s="48">
        <f t="shared" si="22"/>
        <v>1000</v>
      </c>
      <c r="E66" s="64">
        <f t="shared" si="22"/>
        <v>0.001</v>
      </c>
      <c r="F66" s="65">
        <f t="shared" ref="F66:Y66" si="23">HLOOKUP(F16,$F$1:$AI$2,2) * $D$1 * $E66</f>
        <v>0.1</v>
      </c>
      <c r="G66" s="65">
        <f t="shared" si="23"/>
        <v>0.2</v>
      </c>
      <c r="H66" s="65">
        <f t="shared" si="23"/>
        <v>0.4</v>
      </c>
      <c r="I66" s="65">
        <f t="shared" si="23"/>
        <v>0.8</v>
      </c>
      <c r="J66" s="65">
        <f t="shared" si="23"/>
        <v>1.6</v>
      </c>
      <c r="K66" s="65">
        <f t="shared" si="23"/>
        <v>2</v>
      </c>
      <c r="L66" s="65">
        <f t="shared" si="23"/>
        <v>4</v>
      </c>
      <c r="M66" s="65">
        <f t="shared" si="23"/>
        <v>5</v>
      </c>
      <c r="N66" s="65">
        <f t="shared" si="23"/>
        <v>8</v>
      </c>
      <c r="O66" s="65">
        <f t="shared" si="23"/>
        <v>10</v>
      </c>
      <c r="P66" s="65">
        <f t="shared" si="23"/>
        <v>16</v>
      </c>
      <c r="Q66" s="65">
        <f t="shared" si="23"/>
        <v>18</v>
      </c>
      <c r="R66" s="65">
        <f t="shared" si="23"/>
        <v>20</v>
      </c>
      <c r="S66" s="65">
        <f t="shared" si="23"/>
        <v>30</v>
      </c>
      <c r="T66" s="65">
        <f t="shared" si="23"/>
        <v>40</v>
      </c>
      <c r="U66" s="65">
        <f t="shared" si="23"/>
        <v>50</v>
      </c>
      <c r="V66" s="65">
        <f t="shared" si="23"/>
        <v>60</v>
      </c>
      <c r="W66" s="65">
        <f t="shared" si="23"/>
        <v>70</v>
      </c>
      <c r="X66" s="65">
        <f t="shared" si="23"/>
        <v>80</v>
      </c>
      <c r="Y66" s="65">
        <f t="shared" si="23"/>
        <v>100</v>
      </c>
      <c r="AA66" s="80"/>
    </row>
    <row r="67" ht="16.5" customHeight="1">
      <c r="A67" s="48" t="str">
        <f t="shared" ref="A67:E67" si="24">A17</f>
        <v>MMH</v>
      </c>
      <c r="B67" s="48" t="str">
        <f t="shared" si="24"/>
        <v>K</v>
      </c>
      <c r="C67" s="48" t="str">
        <f t="shared" si="24"/>
        <v>緬甸元(H)</v>
      </c>
      <c r="D67" s="48">
        <f t="shared" si="24"/>
        <v>100</v>
      </c>
      <c r="E67" s="64">
        <f t="shared" si="24"/>
        <v>0.01</v>
      </c>
      <c r="F67" s="65">
        <f t="shared" ref="F67:Y67" si="25">HLOOKUP(F17,$F$1:$AI$2,2) * $D$1 * $E67</f>
        <v>1</v>
      </c>
      <c r="G67" s="65">
        <f t="shared" si="25"/>
        <v>2</v>
      </c>
      <c r="H67" s="65">
        <f t="shared" si="25"/>
        <v>4</v>
      </c>
      <c r="I67" s="65">
        <f t="shared" si="25"/>
        <v>8</v>
      </c>
      <c r="J67" s="65">
        <f t="shared" si="25"/>
        <v>12</v>
      </c>
      <c r="K67" s="65">
        <f t="shared" si="25"/>
        <v>16</v>
      </c>
      <c r="L67" s="65">
        <f t="shared" si="25"/>
        <v>20</v>
      </c>
      <c r="M67" s="65">
        <f t="shared" si="25"/>
        <v>30</v>
      </c>
      <c r="N67" s="65">
        <f t="shared" si="25"/>
        <v>50</v>
      </c>
      <c r="O67" s="65">
        <f t="shared" si="25"/>
        <v>80</v>
      </c>
      <c r="P67" s="65">
        <f t="shared" si="25"/>
        <v>100</v>
      </c>
      <c r="Q67" s="65">
        <f t="shared" si="25"/>
        <v>120</v>
      </c>
      <c r="R67" s="65">
        <f t="shared" si="25"/>
        <v>160</v>
      </c>
      <c r="S67" s="65">
        <f t="shared" si="25"/>
        <v>200</v>
      </c>
      <c r="T67" s="65">
        <f t="shared" si="25"/>
        <v>250</v>
      </c>
      <c r="U67" s="65">
        <f t="shared" si="25"/>
        <v>300</v>
      </c>
      <c r="V67" s="65">
        <f t="shared" si="25"/>
        <v>400</v>
      </c>
      <c r="W67" s="65">
        <f t="shared" si="25"/>
        <v>500</v>
      </c>
      <c r="X67" s="65">
        <f t="shared" si="25"/>
        <v>800</v>
      </c>
      <c r="Y67" s="65">
        <f t="shared" si="25"/>
        <v>1000</v>
      </c>
      <c r="AA67" s="80"/>
    </row>
    <row r="68" ht="16.5" customHeight="1">
      <c r="A68" s="48" t="str">
        <f t="shared" ref="A68:E68" si="26">A18</f>
        <v>PHP</v>
      </c>
      <c r="B68" s="48" t="str">
        <f t="shared" si="26"/>
        <v>₱</v>
      </c>
      <c r="C68" s="48" t="str">
        <f t="shared" si="26"/>
        <v>菲律賓披索</v>
      </c>
      <c r="D68" s="48" t="str">
        <f t="shared" si="26"/>
        <v/>
      </c>
      <c r="E68" s="64">
        <f t="shared" si="26"/>
        <v>0.01</v>
      </c>
      <c r="F68" s="65">
        <f t="shared" ref="F68:Y68" si="27">HLOOKUP(F18,$F$1:$AI$2,2) * $D$1 * $E68</f>
        <v>2</v>
      </c>
      <c r="G68" s="65">
        <f t="shared" si="27"/>
        <v>4</v>
      </c>
      <c r="H68" s="65">
        <f t="shared" si="27"/>
        <v>8</v>
      </c>
      <c r="I68" s="65">
        <f t="shared" si="27"/>
        <v>12</v>
      </c>
      <c r="J68" s="65">
        <f t="shared" si="27"/>
        <v>16</v>
      </c>
      <c r="K68" s="65">
        <f t="shared" si="27"/>
        <v>20</v>
      </c>
      <c r="L68" s="65">
        <f t="shared" si="27"/>
        <v>40</v>
      </c>
      <c r="M68" s="65">
        <f t="shared" si="27"/>
        <v>80</v>
      </c>
      <c r="N68" s="65">
        <f t="shared" si="27"/>
        <v>120</v>
      </c>
      <c r="O68" s="65">
        <f t="shared" si="27"/>
        <v>160</v>
      </c>
      <c r="P68" s="65">
        <f t="shared" si="27"/>
        <v>200</v>
      </c>
      <c r="Q68" s="65">
        <f t="shared" si="27"/>
        <v>300</v>
      </c>
      <c r="R68" s="65">
        <f t="shared" si="27"/>
        <v>400</v>
      </c>
      <c r="S68" s="65">
        <f t="shared" si="27"/>
        <v>500</v>
      </c>
      <c r="T68" s="65">
        <f t="shared" si="27"/>
        <v>600</v>
      </c>
      <c r="U68" s="65">
        <f t="shared" si="27"/>
        <v>800</v>
      </c>
      <c r="V68" s="65">
        <f t="shared" si="27"/>
        <v>1200</v>
      </c>
      <c r="W68" s="65">
        <f t="shared" si="27"/>
        <v>1600</v>
      </c>
      <c r="X68" s="65">
        <f t="shared" si="27"/>
        <v>2000</v>
      </c>
      <c r="Y68" s="65">
        <f t="shared" si="27"/>
        <v>2400</v>
      </c>
      <c r="AA68" s="80"/>
    </row>
    <row r="69" ht="16.5" customHeight="1">
      <c r="A69" s="48" t="str">
        <f t="shared" ref="A69:E69" si="28">A19</f>
        <v>CNY</v>
      </c>
      <c r="B69" s="48" t="str">
        <f t="shared" si="28"/>
        <v>￥</v>
      </c>
      <c r="C69" s="48" t="str">
        <f t="shared" si="28"/>
        <v>人民幣</v>
      </c>
      <c r="D69" s="48" t="str">
        <f t="shared" si="28"/>
        <v/>
      </c>
      <c r="E69" s="64">
        <f t="shared" si="28"/>
        <v>0.01</v>
      </c>
      <c r="F69" s="65">
        <f t="shared" ref="F69:Y69" si="29">HLOOKUP(F19,$F$1:$AI$2,2) * $D$1 * $E69</f>
        <v>1</v>
      </c>
      <c r="G69" s="65">
        <f t="shared" si="29"/>
        <v>2</v>
      </c>
      <c r="H69" s="65">
        <f t="shared" si="29"/>
        <v>4</v>
      </c>
      <c r="I69" s="65">
        <f t="shared" si="29"/>
        <v>8</v>
      </c>
      <c r="J69" s="65">
        <f t="shared" si="29"/>
        <v>12</v>
      </c>
      <c r="K69" s="65">
        <f t="shared" si="29"/>
        <v>16</v>
      </c>
      <c r="L69" s="65">
        <f t="shared" si="29"/>
        <v>20</v>
      </c>
      <c r="M69" s="65">
        <f t="shared" si="29"/>
        <v>30</v>
      </c>
      <c r="N69" s="65">
        <f t="shared" si="29"/>
        <v>40</v>
      </c>
      <c r="O69" s="65">
        <f t="shared" si="29"/>
        <v>50</v>
      </c>
      <c r="P69" s="65">
        <f t="shared" si="29"/>
        <v>80</v>
      </c>
      <c r="Q69" s="65">
        <f t="shared" si="29"/>
        <v>100</v>
      </c>
      <c r="R69" s="65">
        <f t="shared" si="29"/>
        <v>140</v>
      </c>
      <c r="S69" s="65">
        <f t="shared" si="29"/>
        <v>160</v>
      </c>
      <c r="T69" s="65">
        <f t="shared" si="29"/>
        <v>180</v>
      </c>
      <c r="U69" s="65">
        <f t="shared" si="29"/>
        <v>200</v>
      </c>
      <c r="V69" s="65">
        <f t="shared" si="29"/>
        <v>250</v>
      </c>
      <c r="W69" s="65">
        <f t="shared" si="29"/>
        <v>300</v>
      </c>
      <c r="X69" s="65">
        <f t="shared" si="29"/>
        <v>400</v>
      </c>
      <c r="Y69" s="65">
        <f t="shared" si="29"/>
        <v>500</v>
      </c>
      <c r="AA69" s="80"/>
    </row>
    <row r="70" ht="16.5" customHeight="1">
      <c r="A70" s="48" t="str">
        <f t="shared" ref="A70:E70" si="30">A20</f>
        <v>MXN</v>
      </c>
      <c r="B70" s="48" t="str">
        <f t="shared" si="30"/>
        <v>Mex$</v>
      </c>
      <c r="C70" s="48" t="str">
        <f t="shared" si="30"/>
        <v>墨⻄哥披索</v>
      </c>
      <c r="D70" s="48" t="str">
        <f t="shared" si="30"/>
        <v/>
      </c>
      <c r="E70" s="64">
        <f t="shared" si="30"/>
        <v>0.01</v>
      </c>
      <c r="F70" s="65">
        <f t="shared" ref="F70:Y70" si="31">HLOOKUP(F20,$F$1:$AI$2,2) * $D$1 * $E70</f>
        <v>1</v>
      </c>
      <c r="G70" s="65">
        <f t="shared" si="31"/>
        <v>2</v>
      </c>
      <c r="H70" s="65">
        <f t="shared" si="31"/>
        <v>4</v>
      </c>
      <c r="I70" s="65">
        <f t="shared" si="31"/>
        <v>8</v>
      </c>
      <c r="J70" s="65">
        <f t="shared" si="31"/>
        <v>12</v>
      </c>
      <c r="K70" s="65">
        <f t="shared" si="31"/>
        <v>16</v>
      </c>
      <c r="L70" s="65">
        <f t="shared" si="31"/>
        <v>20</v>
      </c>
      <c r="M70" s="65">
        <f t="shared" si="31"/>
        <v>30</v>
      </c>
      <c r="N70" s="65">
        <f t="shared" si="31"/>
        <v>50</v>
      </c>
      <c r="O70" s="65">
        <f t="shared" si="31"/>
        <v>80</v>
      </c>
      <c r="P70" s="65">
        <f t="shared" si="31"/>
        <v>100</v>
      </c>
      <c r="Q70" s="65">
        <f t="shared" si="31"/>
        <v>120</v>
      </c>
      <c r="R70" s="65">
        <f t="shared" si="31"/>
        <v>160</v>
      </c>
      <c r="S70" s="65">
        <f t="shared" si="31"/>
        <v>200</v>
      </c>
      <c r="T70" s="65">
        <f t="shared" si="31"/>
        <v>250</v>
      </c>
      <c r="U70" s="65">
        <f t="shared" si="31"/>
        <v>300</v>
      </c>
      <c r="V70" s="65">
        <f t="shared" si="31"/>
        <v>400</v>
      </c>
      <c r="W70" s="65">
        <f t="shared" si="31"/>
        <v>500</v>
      </c>
      <c r="X70" s="65">
        <f t="shared" si="31"/>
        <v>800</v>
      </c>
      <c r="Y70" s="65">
        <f t="shared" si="31"/>
        <v>1000</v>
      </c>
      <c r="AA70" s="80"/>
    </row>
    <row r="71" ht="16.5" customHeight="1">
      <c r="A71" s="48" t="str">
        <f t="shared" ref="A71:E71" si="32">A21</f>
        <v>BRL</v>
      </c>
      <c r="B71" s="48" t="str">
        <f t="shared" si="32"/>
        <v>R$</v>
      </c>
      <c r="C71" s="48" t="str">
        <f t="shared" si="32"/>
        <v>巴西雷亞爾</v>
      </c>
      <c r="D71" s="48" t="str">
        <f t="shared" si="32"/>
        <v/>
      </c>
      <c r="E71" s="64">
        <f t="shared" si="32"/>
        <v>0.01</v>
      </c>
      <c r="F71" s="65">
        <f t="shared" ref="F71:Y71" si="33">HLOOKUP(F21,$F$1:$AI$2,2) * $D$1 * $E71</f>
        <v>1</v>
      </c>
      <c r="G71" s="65">
        <f t="shared" si="33"/>
        <v>2</v>
      </c>
      <c r="H71" s="65">
        <f t="shared" si="33"/>
        <v>4</v>
      </c>
      <c r="I71" s="65">
        <f t="shared" si="33"/>
        <v>8</v>
      </c>
      <c r="J71" s="65">
        <f t="shared" si="33"/>
        <v>12</v>
      </c>
      <c r="K71" s="65">
        <f t="shared" si="33"/>
        <v>16</v>
      </c>
      <c r="L71" s="65">
        <f t="shared" si="33"/>
        <v>20</v>
      </c>
      <c r="M71" s="65">
        <f t="shared" si="33"/>
        <v>30</v>
      </c>
      <c r="N71" s="65">
        <f t="shared" si="33"/>
        <v>40</v>
      </c>
      <c r="O71" s="65">
        <f t="shared" si="33"/>
        <v>50</v>
      </c>
      <c r="P71" s="65">
        <f t="shared" si="33"/>
        <v>80</v>
      </c>
      <c r="Q71" s="65">
        <f t="shared" si="33"/>
        <v>100</v>
      </c>
      <c r="R71" s="65">
        <f t="shared" si="33"/>
        <v>140</v>
      </c>
      <c r="S71" s="65">
        <f t="shared" si="33"/>
        <v>160</v>
      </c>
      <c r="T71" s="65">
        <f t="shared" si="33"/>
        <v>180</v>
      </c>
      <c r="U71" s="65">
        <f t="shared" si="33"/>
        <v>200</v>
      </c>
      <c r="V71" s="65">
        <f t="shared" si="33"/>
        <v>250</v>
      </c>
      <c r="W71" s="65">
        <f t="shared" si="33"/>
        <v>300</v>
      </c>
      <c r="X71" s="65">
        <f t="shared" si="33"/>
        <v>400</v>
      </c>
      <c r="Y71" s="65">
        <f t="shared" si="33"/>
        <v>500</v>
      </c>
      <c r="AA71" s="80"/>
    </row>
    <row r="72" ht="16.5" customHeight="1">
      <c r="A72" s="48" t="str">
        <f t="shared" ref="A72:E72" si="34">A22</f>
        <v>AUD</v>
      </c>
      <c r="B72" s="48" t="str">
        <f t="shared" si="34"/>
        <v>A$</v>
      </c>
      <c r="C72" s="48" t="str">
        <f t="shared" si="34"/>
        <v>澳洲元</v>
      </c>
      <c r="D72" s="48" t="str">
        <f t="shared" si="34"/>
        <v/>
      </c>
      <c r="E72" s="64">
        <f t="shared" si="34"/>
        <v>0.001</v>
      </c>
      <c r="F72" s="65">
        <f t="shared" ref="F72:Y72" si="35">HLOOKUP(F22,$F$1:$AI$2,2) * $D$1 * $E72</f>
        <v>0.1</v>
      </c>
      <c r="G72" s="65">
        <f t="shared" si="35"/>
        <v>0.2</v>
      </c>
      <c r="H72" s="65">
        <f t="shared" si="35"/>
        <v>0.4</v>
      </c>
      <c r="I72" s="65">
        <f t="shared" si="35"/>
        <v>0.8</v>
      </c>
      <c r="J72" s="65">
        <f t="shared" si="35"/>
        <v>1.6</v>
      </c>
      <c r="K72" s="65">
        <f t="shared" si="35"/>
        <v>2</v>
      </c>
      <c r="L72" s="65">
        <f t="shared" si="35"/>
        <v>4</v>
      </c>
      <c r="M72" s="65">
        <f t="shared" si="35"/>
        <v>5</v>
      </c>
      <c r="N72" s="65">
        <f t="shared" si="35"/>
        <v>8</v>
      </c>
      <c r="O72" s="65">
        <f t="shared" si="35"/>
        <v>10</v>
      </c>
      <c r="P72" s="65">
        <f t="shared" si="35"/>
        <v>16</v>
      </c>
      <c r="Q72" s="65">
        <f t="shared" si="35"/>
        <v>18</v>
      </c>
      <c r="R72" s="65">
        <f t="shared" si="35"/>
        <v>20</v>
      </c>
      <c r="S72" s="65">
        <f t="shared" si="35"/>
        <v>30</v>
      </c>
      <c r="T72" s="65">
        <f t="shared" si="35"/>
        <v>40</v>
      </c>
      <c r="U72" s="65">
        <f t="shared" si="35"/>
        <v>50</v>
      </c>
      <c r="V72" s="65">
        <f t="shared" si="35"/>
        <v>60</v>
      </c>
      <c r="W72" s="65">
        <f t="shared" si="35"/>
        <v>70</v>
      </c>
      <c r="X72" s="65">
        <f t="shared" si="35"/>
        <v>80</v>
      </c>
      <c r="Y72" s="65">
        <f t="shared" si="35"/>
        <v>100</v>
      </c>
      <c r="AA72" s="80"/>
    </row>
    <row r="73" ht="16.5" customHeight="1">
      <c r="A73" s="48" t="str">
        <f t="shared" ref="A73:E73" si="36">A23</f>
        <v>JPY</v>
      </c>
      <c r="B73" s="48" t="str">
        <f t="shared" si="36"/>
        <v>￥</v>
      </c>
      <c r="C73" s="48" t="str">
        <f t="shared" si="36"/>
        <v>日圓</v>
      </c>
      <c r="D73" s="48" t="str">
        <f t="shared" si="36"/>
        <v/>
      </c>
      <c r="E73" s="64">
        <f t="shared" si="36"/>
        <v>0.02</v>
      </c>
      <c r="F73" s="65">
        <f t="shared" ref="F73:Y73" si="37">HLOOKUP(F23,$F$1:$AI$2,2) * $D$1 * $E73</f>
        <v>4</v>
      </c>
      <c r="G73" s="65">
        <f t="shared" si="37"/>
        <v>8</v>
      </c>
      <c r="H73" s="65">
        <f t="shared" si="37"/>
        <v>16</v>
      </c>
      <c r="I73" s="65">
        <f t="shared" si="37"/>
        <v>24</v>
      </c>
      <c r="J73" s="65">
        <f t="shared" si="37"/>
        <v>32</v>
      </c>
      <c r="K73" s="65">
        <f t="shared" si="37"/>
        <v>40</v>
      </c>
      <c r="L73" s="65">
        <f t="shared" si="37"/>
        <v>80</v>
      </c>
      <c r="M73" s="65">
        <f t="shared" si="37"/>
        <v>160</v>
      </c>
      <c r="N73" s="65">
        <f t="shared" si="37"/>
        <v>240</v>
      </c>
      <c r="O73" s="65">
        <f t="shared" si="37"/>
        <v>320</v>
      </c>
      <c r="P73" s="65">
        <f t="shared" si="37"/>
        <v>400</v>
      </c>
      <c r="Q73" s="65">
        <f t="shared" si="37"/>
        <v>600</v>
      </c>
      <c r="R73" s="65">
        <f t="shared" si="37"/>
        <v>800</v>
      </c>
      <c r="S73" s="65">
        <f t="shared" si="37"/>
        <v>1000</v>
      </c>
      <c r="T73" s="65">
        <f t="shared" si="37"/>
        <v>1200</v>
      </c>
      <c r="U73" s="65">
        <f t="shared" si="37"/>
        <v>1600</v>
      </c>
      <c r="V73" s="65">
        <f t="shared" si="37"/>
        <v>2400</v>
      </c>
      <c r="W73" s="65">
        <f t="shared" si="37"/>
        <v>3200</v>
      </c>
      <c r="X73" s="65">
        <f t="shared" si="37"/>
        <v>4000</v>
      </c>
      <c r="Y73" s="65">
        <f t="shared" si="37"/>
        <v>4800</v>
      </c>
      <c r="AA73" s="80"/>
    </row>
    <row r="74" ht="16.5" customHeight="1">
      <c r="A74" s="48" t="str">
        <f t="shared" ref="A74:E74" si="38">A24</f>
        <v>KRW</v>
      </c>
      <c r="B74" s="48" t="str">
        <f t="shared" si="38"/>
        <v>₩</v>
      </c>
      <c r="C74" s="48" t="str">
        <f t="shared" si="38"/>
        <v>韓圓</v>
      </c>
      <c r="D74" s="48" t="str">
        <f t="shared" si="38"/>
        <v/>
      </c>
      <c r="E74" s="64">
        <f t="shared" si="38"/>
        <v>0.2</v>
      </c>
      <c r="F74" s="65">
        <f t="shared" ref="F74:Y74" si="39">HLOOKUP(F24,$F$1:$AI$2,2) * $D$1 * $E74</f>
        <v>40</v>
      </c>
      <c r="G74" s="65">
        <f t="shared" si="39"/>
        <v>80</v>
      </c>
      <c r="H74" s="65">
        <f t="shared" si="39"/>
        <v>160</v>
      </c>
      <c r="I74" s="65">
        <f t="shared" si="39"/>
        <v>240</v>
      </c>
      <c r="J74" s="65">
        <f t="shared" si="39"/>
        <v>320</v>
      </c>
      <c r="K74" s="65">
        <f t="shared" si="39"/>
        <v>400</v>
      </c>
      <c r="L74" s="65">
        <f t="shared" si="39"/>
        <v>800</v>
      </c>
      <c r="M74" s="65">
        <f t="shared" si="39"/>
        <v>1600</v>
      </c>
      <c r="N74" s="65">
        <f t="shared" si="39"/>
        <v>2400</v>
      </c>
      <c r="O74" s="65">
        <f t="shared" si="39"/>
        <v>3200</v>
      </c>
      <c r="P74" s="65">
        <f t="shared" si="39"/>
        <v>4000</v>
      </c>
      <c r="Q74" s="65">
        <f t="shared" si="39"/>
        <v>6000</v>
      </c>
      <c r="R74" s="65">
        <f t="shared" si="39"/>
        <v>8000</v>
      </c>
      <c r="S74" s="65">
        <f t="shared" si="39"/>
        <v>10000</v>
      </c>
      <c r="T74" s="65">
        <f t="shared" si="39"/>
        <v>12000</v>
      </c>
      <c r="U74" s="65">
        <f t="shared" si="39"/>
        <v>16000</v>
      </c>
      <c r="V74" s="65">
        <f t="shared" si="39"/>
        <v>24000</v>
      </c>
      <c r="W74" s="65">
        <f t="shared" si="39"/>
        <v>32000</v>
      </c>
      <c r="X74" s="65">
        <f t="shared" si="39"/>
        <v>40000</v>
      </c>
      <c r="Y74" s="65">
        <f t="shared" si="39"/>
        <v>48000</v>
      </c>
      <c r="AA74" s="80"/>
    </row>
    <row r="75" ht="16.5" customHeight="1">
      <c r="A75" s="48" t="str">
        <f t="shared" ref="A75:E75" si="40">A25</f>
        <v>CLP</v>
      </c>
      <c r="B75" s="48" t="str">
        <f t="shared" si="40"/>
        <v>$</v>
      </c>
      <c r="C75" s="48" t="str">
        <f t="shared" si="40"/>
        <v>智利披索</v>
      </c>
      <c r="D75" s="48" t="str">
        <f t="shared" si="40"/>
        <v/>
      </c>
      <c r="E75" s="64">
        <f t="shared" si="40"/>
        <v>0.2</v>
      </c>
      <c r="F75" s="65">
        <f t="shared" ref="F75:Y75" si="41">HLOOKUP(F25,$F$1:$AI$2,2) * $D$1 * $E75</f>
        <v>40</v>
      </c>
      <c r="G75" s="65">
        <f t="shared" si="41"/>
        <v>80</v>
      </c>
      <c r="H75" s="65">
        <f t="shared" si="41"/>
        <v>160</v>
      </c>
      <c r="I75" s="65">
        <f t="shared" si="41"/>
        <v>240</v>
      </c>
      <c r="J75" s="65">
        <f t="shared" si="41"/>
        <v>320</v>
      </c>
      <c r="K75" s="65">
        <f t="shared" si="41"/>
        <v>400</v>
      </c>
      <c r="L75" s="65">
        <f t="shared" si="41"/>
        <v>800</v>
      </c>
      <c r="M75" s="65">
        <f t="shared" si="41"/>
        <v>1600</v>
      </c>
      <c r="N75" s="65">
        <f t="shared" si="41"/>
        <v>2400</v>
      </c>
      <c r="O75" s="65">
        <f t="shared" si="41"/>
        <v>3200</v>
      </c>
      <c r="P75" s="65">
        <f t="shared" si="41"/>
        <v>4000</v>
      </c>
      <c r="Q75" s="65">
        <f t="shared" si="41"/>
        <v>6000</v>
      </c>
      <c r="R75" s="65">
        <f t="shared" si="41"/>
        <v>8000</v>
      </c>
      <c r="S75" s="65">
        <f t="shared" si="41"/>
        <v>10000</v>
      </c>
      <c r="T75" s="65">
        <f t="shared" si="41"/>
        <v>12000</v>
      </c>
      <c r="U75" s="65">
        <f t="shared" si="41"/>
        <v>16000</v>
      </c>
      <c r="V75" s="65">
        <f t="shared" si="41"/>
        <v>24000</v>
      </c>
      <c r="W75" s="65">
        <f t="shared" si="41"/>
        <v>32000</v>
      </c>
      <c r="X75" s="65">
        <f t="shared" si="41"/>
        <v>40000</v>
      </c>
      <c r="Y75" s="65">
        <f t="shared" si="41"/>
        <v>48000</v>
      </c>
      <c r="AA75" s="80"/>
    </row>
    <row r="76" ht="16.5" customHeight="1">
      <c r="A76" s="48" t="str">
        <f t="shared" ref="A76:E76" si="42">A26</f>
        <v>MMKO</v>
      </c>
      <c r="B76" s="48" t="str">
        <f t="shared" si="42"/>
        <v>K</v>
      </c>
      <c r="C76" s="48" t="str">
        <f t="shared" si="42"/>
        <v>緬甸元</v>
      </c>
      <c r="D76" s="48" t="str">
        <f t="shared" si="42"/>
        <v/>
      </c>
      <c r="E76" s="64">
        <f t="shared" si="42"/>
        <v>0.2</v>
      </c>
      <c r="F76" s="65">
        <f t="shared" ref="F76:Y76" si="43">HLOOKUP(F26,$F$1:$AI$2,2) * $D$1 * $E76</f>
        <v>40</v>
      </c>
      <c r="G76" s="65">
        <f t="shared" si="43"/>
        <v>80</v>
      </c>
      <c r="H76" s="65">
        <f t="shared" si="43"/>
        <v>160</v>
      </c>
      <c r="I76" s="65">
        <f t="shared" si="43"/>
        <v>240</v>
      </c>
      <c r="J76" s="65">
        <f t="shared" si="43"/>
        <v>320</v>
      </c>
      <c r="K76" s="65">
        <f t="shared" si="43"/>
        <v>400</v>
      </c>
      <c r="L76" s="65">
        <f t="shared" si="43"/>
        <v>800</v>
      </c>
      <c r="M76" s="65">
        <f t="shared" si="43"/>
        <v>1600</v>
      </c>
      <c r="N76" s="65">
        <f t="shared" si="43"/>
        <v>2400</v>
      </c>
      <c r="O76" s="65">
        <f t="shared" si="43"/>
        <v>3200</v>
      </c>
      <c r="P76" s="65">
        <f t="shared" si="43"/>
        <v>4000</v>
      </c>
      <c r="Q76" s="65">
        <f t="shared" si="43"/>
        <v>6000</v>
      </c>
      <c r="R76" s="65">
        <f t="shared" si="43"/>
        <v>8000</v>
      </c>
      <c r="S76" s="65">
        <f t="shared" si="43"/>
        <v>10000</v>
      </c>
      <c r="T76" s="65">
        <f t="shared" si="43"/>
        <v>12000</v>
      </c>
      <c r="U76" s="65">
        <f t="shared" si="43"/>
        <v>16000</v>
      </c>
      <c r="V76" s="65">
        <f t="shared" si="43"/>
        <v>24000</v>
      </c>
      <c r="W76" s="65">
        <f t="shared" si="43"/>
        <v>32000</v>
      </c>
      <c r="X76" s="65">
        <f t="shared" si="43"/>
        <v>40000</v>
      </c>
      <c r="Y76" s="65">
        <f t="shared" si="43"/>
        <v>48000</v>
      </c>
      <c r="AA76" s="80"/>
    </row>
    <row r="77" ht="16.5" customHeight="1">
      <c r="A77" s="48" t="str">
        <f t="shared" ref="A77:E77" si="44">A27</f>
        <v>IDRO</v>
      </c>
      <c r="B77" s="48" t="str">
        <f t="shared" si="44"/>
        <v>Rp</v>
      </c>
      <c r="C77" s="48" t="str">
        <f t="shared" si="44"/>
        <v>印尼盧比</v>
      </c>
      <c r="D77" s="48" t="str">
        <f t="shared" si="44"/>
        <v/>
      </c>
      <c r="E77" s="64">
        <f t="shared" si="44"/>
        <v>0.2</v>
      </c>
      <c r="F77" s="65">
        <f t="shared" ref="F77:Y77" si="45">HLOOKUP(F27,$F$1:$AI$2,2) * $D$1 * $E77</f>
        <v>40</v>
      </c>
      <c r="G77" s="65">
        <f t="shared" si="45"/>
        <v>80</v>
      </c>
      <c r="H77" s="65">
        <f t="shared" si="45"/>
        <v>160</v>
      </c>
      <c r="I77" s="65">
        <f t="shared" si="45"/>
        <v>240</v>
      </c>
      <c r="J77" s="65">
        <f t="shared" si="45"/>
        <v>320</v>
      </c>
      <c r="K77" s="65">
        <f t="shared" si="45"/>
        <v>400</v>
      </c>
      <c r="L77" s="65">
        <f t="shared" si="45"/>
        <v>800</v>
      </c>
      <c r="M77" s="65">
        <f t="shared" si="45"/>
        <v>1600</v>
      </c>
      <c r="N77" s="65">
        <f t="shared" si="45"/>
        <v>2400</v>
      </c>
      <c r="O77" s="65">
        <f t="shared" si="45"/>
        <v>3200</v>
      </c>
      <c r="P77" s="65">
        <f t="shared" si="45"/>
        <v>4000</v>
      </c>
      <c r="Q77" s="65">
        <f t="shared" si="45"/>
        <v>6000</v>
      </c>
      <c r="R77" s="65">
        <f t="shared" si="45"/>
        <v>8000</v>
      </c>
      <c r="S77" s="65">
        <f t="shared" si="45"/>
        <v>10000</v>
      </c>
      <c r="T77" s="65">
        <f t="shared" si="45"/>
        <v>12000</v>
      </c>
      <c r="U77" s="65">
        <f t="shared" si="45"/>
        <v>16000</v>
      </c>
      <c r="V77" s="65">
        <f t="shared" si="45"/>
        <v>24000</v>
      </c>
      <c r="W77" s="65">
        <f t="shared" si="45"/>
        <v>32000</v>
      </c>
      <c r="X77" s="65">
        <f t="shared" si="45"/>
        <v>40000</v>
      </c>
      <c r="Y77" s="65">
        <f t="shared" si="45"/>
        <v>48000</v>
      </c>
      <c r="AA77" s="80"/>
    </row>
    <row r="78" ht="16.5" customHeight="1">
      <c r="A78" s="48" t="str">
        <f t="shared" ref="A78:E78" si="46">A28</f>
        <v>RUB</v>
      </c>
      <c r="B78" s="48" t="str">
        <f t="shared" si="46"/>
        <v>₽</v>
      </c>
      <c r="C78" s="48" t="str">
        <f t="shared" si="46"/>
        <v>盧布</v>
      </c>
      <c r="D78" s="48" t="str">
        <f t="shared" si="46"/>
        <v/>
      </c>
      <c r="E78" s="64">
        <f t="shared" si="46"/>
        <v>0.01</v>
      </c>
      <c r="F78" s="65">
        <f t="shared" ref="F78:Y78" si="47">HLOOKUP(F28,$F$1:$AI$2,2) * $D$1 * $E78</f>
        <v>2</v>
      </c>
      <c r="G78" s="65">
        <f t="shared" si="47"/>
        <v>4</v>
      </c>
      <c r="H78" s="65">
        <f t="shared" si="47"/>
        <v>8</v>
      </c>
      <c r="I78" s="65">
        <f t="shared" si="47"/>
        <v>12</v>
      </c>
      <c r="J78" s="65">
        <f t="shared" si="47"/>
        <v>16</v>
      </c>
      <c r="K78" s="65">
        <f t="shared" si="47"/>
        <v>20</v>
      </c>
      <c r="L78" s="65">
        <f t="shared" si="47"/>
        <v>40</v>
      </c>
      <c r="M78" s="65">
        <f t="shared" si="47"/>
        <v>80</v>
      </c>
      <c r="N78" s="65">
        <f t="shared" si="47"/>
        <v>120</v>
      </c>
      <c r="O78" s="65">
        <f t="shared" si="47"/>
        <v>160</v>
      </c>
      <c r="P78" s="65">
        <f t="shared" si="47"/>
        <v>200</v>
      </c>
      <c r="Q78" s="65">
        <f t="shared" si="47"/>
        <v>300</v>
      </c>
      <c r="R78" s="65">
        <f t="shared" si="47"/>
        <v>400</v>
      </c>
      <c r="S78" s="65">
        <f t="shared" si="47"/>
        <v>500</v>
      </c>
      <c r="T78" s="65">
        <f t="shared" si="47"/>
        <v>600</v>
      </c>
      <c r="U78" s="65">
        <f t="shared" si="47"/>
        <v>800</v>
      </c>
      <c r="V78" s="65">
        <f t="shared" si="47"/>
        <v>1200</v>
      </c>
      <c r="W78" s="65">
        <f t="shared" si="47"/>
        <v>1600</v>
      </c>
      <c r="X78" s="65">
        <f t="shared" si="47"/>
        <v>2000</v>
      </c>
      <c r="Y78" s="65">
        <f t="shared" si="47"/>
        <v>2400</v>
      </c>
      <c r="AA78" s="80"/>
    </row>
    <row r="79" ht="16.5" customHeight="1">
      <c r="A79" s="48" t="str">
        <f t="shared" ref="A79:E79" si="48">A29</f>
        <v>LKR</v>
      </c>
      <c r="B79" s="48" t="str">
        <f t="shared" si="48"/>
        <v>₨</v>
      </c>
      <c r="C79" s="48" t="str">
        <f t="shared" si="48"/>
        <v>斯里蘭卡盧比</v>
      </c>
      <c r="D79" s="48" t="str">
        <f t="shared" si="48"/>
        <v/>
      </c>
      <c r="E79" s="64">
        <f t="shared" si="48"/>
        <v>0.01</v>
      </c>
      <c r="F79" s="65">
        <f t="shared" ref="F79:Y79" si="49">HLOOKUP(F29,$F$1:$AI$2,2) * $D$1 * $E79</f>
        <v>2</v>
      </c>
      <c r="G79" s="65">
        <f t="shared" si="49"/>
        <v>4</v>
      </c>
      <c r="H79" s="65">
        <f t="shared" si="49"/>
        <v>8</v>
      </c>
      <c r="I79" s="65">
        <f t="shared" si="49"/>
        <v>12</v>
      </c>
      <c r="J79" s="65">
        <f t="shared" si="49"/>
        <v>16</v>
      </c>
      <c r="K79" s="65">
        <f t="shared" si="49"/>
        <v>20</v>
      </c>
      <c r="L79" s="65">
        <f t="shared" si="49"/>
        <v>40</v>
      </c>
      <c r="M79" s="65">
        <f t="shared" si="49"/>
        <v>80</v>
      </c>
      <c r="N79" s="65">
        <f t="shared" si="49"/>
        <v>120</v>
      </c>
      <c r="O79" s="65">
        <f t="shared" si="49"/>
        <v>160</v>
      </c>
      <c r="P79" s="65">
        <f t="shared" si="49"/>
        <v>200</v>
      </c>
      <c r="Q79" s="65">
        <f t="shared" si="49"/>
        <v>300</v>
      </c>
      <c r="R79" s="65">
        <f t="shared" si="49"/>
        <v>400</v>
      </c>
      <c r="S79" s="65">
        <f t="shared" si="49"/>
        <v>500</v>
      </c>
      <c r="T79" s="65">
        <f t="shared" si="49"/>
        <v>600</v>
      </c>
      <c r="U79" s="65">
        <f t="shared" si="49"/>
        <v>800</v>
      </c>
      <c r="V79" s="65">
        <f t="shared" si="49"/>
        <v>1200</v>
      </c>
      <c r="W79" s="65">
        <f t="shared" si="49"/>
        <v>1600</v>
      </c>
      <c r="X79" s="65">
        <f t="shared" si="49"/>
        <v>2000</v>
      </c>
      <c r="Y79" s="65">
        <f t="shared" si="49"/>
        <v>2400</v>
      </c>
      <c r="AA79" s="80"/>
    </row>
    <row r="80" ht="16.5" customHeight="1">
      <c r="A80" s="48" t="str">
        <f t="shared" ref="A80:E80" si="50">A30</f>
        <v>ETB</v>
      </c>
      <c r="B80" s="48" t="str">
        <f t="shared" si="50"/>
        <v>Br‎</v>
      </c>
      <c r="C80" s="48" t="str">
        <f t="shared" si="50"/>
        <v>衣索比亞比爾</v>
      </c>
      <c r="D80" s="48" t="str">
        <f t="shared" si="50"/>
        <v/>
      </c>
      <c r="E80" s="64">
        <f t="shared" si="50"/>
        <v>0.01</v>
      </c>
      <c r="F80" s="65">
        <f t="shared" ref="F80:Y80" si="51">HLOOKUP(F30,$F$1:$AI$2,2) * $D$1 * $E80</f>
        <v>2</v>
      </c>
      <c r="G80" s="65">
        <f t="shared" si="51"/>
        <v>4</v>
      </c>
      <c r="H80" s="65">
        <f t="shared" si="51"/>
        <v>8</v>
      </c>
      <c r="I80" s="65">
        <f t="shared" si="51"/>
        <v>12</v>
      </c>
      <c r="J80" s="65">
        <f t="shared" si="51"/>
        <v>16</v>
      </c>
      <c r="K80" s="65">
        <f t="shared" si="51"/>
        <v>20</v>
      </c>
      <c r="L80" s="65">
        <f t="shared" si="51"/>
        <v>40</v>
      </c>
      <c r="M80" s="65">
        <f t="shared" si="51"/>
        <v>80</v>
      </c>
      <c r="N80" s="65">
        <f t="shared" si="51"/>
        <v>120</v>
      </c>
      <c r="O80" s="65">
        <f t="shared" si="51"/>
        <v>160</v>
      </c>
      <c r="P80" s="65">
        <f t="shared" si="51"/>
        <v>200</v>
      </c>
      <c r="Q80" s="65">
        <f t="shared" si="51"/>
        <v>300</v>
      </c>
      <c r="R80" s="65">
        <f t="shared" si="51"/>
        <v>400</v>
      </c>
      <c r="S80" s="65">
        <f t="shared" si="51"/>
        <v>500</v>
      </c>
      <c r="T80" s="65">
        <f t="shared" si="51"/>
        <v>600</v>
      </c>
      <c r="U80" s="65">
        <f t="shared" si="51"/>
        <v>800</v>
      </c>
      <c r="V80" s="65">
        <f t="shared" si="51"/>
        <v>1200</v>
      </c>
      <c r="W80" s="65">
        <f t="shared" si="51"/>
        <v>1600</v>
      </c>
      <c r="X80" s="65">
        <f t="shared" si="51"/>
        <v>2000</v>
      </c>
      <c r="Y80" s="65">
        <f t="shared" si="51"/>
        <v>2400</v>
      </c>
      <c r="AA80" s="80"/>
    </row>
    <row r="81" ht="16.5" customHeight="1">
      <c r="A81" s="48" t="str">
        <f t="shared" ref="A81:E81" si="52">A31</f>
        <v>UGX</v>
      </c>
      <c r="B81" s="48" t="str">
        <f t="shared" si="52"/>
        <v>USh</v>
      </c>
      <c r="C81" s="48" t="str">
        <f t="shared" si="52"/>
        <v>烏干達先令</v>
      </c>
      <c r="D81" s="48" t="str">
        <f t="shared" si="52"/>
        <v/>
      </c>
      <c r="E81" s="64">
        <f t="shared" si="52"/>
        <v>0.2</v>
      </c>
      <c r="F81" s="65">
        <f t="shared" ref="F81:Y81" si="53">HLOOKUP(F31,$F$1:$AI$2,2) * $D$1 * $E81</f>
        <v>40</v>
      </c>
      <c r="G81" s="65">
        <f t="shared" si="53"/>
        <v>80</v>
      </c>
      <c r="H81" s="65">
        <f t="shared" si="53"/>
        <v>160</v>
      </c>
      <c r="I81" s="65">
        <f t="shared" si="53"/>
        <v>240</v>
      </c>
      <c r="J81" s="65">
        <f t="shared" si="53"/>
        <v>320</v>
      </c>
      <c r="K81" s="65">
        <f t="shared" si="53"/>
        <v>400</v>
      </c>
      <c r="L81" s="65">
        <f t="shared" si="53"/>
        <v>800</v>
      </c>
      <c r="M81" s="65">
        <f t="shared" si="53"/>
        <v>1600</v>
      </c>
      <c r="N81" s="65">
        <f t="shared" si="53"/>
        <v>2400</v>
      </c>
      <c r="O81" s="65">
        <f t="shared" si="53"/>
        <v>3200</v>
      </c>
      <c r="P81" s="65">
        <f t="shared" si="53"/>
        <v>4000</v>
      </c>
      <c r="Q81" s="65">
        <f t="shared" si="53"/>
        <v>6000</v>
      </c>
      <c r="R81" s="65">
        <f t="shared" si="53"/>
        <v>8000</v>
      </c>
      <c r="S81" s="65">
        <f t="shared" si="53"/>
        <v>10000</v>
      </c>
      <c r="T81" s="65">
        <f t="shared" si="53"/>
        <v>12000</v>
      </c>
      <c r="U81" s="65">
        <f t="shared" si="53"/>
        <v>16000</v>
      </c>
      <c r="V81" s="65">
        <f t="shared" si="53"/>
        <v>24000</v>
      </c>
      <c r="W81" s="65">
        <f t="shared" si="53"/>
        <v>32000</v>
      </c>
      <c r="X81" s="65">
        <f t="shared" si="53"/>
        <v>40000</v>
      </c>
      <c r="Y81" s="65">
        <f t="shared" si="53"/>
        <v>48000</v>
      </c>
      <c r="AA81" s="80"/>
    </row>
    <row r="82" ht="16.5" customHeight="1">
      <c r="A82" s="48" t="str">
        <f t="shared" ref="A82:E82" si="54">A32</f>
        <v>EUR</v>
      </c>
      <c r="B82" s="48" t="str">
        <f t="shared" si="54"/>
        <v>€</v>
      </c>
      <c r="C82" s="48" t="str">
        <f t="shared" si="54"/>
        <v>歐元</v>
      </c>
      <c r="D82" s="48" t="str">
        <f t="shared" si="54"/>
        <v/>
      </c>
      <c r="E82" s="64">
        <f t="shared" si="54"/>
        <v>0.001</v>
      </c>
      <c r="F82" s="65">
        <f t="shared" ref="F82:Y82" si="55">HLOOKUP(F32,$F$1:$AI$2,2) * $D$1 * $E82</f>
        <v>0.1</v>
      </c>
      <c r="G82" s="65">
        <f t="shared" si="55"/>
        <v>0.2</v>
      </c>
      <c r="H82" s="65">
        <f t="shared" si="55"/>
        <v>0.4</v>
      </c>
      <c r="I82" s="65">
        <f t="shared" si="55"/>
        <v>0.8</v>
      </c>
      <c r="J82" s="65">
        <f t="shared" si="55"/>
        <v>1.6</v>
      </c>
      <c r="K82" s="65">
        <f t="shared" si="55"/>
        <v>2</v>
      </c>
      <c r="L82" s="65">
        <f t="shared" si="55"/>
        <v>4</v>
      </c>
      <c r="M82" s="65">
        <f t="shared" si="55"/>
        <v>5</v>
      </c>
      <c r="N82" s="65">
        <f t="shared" si="55"/>
        <v>8</v>
      </c>
      <c r="O82" s="65">
        <f t="shared" si="55"/>
        <v>10</v>
      </c>
      <c r="P82" s="65">
        <f t="shared" si="55"/>
        <v>16</v>
      </c>
      <c r="Q82" s="65">
        <f t="shared" si="55"/>
        <v>18</v>
      </c>
      <c r="R82" s="65">
        <f t="shared" si="55"/>
        <v>20</v>
      </c>
      <c r="S82" s="65">
        <f t="shared" si="55"/>
        <v>30</v>
      </c>
      <c r="T82" s="65">
        <f t="shared" si="55"/>
        <v>40</v>
      </c>
      <c r="U82" s="65">
        <f t="shared" si="55"/>
        <v>50</v>
      </c>
      <c r="V82" s="65">
        <f t="shared" si="55"/>
        <v>60</v>
      </c>
      <c r="W82" s="65">
        <f t="shared" si="55"/>
        <v>70</v>
      </c>
      <c r="X82" s="65">
        <f t="shared" si="55"/>
        <v>80</v>
      </c>
      <c r="Y82" s="65">
        <f t="shared" si="55"/>
        <v>100</v>
      </c>
      <c r="AA82" s="80"/>
    </row>
    <row r="83" ht="16.5" customHeight="1">
      <c r="A83" s="48" t="str">
        <f t="shared" ref="A83:E83" si="56">A33</f>
        <v>ARS</v>
      </c>
      <c r="B83" s="48" t="str">
        <f t="shared" si="56"/>
        <v>$</v>
      </c>
      <c r="C83" s="48" t="str">
        <f t="shared" si="56"/>
        <v>阿根廷披索</v>
      </c>
      <c r="D83" s="48" t="str">
        <f t="shared" si="56"/>
        <v/>
      </c>
      <c r="E83" s="64">
        <f t="shared" si="56"/>
        <v>0.01</v>
      </c>
      <c r="F83" s="65">
        <f t="shared" ref="F83:Y83" si="57">HLOOKUP(F33,$F$1:$AI$2,2) * $D$1 * $E83</f>
        <v>2</v>
      </c>
      <c r="G83" s="65">
        <f t="shared" si="57"/>
        <v>4</v>
      </c>
      <c r="H83" s="65">
        <f t="shared" si="57"/>
        <v>8</v>
      </c>
      <c r="I83" s="65">
        <f t="shared" si="57"/>
        <v>12</v>
      </c>
      <c r="J83" s="65">
        <f t="shared" si="57"/>
        <v>16</v>
      </c>
      <c r="K83" s="65">
        <f t="shared" si="57"/>
        <v>20</v>
      </c>
      <c r="L83" s="65">
        <f t="shared" si="57"/>
        <v>40</v>
      </c>
      <c r="M83" s="65">
        <f t="shared" si="57"/>
        <v>80</v>
      </c>
      <c r="N83" s="65">
        <f t="shared" si="57"/>
        <v>120</v>
      </c>
      <c r="O83" s="65">
        <f t="shared" si="57"/>
        <v>160</v>
      </c>
      <c r="P83" s="65">
        <f t="shared" si="57"/>
        <v>200</v>
      </c>
      <c r="Q83" s="65">
        <f t="shared" si="57"/>
        <v>300</v>
      </c>
      <c r="R83" s="65">
        <f t="shared" si="57"/>
        <v>400</v>
      </c>
      <c r="S83" s="65">
        <f t="shared" si="57"/>
        <v>500</v>
      </c>
      <c r="T83" s="65">
        <f t="shared" si="57"/>
        <v>600</v>
      </c>
      <c r="U83" s="65">
        <f t="shared" si="57"/>
        <v>800</v>
      </c>
      <c r="V83" s="65">
        <f t="shared" si="57"/>
        <v>1200</v>
      </c>
      <c r="W83" s="65">
        <f t="shared" si="57"/>
        <v>1600</v>
      </c>
      <c r="X83" s="65">
        <f t="shared" si="57"/>
        <v>2000</v>
      </c>
      <c r="Y83" s="65">
        <f t="shared" si="57"/>
        <v>2400</v>
      </c>
      <c r="AA83" s="80"/>
    </row>
    <row r="84" ht="16.5" customHeight="1">
      <c r="A84" s="48" t="str">
        <f t="shared" ref="A84:E84" si="58">A34</f>
        <v>NGN</v>
      </c>
      <c r="B84" s="48" t="str">
        <f t="shared" si="58"/>
        <v>₦</v>
      </c>
      <c r="C84" s="48" t="str">
        <f t="shared" si="58"/>
        <v>奈及利亞奈拉</v>
      </c>
      <c r="D84" s="48" t="str">
        <f t="shared" si="58"/>
        <v/>
      </c>
      <c r="E84" s="64">
        <f t="shared" si="58"/>
        <v>0.2</v>
      </c>
      <c r="F84" s="65">
        <f t="shared" ref="F84:Y84" si="59">HLOOKUP(F34,$F$1:$AI$2,2) * $D$1 * $E84</f>
        <v>40</v>
      </c>
      <c r="G84" s="65">
        <f t="shared" si="59"/>
        <v>80</v>
      </c>
      <c r="H84" s="65">
        <f t="shared" si="59"/>
        <v>160</v>
      </c>
      <c r="I84" s="65">
        <f t="shared" si="59"/>
        <v>240</v>
      </c>
      <c r="J84" s="65">
        <f t="shared" si="59"/>
        <v>320</v>
      </c>
      <c r="K84" s="65">
        <f t="shared" si="59"/>
        <v>400</v>
      </c>
      <c r="L84" s="65">
        <f t="shared" si="59"/>
        <v>800</v>
      </c>
      <c r="M84" s="65">
        <f t="shared" si="59"/>
        <v>1600</v>
      </c>
      <c r="N84" s="65">
        <f t="shared" si="59"/>
        <v>2400</v>
      </c>
      <c r="O84" s="65">
        <f t="shared" si="59"/>
        <v>3200</v>
      </c>
      <c r="P84" s="65">
        <f t="shared" si="59"/>
        <v>4000</v>
      </c>
      <c r="Q84" s="65">
        <f t="shared" si="59"/>
        <v>6000</v>
      </c>
      <c r="R84" s="65">
        <f t="shared" si="59"/>
        <v>8000</v>
      </c>
      <c r="S84" s="65">
        <f t="shared" si="59"/>
        <v>10000</v>
      </c>
      <c r="T84" s="65">
        <f t="shared" si="59"/>
        <v>12000</v>
      </c>
      <c r="U84" s="65">
        <f t="shared" si="59"/>
        <v>16000</v>
      </c>
      <c r="V84" s="65">
        <f t="shared" si="59"/>
        <v>24000</v>
      </c>
      <c r="W84" s="65">
        <f t="shared" si="59"/>
        <v>32000</v>
      </c>
      <c r="X84" s="65">
        <f t="shared" si="59"/>
        <v>40000</v>
      </c>
      <c r="Y84" s="65">
        <f t="shared" si="59"/>
        <v>48000</v>
      </c>
      <c r="AA84" s="80"/>
    </row>
    <row r="85" ht="16.5" customHeight="1">
      <c r="A85" s="48" t="str">
        <f t="shared" ref="A85:E85" si="60">A35</f>
        <v>KES</v>
      </c>
      <c r="B85" s="48" t="str">
        <f t="shared" si="60"/>
        <v>KSh</v>
      </c>
      <c r="C85" s="48" t="str">
        <f t="shared" si="60"/>
        <v>肯亞先令</v>
      </c>
      <c r="D85" s="48" t="str">
        <f t="shared" si="60"/>
        <v/>
      </c>
      <c r="E85" s="64">
        <f t="shared" si="60"/>
        <v>0.02</v>
      </c>
      <c r="F85" s="65">
        <f t="shared" ref="F85:Y85" si="61">HLOOKUP(F35,$F$1:$AI$2,2) * $D$1 * $E85</f>
        <v>4</v>
      </c>
      <c r="G85" s="65">
        <f t="shared" si="61"/>
        <v>8</v>
      </c>
      <c r="H85" s="65">
        <f t="shared" si="61"/>
        <v>16</v>
      </c>
      <c r="I85" s="65">
        <f t="shared" si="61"/>
        <v>24</v>
      </c>
      <c r="J85" s="65">
        <f t="shared" si="61"/>
        <v>32</v>
      </c>
      <c r="K85" s="65">
        <f t="shared" si="61"/>
        <v>40</v>
      </c>
      <c r="L85" s="65">
        <f t="shared" si="61"/>
        <v>80</v>
      </c>
      <c r="M85" s="65">
        <f t="shared" si="61"/>
        <v>160</v>
      </c>
      <c r="N85" s="65">
        <f t="shared" si="61"/>
        <v>240</v>
      </c>
      <c r="O85" s="65">
        <f t="shared" si="61"/>
        <v>320</v>
      </c>
      <c r="P85" s="65">
        <f t="shared" si="61"/>
        <v>400</v>
      </c>
      <c r="Q85" s="65">
        <f t="shared" si="61"/>
        <v>600</v>
      </c>
      <c r="R85" s="65">
        <f t="shared" si="61"/>
        <v>800</v>
      </c>
      <c r="S85" s="65">
        <f t="shared" si="61"/>
        <v>1000</v>
      </c>
      <c r="T85" s="65">
        <f t="shared" si="61"/>
        <v>1200</v>
      </c>
      <c r="U85" s="65">
        <f t="shared" si="61"/>
        <v>1600</v>
      </c>
      <c r="V85" s="65">
        <f t="shared" si="61"/>
        <v>2400</v>
      </c>
      <c r="W85" s="65">
        <f t="shared" si="61"/>
        <v>3200</v>
      </c>
      <c r="X85" s="65">
        <f t="shared" si="61"/>
        <v>4000</v>
      </c>
      <c r="Y85" s="65">
        <f t="shared" si="61"/>
        <v>4800</v>
      </c>
      <c r="AA85" s="80"/>
    </row>
    <row r="86" ht="16.5" customHeight="1">
      <c r="A86" s="48" t="str">
        <f t="shared" ref="A86:E86" si="62">A36</f>
        <v>ZAR</v>
      </c>
      <c r="B86" s="48" t="str">
        <f t="shared" si="62"/>
        <v>R</v>
      </c>
      <c r="C86" s="48" t="str">
        <f t="shared" si="62"/>
        <v>南非鍰</v>
      </c>
      <c r="D86" s="48" t="str">
        <f t="shared" si="62"/>
        <v/>
      </c>
      <c r="E86" s="64">
        <f t="shared" si="62"/>
        <v>0.01</v>
      </c>
      <c r="F86" s="65">
        <f t="shared" ref="F86:Y86" si="63">HLOOKUP(F36,$F$1:$AI$2,2) * $D$1 * $E86</f>
        <v>1</v>
      </c>
      <c r="G86" s="65">
        <f t="shared" si="63"/>
        <v>2</v>
      </c>
      <c r="H86" s="65">
        <f t="shared" si="63"/>
        <v>4</v>
      </c>
      <c r="I86" s="65">
        <f t="shared" si="63"/>
        <v>8</v>
      </c>
      <c r="J86" s="65">
        <f t="shared" si="63"/>
        <v>12</v>
      </c>
      <c r="K86" s="65">
        <f t="shared" si="63"/>
        <v>16</v>
      </c>
      <c r="L86" s="65">
        <f t="shared" si="63"/>
        <v>20</v>
      </c>
      <c r="M86" s="65">
        <f t="shared" si="63"/>
        <v>30</v>
      </c>
      <c r="N86" s="65">
        <f t="shared" si="63"/>
        <v>50</v>
      </c>
      <c r="O86" s="65">
        <f t="shared" si="63"/>
        <v>80</v>
      </c>
      <c r="P86" s="65">
        <f t="shared" si="63"/>
        <v>100</v>
      </c>
      <c r="Q86" s="65">
        <f t="shared" si="63"/>
        <v>120</v>
      </c>
      <c r="R86" s="65">
        <f t="shared" si="63"/>
        <v>160</v>
      </c>
      <c r="S86" s="65">
        <f t="shared" si="63"/>
        <v>200</v>
      </c>
      <c r="T86" s="65">
        <f t="shared" si="63"/>
        <v>250</v>
      </c>
      <c r="U86" s="65">
        <f t="shared" si="63"/>
        <v>300</v>
      </c>
      <c r="V86" s="65">
        <f t="shared" si="63"/>
        <v>400</v>
      </c>
      <c r="W86" s="65">
        <f t="shared" si="63"/>
        <v>500</v>
      </c>
      <c r="X86" s="65">
        <f t="shared" si="63"/>
        <v>800</v>
      </c>
      <c r="Y86" s="65">
        <f t="shared" si="63"/>
        <v>1000</v>
      </c>
      <c r="AA86" s="80"/>
    </row>
    <row r="87" ht="16.5" customHeight="1">
      <c r="A87" s="48" t="str">
        <f t="shared" ref="A87:E87" si="64">A37</f>
        <v>TRY</v>
      </c>
      <c r="B87" s="48" t="str">
        <f t="shared" si="64"/>
        <v>₺</v>
      </c>
      <c r="C87" s="48" t="str">
        <f t="shared" si="64"/>
        <v>土耳其里拉</v>
      </c>
      <c r="D87" s="48" t="str">
        <f t="shared" si="64"/>
        <v/>
      </c>
      <c r="E87" s="64">
        <f t="shared" si="64"/>
        <v>0.01</v>
      </c>
      <c r="F87" s="65">
        <f t="shared" ref="F87:Y87" si="65">HLOOKUP(F37,$F$1:$AI$2,2) * $D$1 * $E87</f>
        <v>1</v>
      </c>
      <c r="G87" s="65">
        <f t="shared" si="65"/>
        <v>2</v>
      </c>
      <c r="H87" s="65">
        <f t="shared" si="65"/>
        <v>4</v>
      </c>
      <c r="I87" s="65">
        <f t="shared" si="65"/>
        <v>8</v>
      </c>
      <c r="J87" s="65">
        <f t="shared" si="65"/>
        <v>12</v>
      </c>
      <c r="K87" s="65">
        <f t="shared" si="65"/>
        <v>16</v>
      </c>
      <c r="L87" s="65">
        <f t="shared" si="65"/>
        <v>20</v>
      </c>
      <c r="M87" s="65">
        <f t="shared" si="65"/>
        <v>30</v>
      </c>
      <c r="N87" s="65">
        <f t="shared" si="65"/>
        <v>50</v>
      </c>
      <c r="O87" s="65">
        <f t="shared" si="65"/>
        <v>80</v>
      </c>
      <c r="P87" s="65">
        <f t="shared" si="65"/>
        <v>100</v>
      </c>
      <c r="Q87" s="65">
        <f t="shared" si="65"/>
        <v>120</v>
      </c>
      <c r="R87" s="65">
        <f t="shared" si="65"/>
        <v>160</v>
      </c>
      <c r="S87" s="65">
        <f t="shared" si="65"/>
        <v>200</v>
      </c>
      <c r="T87" s="65">
        <f t="shared" si="65"/>
        <v>250</v>
      </c>
      <c r="U87" s="65">
        <f t="shared" si="65"/>
        <v>300</v>
      </c>
      <c r="V87" s="65">
        <f t="shared" si="65"/>
        <v>400</v>
      </c>
      <c r="W87" s="65">
        <f t="shared" si="65"/>
        <v>500</v>
      </c>
      <c r="X87" s="65">
        <f t="shared" si="65"/>
        <v>800</v>
      </c>
      <c r="Y87" s="65">
        <f t="shared" si="65"/>
        <v>1000</v>
      </c>
      <c r="AA87" s="80"/>
    </row>
    <row r="88" ht="16.5" customHeight="1">
      <c r="A88" s="48" t="str">
        <f t="shared" ref="A88:E88" si="66">A38</f>
        <v>GBP</v>
      </c>
      <c r="B88" s="48" t="str">
        <f t="shared" si="66"/>
        <v>£</v>
      </c>
      <c r="C88" s="48" t="str">
        <f t="shared" si="66"/>
        <v>英鎊</v>
      </c>
      <c r="D88" s="48" t="str">
        <f t="shared" si="66"/>
        <v/>
      </c>
      <c r="E88" s="64">
        <f t="shared" si="66"/>
        <v>0.001</v>
      </c>
      <c r="F88" s="65">
        <f t="shared" ref="F88:Y88" si="67">HLOOKUP(F38,$F$1:$AI$2,2) * $D$1 * $E88</f>
        <v>0.1</v>
      </c>
      <c r="G88" s="65">
        <f t="shared" si="67"/>
        <v>0.2</v>
      </c>
      <c r="H88" s="65">
        <f t="shared" si="67"/>
        <v>0.4</v>
      </c>
      <c r="I88" s="65">
        <f t="shared" si="67"/>
        <v>0.8</v>
      </c>
      <c r="J88" s="65">
        <f t="shared" si="67"/>
        <v>1.6</v>
      </c>
      <c r="K88" s="65">
        <f t="shared" si="67"/>
        <v>2</v>
      </c>
      <c r="L88" s="65">
        <f t="shared" si="67"/>
        <v>4</v>
      </c>
      <c r="M88" s="65">
        <f t="shared" si="67"/>
        <v>5</v>
      </c>
      <c r="N88" s="65">
        <f t="shared" si="67"/>
        <v>8</v>
      </c>
      <c r="O88" s="65">
        <f t="shared" si="67"/>
        <v>10</v>
      </c>
      <c r="P88" s="65">
        <f t="shared" si="67"/>
        <v>16</v>
      </c>
      <c r="Q88" s="65">
        <f t="shared" si="67"/>
        <v>18</v>
      </c>
      <c r="R88" s="65">
        <f t="shared" si="67"/>
        <v>20</v>
      </c>
      <c r="S88" s="65">
        <f t="shared" si="67"/>
        <v>30</v>
      </c>
      <c r="T88" s="65">
        <f t="shared" si="67"/>
        <v>40</v>
      </c>
      <c r="U88" s="65">
        <f t="shared" si="67"/>
        <v>50</v>
      </c>
      <c r="V88" s="65">
        <f t="shared" si="67"/>
        <v>60</v>
      </c>
      <c r="W88" s="65">
        <f t="shared" si="67"/>
        <v>70</v>
      </c>
      <c r="X88" s="65">
        <f t="shared" si="67"/>
        <v>80</v>
      </c>
      <c r="Y88" s="65">
        <f t="shared" si="67"/>
        <v>100</v>
      </c>
      <c r="AA88" s="80"/>
    </row>
    <row r="89" ht="16.5" customHeight="1">
      <c r="A89" s="48" t="str">
        <f t="shared" ref="A89:E89" si="68">A39</f>
        <v>NPR</v>
      </c>
      <c r="B89" s="48" t="str">
        <f t="shared" si="68"/>
        <v>रू</v>
      </c>
      <c r="C89" s="48" t="str">
        <f t="shared" si="68"/>
        <v>尼泊爾盧比</v>
      </c>
      <c r="D89" s="48" t="str">
        <f t="shared" si="68"/>
        <v/>
      </c>
      <c r="E89" s="64">
        <f t="shared" si="68"/>
        <v>0.02</v>
      </c>
      <c r="F89" s="65">
        <f t="shared" ref="F89:Y89" si="69">HLOOKUP(F39,$F$1:$AI$2,2) * $D$1 * $E89</f>
        <v>4</v>
      </c>
      <c r="G89" s="65">
        <f t="shared" si="69"/>
        <v>8</v>
      </c>
      <c r="H89" s="65">
        <f t="shared" si="69"/>
        <v>16</v>
      </c>
      <c r="I89" s="65">
        <f t="shared" si="69"/>
        <v>24</v>
      </c>
      <c r="J89" s="65">
        <f t="shared" si="69"/>
        <v>32</v>
      </c>
      <c r="K89" s="65">
        <f t="shared" si="69"/>
        <v>40</v>
      </c>
      <c r="L89" s="65">
        <f t="shared" si="69"/>
        <v>80</v>
      </c>
      <c r="M89" s="65">
        <f t="shared" si="69"/>
        <v>160</v>
      </c>
      <c r="N89" s="65">
        <f t="shared" si="69"/>
        <v>240</v>
      </c>
      <c r="O89" s="65">
        <f t="shared" si="69"/>
        <v>320</v>
      </c>
      <c r="P89" s="65">
        <f t="shared" si="69"/>
        <v>400</v>
      </c>
      <c r="Q89" s="65">
        <f t="shared" si="69"/>
        <v>600</v>
      </c>
      <c r="R89" s="65">
        <f t="shared" si="69"/>
        <v>800</v>
      </c>
      <c r="S89" s="65">
        <f t="shared" si="69"/>
        <v>1000</v>
      </c>
      <c r="T89" s="65">
        <f t="shared" si="69"/>
        <v>1200</v>
      </c>
      <c r="U89" s="65">
        <f t="shared" si="69"/>
        <v>1600</v>
      </c>
      <c r="V89" s="65">
        <f t="shared" si="69"/>
        <v>2400</v>
      </c>
      <c r="W89" s="65">
        <f t="shared" si="69"/>
        <v>3200</v>
      </c>
      <c r="X89" s="65">
        <f t="shared" si="69"/>
        <v>4000</v>
      </c>
      <c r="Y89" s="65">
        <f t="shared" si="69"/>
        <v>4800</v>
      </c>
      <c r="AA89" s="80"/>
    </row>
    <row r="90" ht="16.5" customHeight="1">
      <c r="A90" s="48" t="str">
        <f t="shared" ref="A90:E90" si="70">A40</f>
        <v>CHF</v>
      </c>
      <c r="B90" s="48" t="str">
        <f t="shared" si="70"/>
        <v>CHF</v>
      </c>
      <c r="C90" s="48" t="str">
        <f t="shared" si="70"/>
        <v>瑞士法郎</v>
      </c>
      <c r="D90" s="48" t="str">
        <f t="shared" si="70"/>
        <v/>
      </c>
      <c r="E90" s="64">
        <f t="shared" si="70"/>
        <v>0.001</v>
      </c>
      <c r="F90" s="65">
        <f t="shared" ref="F90:Y90" si="71">HLOOKUP(F40,$F$1:$AI$2,2) * $D$1 * $E90</f>
        <v>0.1</v>
      </c>
      <c r="G90" s="65">
        <f t="shared" si="71"/>
        <v>0.2</v>
      </c>
      <c r="H90" s="65">
        <f t="shared" si="71"/>
        <v>0.4</v>
      </c>
      <c r="I90" s="65">
        <f t="shared" si="71"/>
        <v>0.8</v>
      </c>
      <c r="J90" s="65">
        <f t="shared" si="71"/>
        <v>1.6</v>
      </c>
      <c r="K90" s="65">
        <f t="shared" si="71"/>
        <v>2</v>
      </c>
      <c r="L90" s="65">
        <f t="shared" si="71"/>
        <v>4</v>
      </c>
      <c r="M90" s="65">
        <f t="shared" si="71"/>
        <v>5</v>
      </c>
      <c r="N90" s="65">
        <f t="shared" si="71"/>
        <v>8</v>
      </c>
      <c r="O90" s="65">
        <f t="shared" si="71"/>
        <v>10</v>
      </c>
      <c r="P90" s="65">
        <f t="shared" si="71"/>
        <v>16</v>
      </c>
      <c r="Q90" s="65">
        <f t="shared" si="71"/>
        <v>18</v>
      </c>
      <c r="R90" s="65">
        <f t="shared" si="71"/>
        <v>20</v>
      </c>
      <c r="S90" s="65">
        <f t="shared" si="71"/>
        <v>30</v>
      </c>
      <c r="T90" s="65">
        <f t="shared" si="71"/>
        <v>40</v>
      </c>
      <c r="U90" s="65">
        <f t="shared" si="71"/>
        <v>50</v>
      </c>
      <c r="V90" s="65">
        <f t="shared" si="71"/>
        <v>60</v>
      </c>
      <c r="W90" s="65">
        <f t="shared" si="71"/>
        <v>70</v>
      </c>
      <c r="X90" s="65">
        <f t="shared" si="71"/>
        <v>80</v>
      </c>
      <c r="Y90" s="65">
        <f t="shared" si="71"/>
        <v>100</v>
      </c>
      <c r="AA90" s="80"/>
    </row>
    <row r="91" ht="16.5" customHeight="1">
      <c r="A91" s="48" t="str">
        <f t="shared" ref="A91:E91" si="72">A41</f>
        <v>CAD</v>
      </c>
      <c r="B91" s="48" t="str">
        <f t="shared" si="72"/>
        <v>$</v>
      </c>
      <c r="C91" s="48" t="str">
        <f t="shared" si="72"/>
        <v>加幣</v>
      </c>
      <c r="D91" s="48" t="str">
        <f t="shared" si="72"/>
        <v/>
      </c>
      <c r="E91" s="64">
        <f t="shared" si="72"/>
        <v>0.001</v>
      </c>
      <c r="F91" s="65">
        <f t="shared" ref="F91:Y91" si="73">HLOOKUP(F41,$F$1:$AI$2,2) * $D$1 * $E91</f>
        <v>0.1</v>
      </c>
      <c r="G91" s="65">
        <f t="shared" si="73"/>
        <v>0.2</v>
      </c>
      <c r="H91" s="65">
        <f t="shared" si="73"/>
        <v>0.4</v>
      </c>
      <c r="I91" s="65">
        <f t="shared" si="73"/>
        <v>0.8</v>
      </c>
      <c r="J91" s="65">
        <f t="shared" si="73"/>
        <v>1.6</v>
      </c>
      <c r="K91" s="65">
        <f t="shared" si="73"/>
        <v>2</v>
      </c>
      <c r="L91" s="65">
        <f t="shared" si="73"/>
        <v>4</v>
      </c>
      <c r="M91" s="65">
        <f t="shared" si="73"/>
        <v>5</v>
      </c>
      <c r="N91" s="65">
        <f t="shared" si="73"/>
        <v>8</v>
      </c>
      <c r="O91" s="65">
        <f t="shared" si="73"/>
        <v>10</v>
      </c>
      <c r="P91" s="65">
        <f t="shared" si="73"/>
        <v>16</v>
      </c>
      <c r="Q91" s="65">
        <f t="shared" si="73"/>
        <v>18</v>
      </c>
      <c r="R91" s="65">
        <f t="shared" si="73"/>
        <v>20</v>
      </c>
      <c r="S91" s="65">
        <f t="shared" si="73"/>
        <v>30</v>
      </c>
      <c r="T91" s="65">
        <f t="shared" si="73"/>
        <v>40</v>
      </c>
      <c r="U91" s="65">
        <f t="shared" si="73"/>
        <v>50</v>
      </c>
      <c r="V91" s="65">
        <f t="shared" si="73"/>
        <v>60</v>
      </c>
      <c r="W91" s="65">
        <f t="shared" si="73"/>
        <v>70</v>
      </c>
      <c r="X91" s="65">
        <f t="shared" si="73"/>
        <v>80</v>
      </c>
      <c r="Y91" s="65">
        <f t="shared" si="73"/>
        <v>100</v>
      </c>
      <c r="AA91" s="80"/>
    </row>
    <row r="92" ht="16.5" customHeight="1">
      <c r="A92" s="48" t="str">
        <f t="shared" ref="A92:E92" si="74">A42</f>
        <v>PEN</v>
      </c>
      <c r="B92" s="48" t="str">
        <f t="shared" si="74"/>
        <v>PEN</v>
      </c>
      <c r="C92" s="48" t="str">
        <f t="shared" si="74"/>
        <v>秘魯新索爾</v>
      </c>
      <c r="D92" s="48" t="str">
        <f t="shared" si="74"/>
        <v/>
      </c>
      <c r="E92" s="64">
        <f t="shared" si="74"/>
        <v>0.01</v>
      </c>
      <c r="F92" s="65">
        <f t="shared" ref="F92:Y92" si="75">HLOOKUP(F42,$F$1:$AI$2,2) * $D$1 * $E92</f>
        <v>1</v>
      </c>
      <c r="G92" s="65">
        <f t="shared" si="75"/>
        <v>2</v>
      </c>
      <c r="H92" s="65">
        <f t="shared" si="75"/>
        <v>4</v>
      </c>
      <c r="I92" s="65">
        <f t="shared" si="75"/>
        <v>8</v>
      </c>
      <c r="J92" s="65">
        <f t="shared" si="75"/>
        <v>12</v>
      </c>
      <c r="K92" s="65">
        <f t="shared" si="75"/>
        <v>16</v>
      </c>
      <c r="L92" s="65">
        <f t="shared" si="75"/>
        <v>20</v>
      </c>
      <c r="M92" s="65">
        <f t="shared" si="75"/>
        <v>30</v>
      </c>
      <c r="N92" s="65">
        <f t="shared" si="75"/>
        <v>40</v>
      </c>
      <c r="O92" s="65">
        <f t="shared" si="75"/>
        <v>50</v>
      </c>
      <c r="P92" s="65">
        <f t="shared" si="75"/>
        <v>80</v>
      </c>
      <c r="Q92" s="65">
        <f t="shared" si="75"/>
        <v>100</v>
      </c>
      <c r="R92" s="65">
        <f t="shared" si="75"/>
        <v>140</v>
      </c>
      <c r="S92" s="65">
        <f t="shared" si="75"/>
        <v>160</v>
      </c>
      <c r="T92" s="65">
        <f t="shared" si="75"/>
        <v>180</v>
      </c>
      <c r="U92" s="65">
        <f t="shared" si="75"/>
        <v>200</v>
      </c>
      <c r="V92" s="65">
        <f t="shared" si="75"/>
        <v>250</v>
      </c>
      <c r="W92" s="65">
        <f t="shared" si="75"/>
        <v>300</v>
      </c>
      <c r="X92" s="65">
        <f t="shared" si="75"/>
        <v>400</v>
      </c>
      <c r="Y92" s="65">
        <f t="shared" si="75"/>
        <v>500</v>
      </c>
      <c r="AA92" s="80"/>
    </row>
    <row r="93" ht="16.5" customHeight="1">
      <c r="A93" s="48" t="str">
        <f t="shared" ref="A93:E93" si="76">A43</f>
        <v>AED</v>
      </c>
      <c r="B93" s="48" t="str">
        <f t="shared" si="76"/>
        <v>AED</v>
      </c>
      <c r="C93" s="48" t="str">
        <f t="shared" si="76"/>
        <v>阿聯迪拉姆</v>
      </c>
      <c r="D93" s="48" t="str">
        <f t="shared" si="76"/>
        <v/>
      </c>
      <c r="E93" s="64">
        <f t="shared" si="76"/>
        <v>0.01</v>
      </c>
      <c r="F93" s="65">
        <f t="shared" ref="F93:Y93" si="77">HLOOKUP(F43,$F$1:$AI$2,2) * $D$1 * $E93</f>
        <v>1</v>
      </c>
      <c r="G93" s="65">
        <f t="shared" si="77"/>
        <v>2</v>
      </c>
      <c r="H93" s="65">
        <f t="shared" si="77"/>
        <v>4</v>
      </c>
      <c r="I93" s="65">
        <f t="shared" si="77"/>
        <v>8</v>
      </c>
      <c r="J93" s="65">
        <f t="shared" si="77"/>
        <v>12</v>
      </c>
      <c r="K93" s="65">
        <f t="shared" si="77"/>
        <v>16</v>
      </c>
      <c r="L93" s="65">
        <f t="shared" si="77"/>
        <v>20</v>
      </c>
      <c r="M93" s="65">
        <f t="shared" si="77"/>
        <v>30</v>
      </c>
      <c r="N93" s="65">
        <f t="shared" si="77"/>
        <v>40</v>
      </c>
      <c r="O93" s="65">
        <f t="shared" si="77"/>
        <v>50</v>
      </c>
      <c r="P93" s="65">
        <f t="shared" si="77"/>
        <v>80</v>
      </c>
      <c r="Q93" s="65">
        <f t="shared" si="77"/>
        <v>100</v>
      </c>
      <c r="R93" s="65">
        <f t="shared" si="77"/>
        <v>140</v>
      </c>
      <c r="S93" s="65">
        <f t="shared" si="77"/>
        <v>160</v>
      </c>
      <c r="T93" s="65">
        <f t="shared" si="77"/>
        <v>180</v>
      </c>
      <c r="U93" s="65">
        <f t="shared" si="77"/>
        <v>200</v>
      </c>
      <c r="V93" s="65">
        <f t="shared" si="77"/>
        <v>250</v>
      </c>
      <c r="W93" s="65">
        <f t="shared" si="77"/>
        <v>300</v>
      </c>
      <c r="X93" s="65">
        <f t="shared" si="77"/>
        <v>400</v>
      </c>
      <c r="Y93" s="65">
        <f t="shared" si="77"/>
        <v>500</v>
      </c>
      <c r="AA93" s="80"/>
    </row>
    <row r="94" ht="16.5" customHeight="1">
      <c r="A94" s="48" t="str">
        <f t="shared" ref="A94:E94" si="78">A44</f>
        <v>BND</v>
      </c>
      <c r="B94" s="48" t="str">
        <f t="shared" si="78"/>
        <v>B$</v>
      </c>
      <c r="C94" s="48" t="str">
        <f t="shared" si="78"/>
        <v>汶萊幣</v>
      </c>
      <c r="D94" s="48" t="str">
        <f t="shared" si="78"/>
        <v/>
      </c>
      <c r="E94" s="64">
        <f t="shared" si="78"/>
        <v>0.001</v>
      </c>
      <c r="F94" s="65">
        <f t="shared" ref="F94:Y94" si="79">HLOOKUP(F44,$F$1:$AI$2,2) * $D$1 * $E94</f>
        <v>0.1</v>
      </c>
      <c r="G94" s="65">
        <f t="shared" si="79"/>
        <v>0.2</v>
      </c>
      <c r="H94" s="65">
        <f t="shared" si="79"/>
        <v>0.4</v>
      </c>
      <c r="I94" s="65">
        <f t="shared" si="79"/>
        <v>0.8</v>
      </c>
      <c r="J94" s="65">
        <f t="shared" si="79"/>
        <v>1.6</v>
      </c>
      <c r="K94" s="65">
        <f t="shared" si="79"/>
        <v>2</v>
      </c>
      <c r="L94" s="65">
        <f t="shared" si="79"/>
        <v>4</v>
      </c>
      <c r="M94" s="65">
        <f t="shared" si="79"/>
        <v>5</v>
      </c>
      <c r="N94" s="65">
        <f t="shared" si="79"/>
        <v>8</v>
      </c>
      <c r="O94" s="65">
        <f t="shared" si="79"/>
        <v>10</v>
      </c>
      <c r="P94" s="65">
        <f t="shared" si="79"/>
        <v>16</v>
      </c>
      <c r="Q94" s="65">
        <f t="shared" si="79"/>
        <v>18</v>
      </c>
      <c r="R94" s="65">
        <f t="shared" si="79"/>
        <v>20</v>
      </c>
      <c r="S94" s="65">
        <f t="shared" si="79"/>
        <v>30</v>
      </c>
      <c r="T94" s="65">
        <f t="shared" si="79"/>
        <v>40</v>
      </c>
      <c r="U94" s="65">
        <f t="shared" si="79"/>
        <v>50</v>
      </c>
      <c r="V94" s="65">
        <f t="shared" si="79"/>
        <v>60</v>
      </c>
      <c r="W94" s="65">
        <f t="shared" si="79"/>
        <v>70</v>
      </c>
      <c r="X94" s="65">
        <f t="shared" si="79"/>
        <v>80</v>
      </c>
      <c r="Y94" s="65">
        <f t="shared" si="79"/>
        <v>100</v>
      </c>
      <c r="AA94" s="80"/>
    </row>
    <row r="95" ht="16.5" customHeight="1">
      <c r="A95" s="48" t="str">
        <f t="shared" ref="A95:E95" si="80">A45</f>
        <v>COP</v>
      </c>
      <c r="B95" s="48" t="str">
        <f t="shared" si="80"/>
        <v>$</v>
      </c>
      <c r="C95" s="48" t="str">
        <f t="shared" si="80"/>
        <v>哥倫比亞披索</v>
      </c>
      <c r="D95" s="48" t="str">
        <f t="shared" si="80"/>
        <v/>
      </c>
      <c r="E95" s="64">
        <f t="shared" si="80"/>
        <v>0.2</v>
      </c>
      <c r="F95" s="65">
        <f t="shared" ref="F95:Y95" si="81">HLOOKUP(F45,$F$1:$AI$2,2) * $D$1 * $E95</f>
        <v>40</v>
      </c>
      <c r="G95" s="65">
        <f t="shared" si="81"/>
        <v>80</v>
      </c>
      <c r="H95" s="65">
        <f t="shared" si="81"/>
        <v>160</v>
      </c>
      <c r="I95" s="65">
        <f t="shared" si="81"/>
        <v>240</v>
      </c>
      <c r="J95" s="65">
        <f t="shared" si="81"/>
        <v>320</v>
      </c>
      <c r="K95" s="65">
        <f t="shared" si="81"/>
        <v>400</v>
      </c>
      <c r="L95" s="65">
        <f t="shared" si="81"/>
        <v>800</v>
      </c>
      <c r="M95" s="65">
        <f t="shared" si="81"/>
        <v>1600</v>
      </c>
      <c r="N95" s="65">
        <f t="shared" si="81"/>
        <v>2400</v>
      </c>
      <c r="O95" s="65">
        <f t="shared" si="81"/>
        <v>3200</v>
      </c>
      <c r="P95" s="65">
        <f t="shared" si="81"/>
        <v>4000</v>
      </c>
      <c r="Q95" s="65">
        <f t="shared" si="81"/>
        <v>6000</v>
      </c>
      <c r="R95" s="65">
        <f t="shared" si="81"/>
        <v>8000</v>
      </c>
      <c r="S95" s="65">
        <f t="shared" si="81"/>
        <v>10000</v>
      </c>
      <c r="T95" s="65">
        <f t="shared" si="81"/>
        <v>12000</v>
      </c>
      <c r="U95" s="65">
        <f t="shared" si="81"/>
        <v>16000</v>
      </c>
      <c r="V95" s="65">
        <f t="shared" si="81"/>
        <v>24000</v>
      </c>
      <c r="W95" s="65">
        <f t="shared" si="81"/>
        <v>32000</v>
      </c>
      <c r="X95" s="65">
        <f t="shared" si="81"/>
        <v>40000</v>
      </c>
      <c r="Y95" s="65">
        <f t="shared" si="81"/>
        <v>48000</v>
      </c>
      <c r="AA95" s="80"/>
    </row>
    <row r="96" ht="16.5" customHeight="1">
      <c r="A96" s="48" t="str">
        <f t="shared" ref="A96:E96" si="82">A46</f>
        <v>VNDO</v>
      </c>
      <c r="B96" s="48" t="str">
        <f t="shared" si="82"/>
        <v>₫</v>
      </c>
      <c r="C96" s="48" t="str">
        <f t="shared" si="82"/>
        <v>越南盾</v>
      </c>
      <c r="D96" s="48" t="str">
        <f t="shared" si="82"/>
        <v/>
      </c>
      <c r="E96" s="64">
        <f t="shared" si="82"/>
        <v>0.2</v>
      </c>
      <c r="F96" s="65">
        <f t="shared" ref="F96:Y96" si="83">HLOOKUP(F46,$F$1:$AI$2,2) * $D$1 * $E96</f>
        <v>40</v>
      </c>
      <c r="G96" s="65">
        <f t="shared" si="83"/>
        <v>80</v>
      </c>
      <c r="H96" s="65">
        <f t="shared" si="83"/>
        <v>160</v>
      </c>
      <c r="I96" s="65">
        <f t="shared" si="83"/>
        <v>240</v>
      </c>
      <c r="J96" s="65">
        <f t="shared" si="83"/>
        <v>320</v>
      </c>
      <c r="K96" s="65">
        <f t="shared" si="83"/>
        <v>400</v>
      </c>
      <c r="L96" s="65">
        <f t="shared" si="83"/>
        <v>800</v>
      </c>
      <c r="M96" s="65">
        <f t="shared" si="83"/>
        <v>1600</v>
      </c>
      <c r="N96" s="65">
        <f t="shared" si="83"/>
        <v>2400</v>
      </c>
      <c r="O96" s="65">
        <f t="shared" si="83"/>
        <v>3200</v>
      </c>
      <c r="P96" s="65">
        <f t="shared" si="83"/>
        <v>4000</v>
      </c>
      <c r="Q96" s="65">
        <f t="shared" si="83"/>
        <v>6000</v>
      </c>
      <c r="R96" s="65">
        <f t="shared" si="83"/>
        <v>8000</v>
      </c>
      <c r="S96" s="65">
        <f t="shared" si="83"/>
        <v>10000</v>
      </c>
      <c r="T96" s="65">
        <f t="shared" si="83"/>
        <v>12000</v>
      </c>
      <c r="U96" s="65">
        <f t="shared" si="83"/>
        <v>16000</v>
      </c>
      <c r="V96" s="65">
        <f t="shared" si="83"/>
        <v>24000</v>
      </c>
      <c r="W96" s="65">
        <f t="shared" si="83"/>
        <v>32000</v>
      </c>
      <c r="X96" s="65">
        <f t="shared" si="83"/>
        <v>40000</v>
      </c>
      <c r="Y96" s="65">
        <f t="shared" si="83"/>
        <v>48000</v>
      </c>
      <c r="AA96" s="80"/>
    </row>
    <row r="97" ht="16.5" customHeight="1">
      <c r="A97" s="48" t="str">
        <f t="shared" ref="A97:E97" si="84">A47</f>
        <v>MYRC</v>
      </c>
      <c r="B97" s="48" t="str">
        <f t="shared" si="84"/>
        <v>RM</v>
      </c>
      <c r="C97" s="48" t="str">
        <f t="shared" si="84"/>
        <v>馬來西亞令吉</v>
      </c>
      <c r="D97" s="48">
        <f t="shared" si="84"/>
        <v>0.01</v>
      </c>
      <c r="E97" s="64">
        <f t="shared" si="84"/>
        <v>0.01</v>
      </c>
      <c r="F97" s="65">
        <f t="shared" ref="F97:Y97" si="85">HLOOKUP(F47,$F$1:$AI$2,2) * $D$1 * $E97</f>
        <v>2</v>
      </c>
      <c r="G97" s="65">
        <f t="shared" si="85"/>
        <v>4</v>
      </c>
      <c r="H97" s="65">
        <f t="shared" si="85"/>
        <v>8</v>
      </c>
      <c r="I97" s="65">
        <f t="shared" si="85"/>
        <v>12</v>
      </c>
      <c r="J97" s="65">
        <f t="shared" si="85"/>
        <v>16</v>
      </c>
      <c r="K97" s="65">
        <f t="shared" si="85"/>
        <v>20</v>
      </c>
      <c r="L97" s="65">
        <f t="shared" si="85"/>
        <v>40</v>
      </c>
      <c r="M97" s="65">
        <f t="shared" si="85"/>
        <v>80</v>
      </c>
      <c r="N97" s="65">
        <f t="shared" si="85"/>
        <v>120</v>
      </c>
      <c r="O97" s="65">
        <f t="shared" si="85"/>
        <v>160</v>
      </c>
      <c r="P97" s="65">
        <f t="shared" si="85"/>
        <v>200</v>
      </c>
      <c r="Q97" s="65">
        <f t="shared" si="85"/>
        <v>300</v>
      </c>
      <c r="R97" s="65">
        <f t="shared" si="85"/>
        <v>400</v>
      </c>
      <c r="S97" s="65">
        <f t="shared" si="85"/>
        <v>500</v>
      </c>
      <c r="T97" s="65">
        <f t="shared" si="85"/>
        <v>600</v>
      </c>
      <c r="U97" s="65">
        <f t="shared" si="85"/>
        <v>800</v>
      </c>
      <c r="V97" s="65">
        <f t="shared" si="85"/>
        <v>1200</v>
      </c>
      <c r="W97" s="65">
        <f t="shared" si="85"/>
        <v>1600</v>
      </c>
      <c r="X97" s="65">
        <f t="shared" si="85"/>
        <v>2000</v>
      </c>
      <c r="Y97" s="65">
        <f t="shared" si="85"/>
        <v>2400</v>
      </c>
      <c r="AA97" s="81"/>
    </row>
    <row r="98" ht="16.5" customHeight="1">
      <c r="A98" s="48" t="str">
        <f t="shared" ref="A98:E98" si="86">A48</f>
        <v>XSD</v>
      </c>
      <c r="B98" s="48" t="str">
        <f t="shared" si="86"/>
        <v/>
      </c>
      <c r="C98" s="48" t="str">
        <f t="shared" si="86"/>
        <v>星幣</v>
      </c>
      <c r="D98" s="48" t="str">
        <f t="shared" si="86"/>
        <v/>
      </c>
      <c r="E98" s="64">
        <f t="shared" si="86"/>
        <v>1</v>
      </c>
      <c r="F98" s="65">
        <f t="shared" ref="F98:Y98" si="87">HLOOKUP(F48,$F$1:$AI$2,2) * $D$1 * $E98</f>
        <v>100</v>
      </c>
      <c r="G98" s="65">
        <f t="shared" si="87"/>
        <v>200</v>
      </c>
      <c r="H98" s="65">
        <f t="shared" si="87"/>
        <v>400</v>
      </c>
      <c r="I98" s="65">
        <f t="shared" si="87"/>
        <v>800</v>
      </c>
      <c r="J98" s="65">
        <f t="shared" si="87"/>
        <v>1200</v>
      </c>
      <c r="K98" s="65">
        <f t="shared" si="87"/>
        <v>1600</v>
      </c>
      <c r="L98" s="65">
        <f t="shared" si="87"/>
        <v>2000</v>
      </c>
      <c r="M98" s="65">
        <f t="shared" si="87"/>
        <v>3000</v>
      </c>
      <c r="N98" s="65">
        <f t="shared" si="87"/>
        <v>4000</v>
      </c>
      <c r="O98" s="65">
        <f t="shared" si="87"/>
        <v>5000</v>
      </c>
      <c r="P98" s="65">
        <f t="shared" si="87"/>
        <v>8000</v>
      </c>
      <c r="Q98" s="65">
        <f t="shared" si="87"/>
        <v>10000</v>
      </c>
      <c r="R98" s="65">
        <f t="shared" si="87"/>
        <v>14000</v>
      </c>
      <c r="S98" s="65">
        <f t="shared" si="87"/>
        <v>16000</v>
      </c>
      <c r="T98" s="65">
        <f t="shared" si="87"/>
        <v>18000</v>
      </c>
      <c r="U98" s="65">
        <f t="shared" si="87"/>
        <v>20000</v>
      </c>
      <c r="V98" s="65">
        <f t="shared" si="87"/>
        <v>25000</v>
      </c>
      <c r="W98" s="65">
        <f t="shared" si="87"/>
        <v>30000</v>
      </c>
      <c r="X98" s="65">
        <f t="shared" si="87"/>
        <v>40000</v>
      </c>
      <c r="Y98" s="65">
        <f t="shared" si="87"/>
        <v>50000</v>
      </c>
    </row>
    <row r="99" ht="16.5" customHeight="1">
      <c r="A99" s="48" t="str">
        <f t="shared" ref="A99:E99" si="88">A49</f>
        <v>DZD</v>
      </c>
      <c r="B99" s="48" t="str">
        <f t="shared" si="88"/>
        <v>دج</v>
      </c>
      <c r="C99" s="48" t="str">
        <f t="shared" si="88"/>
        <v>阿爾及利亞第納爾</v>
      </c>
      <c r="D99" s="48" t="str">
        <f t="shared" si="88"/>
        <v/>
      </c>
      <c r="E99" s="64">
        <f t="shared" si="88"/>
        <v>0.01</v>
      </c>
      <c r="F99" s="65">
        <f t="shared" ref="F99:Y99" si="89">HLOOKUP(F49,$F$1:$AI$2,2) * $D$1 * $E99</f>
        <v>2</v>
      </c>
      <c r="G99" s="65">
        <f t="shared" si="89"/>
        <v>4</v>
      </c>
      <c r="H99" s="65">
        <f t="shared" si="89"/>
        <v>8</v>
      </c>
      <c r="I99" s="65">
        <f t="shared" si="89"/>
        <v>12</v>
      </c>
      <c r="J99" s="65">
        <f t="shared" si="89"/>
        <v>16</v>
      </c>
      <c r="K99" s="65">
        <f t="shared" si="89"/>
        <v>20</v>
      </c>
      <c r="L99" s="65">
        <f t="shared" si="89"/>
        <v>40</v>
      </c>
      <c r="M99" s="65">
        <f t="shared" si="89"/>
        <v>80</v>
      </c>
      <c r="N99" s="65">
        <f t="shared" si="89"/>
        <v>120</v>
      </c>
      <c r="O99" s="65">
        <f t="shared" si="89"/>
        <v>160</v>
      </c>
      <c r="P99" s="65">
        <f t="shared" si="89"/>
        <v>200</v>
      </c>
      <c r="Q99" s="65">
        <f t="shared" si="89"/>
        <v>300</v>
      </c>
      <c r="R99" s="65">
        <f t="shared" si="89"/>
        <v>400</v>
      </c>
      <c r="S99" s="65">
        <f t="shared" si="89"/>
        <v>500</v>
      </c>
      <c r="T99" s="65">
        <f t="shared" si="89"/>
        <v>600</v>
      </c>
      <c r="U99" s="65">
        <f t="shared" si="89"/>
        <v>800</v>
      </c>
      <c r="V99" s="65">
        <f t="shared" si="89"/>
        <v>1200</v>
      </c>
      <c r="W99" s="65">
        <f t="shared" si="89"/>
        <v>1600</v>
      </c>
      <c r="X99" s="65">
        <f t="shared" si="89"/>
        <v>2000</v>
      </c>
      <c r="Y99" s="65">
        <f t="shared" si="89"/>
        <v>2400</v>
      </c>
    </row>
    <row r="100" ht="16.5" customHeight="1">
      <c r="A100" s="48" t="str">
        <f t="shared" ref="A100:E100" si="90">A50</f>
        <v>MAD</v>
      </c>
      <c r="B100" s="48" t="str">
        <f t="shared" si="90"/>
        <v>DH</v>
      </c>
      <c r="C100" s="48" t="str">
        <f t="shared" si="90"/>
        <v>摩洛哥迪拉姆</v>
      </c>
      <c r="D100" s="48" t="str">
        <f t="shared" si="90"/>
        <v/>
      </c>
      <c r="E100" s="64">
        <f t="shared" si="90"/>
        <v>0.01</v>
      </c>
      <c r="F100" s="65">
        <f t="shared" ref="F100:Y100" si="91">HLOOKUP(F50,$F$1:$AI$2,2) * $D$1 * $E100</f>
        <v>1</v>
      </c>
      <c r="G100" s="65">
        <f t="shared" si="91"/>
        <v>2</v>
      </c>
      <c r="H100" s="65">
        <f t="shared" si="91"/>
        <v>4</v>
      </c>
      <c r="I100" s="65">
        <f t="shared" si="91"/>
        <v>8</v>
      </c>
      <c r="J100" s="65">
        <f t="shared" si="91"/>
        <v>12</v>
      </c>
      <c r="K100" s="65">
        <f t="shared" si="91"/>
        <v>16</v>
      </c>
      <c r="L100" s="65">
        <f t="shared" si="91"/>
        <v>20</v>
      </c>
      <c r="M100" s="65">
        <f t="shared" si="91"/>
        <v>30</v>
      </c>
      <c r="N100" s="65">
        <f t="shared" si="91"/>
        <v>40</v>
      </c>
      <c r="O100" s="65">
        <f t="shared" si="91"/>
        <v>50</v>
      </c>
      <c r="P100" s="65">
        <f t="shared" si="91"/>
        <v>80</v>
      </c>
      <c r="Q100" s="65">
        <f t="shared" si="91"/>
        <v>100</v>
      </c>
      <c r="R100" s="65">
        <f t="shared" si="91"/>
        <v>140</v>
      </c>
      <c r="S100" s="65">
        <f t="shared" si="91"/>
        <v>160</v>
      </c>
      <c r="T100" s="65">
        <f t="shared" si="91"/>
        <v>180</v>
      </c>
      <c r="U100" s="65">
        <f t="shared" si="91"/>
        <v>200</v>
      </c>
      <c r="V100" s="65">
        <f t="shared" si="91"/>
        <v>250</v>
      </c>
      <c r="W100" s="65">
        <f t="shared" si="91"/>
        <v>300</v>
      </c>
      <c r="X100" s="65">
        <f t="shared" si="91"/>
        <v>400</v>
      </c>
      <c r="Y100" s="65">
        <f t="shared" si="91"/>
        <v>500</v>
      </c>
    </row>
    <row r="101" ht="16.5" customHeight="1">
      <c r="A101" s="48" t="str">
        <f t="shared" ref="A101:E101" si="92">A51</f>
        <v>FRF</v>
      </c>
      <c r="B101" s="48" t="str">
        <f t="shared" si="92"/>
        <v>₣</v>
      </c>
      <c r="C101" s="48" t="str">
        <f t="shared" si="92"/>
        <v>法國法郎</v>
      </c>
      <c r="D101" s="48" t="str">
        <f t="shared" si="92"/>
        <v/>
      </c>
      <c r="E101" s="64">
        <f t="shared" si="92"/>
        <v>0.01</v>
      </c>
      <c r="F101" s="65">
        <f t="shared" ref="F101:Y101" si="93">HLOOKUP(F51,$F$1:$AI$2,2) * $D$1 * $E101</f>
        <v>1</v>
      </c>
      <c r="G101" s="65">
        <f t="shared" si="93"/>
        <v>2</v>
      </c>
      <c r="H101" s="65">
        <f t="shared" si="93"/>
        <v>4</v>
      </c>
      <c r="I101" s="65">
        <f t="shared" si="93"/>
        <v>8</v>
      </c>
      <c r="J101" s="65">
        <f t="shared" si="93"/>
        <v>12</v>
      </c>
      <c r="K101" s="65">
        <f t="shared" si="93"/>
        <v>16</v>
      </c>
      <c r="L101" s="65">
        <f t="shared" si="93"/>
        <v>20</v>
      </c>
      <c r="M101" s="65">
        <f t="shared" si="93"/>
        <v>30</v>
      </c>
      <c r="N101" s="65">
        <f t="shared" si="93"/>
        <v>40</v>
      </c>
      <c r="O101" s="65">
        <f t="shared" si="93"/>
        <v>50</v>
      </c>
      <c r="P101" s="65">
        <f t="shared" si="93"/>
        <v>80</v>
      </c>
      <c r="Q101" s="65">
        <f t="shared" si="93"/>
        <v>100</v>
      </c>
      <c r="R101" s="65">
        <f t="shared" si="93"/>
        <v>140</v>
      </c>
      <c r="S101" s="65">
        <f t="shared" si="93"/>
        <v>160</v>
      </c>
      <c r="T101" s="65">
        <f t="shared" si="93"/>
        <v>180</v>
      </c>
      <c r="U101" s="65">
        <f t="shared" si="93"/>
        <v>200</v>
      </c>
      <c r="V101" s="65">
        <f t="shared" si="93"/>
        <v>250</v>
      </c>
      <c r="W101" s="65">
        <f t="shared" si="93"/>
        <v>300</v>
      </c>
      <c r="X101" s="65">
        <f t="shared" si="93"/>
        <v>400</v>
      </c>
      <c r="Y101" s="65">
        <f t="shared" si="93"/>
        <v>500</v>
      </c>
    </row>
    <row r="102" ht="16.5" customHeight="1">
      <c r="A102" s="48" t="str">
        <f t="shared" ref="A102:E102" si="94">A52</f>
        <v>GHS</v>
      </c>
      <c r="B102" s="48" t="str">
        <f t="shared" si="94"/>
        <v>Gp</v>
      </c>
      <c r="C102" s="48" t="str">
        <f t="shared" si="94"/>
        <v>迦納塞地</v>
      </c>
      <c r="D102" s="48" t="str">
        <f t="shared" si="94"/>
        <v/>
      </c>
      <c r="E102" s="64">
        <f t="shared" si="94"/>
        <v>0.01</v>
      </c>
      <c r="F102" s="65">
        <f t="shared" ref="F102:Y102" si="95">HLOOKUP(F52,$F$1:$AI$2,2) * $D$1 * $E102</f>
        <v>1</v>
      </c>
      <c r="G102" s="65">
        <f t="shared" si="95"/>
        <v>2</v>
      </c>
      <c r="H102" s="65">
        <f t="shared" si="95"/>
        <v>4</v>
      </c>
      <c r="I102" s="65">
        <f t="shared" si="95"/>
        <v>8</v>
      </c>
      <c r="J102" s="65">
        <f t="shared" si="95"/>
        <v>12</v>
      </c>
      <c r="K102" s="65">
        <f t="shared" si="95"/>
        <v>16</v>
      </c>
      <c r="L102" s="65">
        <f t="shared" si="95"/>
        <v>20</v>
      </c>
      <c r="M102" s="65">
        <f t="shared" si="95"/>
        <v>30</v>
      </c>
      <c r="N102" s="65">
        <f t="shared" si="95"/>
        <v>40</v>
      </c>
      <c r="O102" s="65">
        <f t="shared" si="95"/>
        <v>50</v>
      </c>
      <c r="P102" s="65">
        <f t="shared" si="95"/>
        <v>80</v>
      </c>
      <c r="Q102" s="65">
        <f t="shared" si="95"/>
        <v>100</v>
      </c>
      <c r="R102" s="65">
        <f t="shared" si="95"/>
        <v>140</v>
      </c>
      <c r="S102" s="65">
        <f t="shared" si="95"/>
        <v>160</v>
      </c>
      <c r="T102" s="65">
        <f t="shared" si="95"/>
        <v>180</v>
      </c>
      <c r="U102" s="65">
        <f t="shared" si="95"/>
        <v>200</v>
      </c>
      <c r="V102" s="65">
        <f t="shared" si="95"/>
        <v>250</v>
      </c>
      <c r="W102" s="65">
        <f t="shared" si="95"/>
        <v>300</v>
      </c>
      <c r="X102" s="65">
        <f t="shared" si="95"/>
        <v>400</v>
      </c>
      <c r="Y102" s="65">
        <f t="shared" si="95"/>
        <v>500</v>
      </c>
    </row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16.5" customHeight="1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mergeCells count="9">
    <mergeCell ref="AA5:AA47"/>
    <mergeCell ref="AA55:AA97"/>
    <mergeCell ref="A1:A2"/>
    <mergeCell ref="B1:B2"/>
    <mergeCell ref="C1:C2"/>
    <mergeCell ref="D1:D2"/>
    <mergeCell ref="E1:E2"/>
    <mergeCell ref="A4:AA4"/>
    <mergeCell ref="A54:AA5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6.33"/>
    <col customWidth="1" min="7" max="14" width="7.22"/>
    <col customWidth="1" min="15" max="19" width="8.0"/>
    <col customWidth="1" min="20" max="24" width="8.78"/>
    <col customWidth="1" min="25" max="25" width="9.67"/>
    <col customWidth="1" min="26" max="26" width="6.44"/>
    <col customWidth="1" min="27" max="27" width="13.44"/>
    <col customWidth="1" min="28" max="35" width="6.44"/>
  </cols>
  <sheetData>
    <row r="1" ht="16.5" customHeight="1">
      <c r="A1" s="30"/>
      <c r="B1" s="31"/>
      <c r="C1" s="32" t="s">
        <v>43</v>
      </c>
      <c r="D1" s="33">
        <v>150.0</v>
      </c>
      <c r="E1" s="32" t="s">
        <v>44</v>
      </c>
      <c r="F1" s="34">
        <v>1.0</v>
      </c>
      <c r="G1" s="34">
        <v>2.0</v>
      </c>
      <c r="H1" s="34">
        <v>3.0</v>
      </c>
      <c r="I1" s="34">
        <v>4.0</v>
      </c>
      <c r="J1" s="34">
        <v>5.0</v>
      </c>
      <c r="K1" s="34">
        <v>6.0</v>
      </c>
      <c r="L1" s="34">
        <v>7.0</v>
      </c>
      <c r="M1" s="34">
        <v>8.0</v>
      </c>
      <c r="N1" s="34">
        <v>9.0</v>
      </c>
      <c r="O1" s="34">
        <v>10.0</v>
      </c>
      <c r="P1" s="34">
        <v>11.0</v>
      </c>
      <c r="Q1" s="34">
        <v>12.0</v>
      </c>
      <c r="R1" s="34">
        <v>13.0</v>
      </c>
      <c r="S1" s="34">
        <v>14.0</v>
      </c>
      <c r="T1" s="34">
        <v>15.0</v>
      </c>
      <c r="U1" s="34">
        <v>16.0</v>
      </c>
      <c r="V1" s="34">
        <v>17.0</v>
      </c>
      <c r="W1" s="34">
        <v>18.0</v>
      </c>
      <c r="X1" s="34">
        <v>19.0</v>
      </c>
      <c r="Y1" s="34">
        <v>20.0</v>
      </c>
      <c r="Z1" s="34">
        <v>21.0</v>
      </c>
      <c r="AA1" s="34">
        <v>22.0</v>
      </c>
      <c r="AB1" s="34">
        <v>23.0</v>
      </c>
      <c r="AC1" s="34">
        <v>24.0</v>
      </c>
      <c r="AD1" s="34">
        <v>25.0</v>
      </c>
      <c r="AE1" s="34">
        <v>26.0</v>
      </c>
      <c r="AF1" s="34">
        <v>27.0</v>
      </c>
      <c r="AG1" s="34">
        <v>28.0</v>
      </c>
      <c r="AH1" s="34">
        <v>29.0</v>
      </c>
      <c r="AI1" s="34">
        <v>30.0</v>
      </c>
    </row>
    <row r="2" ht="16.5" customHeight="1">
      <c r="A2" s="35"/>
      <c r="B2" s="36"/>
      <c r="C2" s="36"/>
      <c r="D2" s="36"/>
      <c r="E2" s="36"/>
      <c r="F2" s="37">
        <v>1.0</v>
      </c>
      <c r="G2" s="37">
        <v>2.0</v>
      </c>
      <c r="H2" s="37">
        <v>4.0</v>
      </c>
      <c r="I2" s="37">
        <v>6.0</v>
      </c>
      <c r="J2" s="37">
        <v>8.0</v>
      </c>
      <c r="K2" s="37">
        <v>12.0</v>
      </c>
      <c r="L2" s="37">
        <v>20.0</v>
      </c>
      <c r="M2" s="37">
        <v>30.0</v>
      </c>
      <c r="N2" s="37">
        <v>40.0</v>
      </c>
      <c r="O2" s="37">
        <v>50.0</v>
      </c>
      <c r="P2" s="37">
        <v>60.0</v>
      </c>
      <c r="Q2" s="37">
        <v>70.0</v>
      </c>
      <c r="R2" s="37">
        <v>80.0</v>
      </c>
      <c r="S2" s="37">
        <v>90.0</v>
      </c>
      <c r="T2" s="37">
        <v>100.0</v>
      </c>
      <c r="U2" s="37">
        <v>120.0</v>
      </c>
      <c r="V2" s="37">
        <v>140.0</v>
      </c>
      <c r="W2" s="37">
        <v>160.0</v>
      </c>
      <c r="X2" s="37">
        <v>180.0</v>
      </c>
      <c r="Y2" s="37">
        <v>200.0</v>
      </c>
      <c r="Z2" s="37">
        <v>240.0</v>
      </c>
      <c r="AA2" s="37">
        <v>280.0</v>
      </c>
      <c r="AB2" s="37">
        <v>320.0</v>
      </c>
      <c r="AC2" s="37">
        <v>360.0</v>
      </c>
      <c r="AD2" s="37">
        <v>400.0</v>
      </c>
      <c r="AE2" s="37">
        <v>440.0</v>
      </c>
      <c r="AF2" s="37">
        <v>480.0</v>
      </c>
      <c r="AG2" s="37">
        <v>520.0</v>
      </c>
      <c r="AH2" s="38">
        <v>560.0</v>
      </c>
      <c r="AI2" s="38">
        <v>600.0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ht="16.5" customHeight="1">
      <c r="A5" s="74" t="s">
        <v>45</v>
      </c>
      <c r="B5" s="50" t="s">
        <v>46</v>
      </c>
      <c r="C5" s="50" t="s">
        <v>47</v>
      </c>
      <c r="D5" s="50" t="s">
        <v>48</v>
      </c>
      <c r="E5" s="5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Z5" s="45"/>
      <c r="AA5" s="46" t="s">
        <v>70</v>
      </c>
    </row>
    <row r="6" ht="16.5" customHeight="1">
      <c r="A6" s="48" t="str">
        <f>'試算-SLOT'!A6</f>
        <v>THB</v>
      </c>
      <c r="B6" s="48" t="str">
        <f>'試算-SLOT'!B6</f>
        <v>฿</v>
      </c>
      <c r="C6" s="48" t="str">
        <f>'試算-SLOT'!C6</f>
        <v>泰銖</v>
      </c>
      <c r="D6" s="48" t="str">
        <f>IF('試算-SLOT'!D6=1,"",'試算-SLOT'!D6)</f>
        <v/>
      </c>
      <c r="E6" s="64">
        <v>0.01</v>
      </c>
      <c r="F6" s="75">
        <v>1.0</v>
      </c>
      <c r="G6" s="75">
        <v>2.0</v>
      </c>
      <c r="H6" s="75">
        <v>3.0</v>
      </c>
      <c r="I6" s="75">
        <v>4.0</v>
      </c>
      <c r="J6" s="75">
        <v>5.0</v>
      </c>
      <c r="K6" s="75">
        <v>6.0</v>
      </c>
      <c r="L6" s="75">
        <v>7.0</v>
      </c>
      <c r="M6" s="75">
        <v>8.0</v>
      </c>
      <c r="N6" s="75">
        <v>9.0</v>
      </c>
      <c r="O6" s="75">
        <v>10.0</v>
      </c>
      <c r="P6" s="75">
        <v>11.0</v>
      </c>
      <c r="Q6" s="75">
        <v>13.0</v>
      </c>
      <c r="R6" s="75">
        <v>15.0</v>
      </c>
      <c r="S6" s="75">
        <v>16.0</v>
      </c>
      <c r="T6" s="75">
        <v>17.0</v>
      </c>
      <c r="U6" s="75">
        <v>18.0</v>
      </c>
      <c r="V6" s="75">
        <v>20.0</v>
      </c>
      <c r="W6" s="75">
        <v>21.0</v>
      </c>
      <c r="X6" s="75">
        <v>23.0</v>
      </c>
      <c r="Y6" s="75">
        <v>25.0</v>
      </c>
      <c r="Z6" s="76"/>
      <c r="AA6" s="52"/>
    </row>
    <row r="7" ht="16.5" customHeight="1">
      <c r="A7" s="48" t="str">
        <f>'試算-SLOT'!A7</f>
        <v>HKD</v>
      </c>
      <c r="B7" s="48" t="str">
        <f>'試算-SLOT'!B7</f>
        <v>HK$</v>
      </c>
      <c r="C7" s="48" t="str">
        <f>'試算-SLOT'!C7</f>
        <v>港幣</v>
      </c>
      <c r="D7" s="48" t="str">
        <f>IF('試算-SLOT'!D7=1,"",'試算-SLOT'!D7)</f>
        <v/>
      </c>
      <c r="E7" s="64">
        <v>0.01</v>
      </c>
      <c r="F7" s="75">
        <v>1.0</v>
      </c>
      <c r="G7" s="75">
        <v>2.0</v>
      </c>
      <c r="H7" s="75">
        <v>3.0</v>
      </c>
      <c r="I7" s="75">
        <v>4.0</v>
      </c>
      <c r="J7" s="75">
        <v>5.0</v>
      </c>
      <c r="K7" s="75">
        <v>6.0</v>
      </c>
      <c r="L7" s="75">
        <v>7.0</v>
      </c>
      <c r="M7" s="75">
        <v>8.0</v>
      </c>
      <c r="N7" s="75">
        <v>9.0</v>
      </c>
      <c r="O7" s="75">
        <v>10.0</v>
      </c>
      <c r="P7" s="75">
        <v>11.0</v>
      </c>
      <c r="Q7" s="75">
        <v>13.0</v>
      </c>
      <c r="R7" s="75">
        <v>15.0</v>
      </c>
      <c r="S7" s="75">
        <v>16.0</v>
      </c>
      <c r="T7" s="75">
        <v>17.0</v>
      </c>
      <c r="U7" s="75">
        <v>18.0</v>
      </c>
      <c r="V7" s="75">
        <v>20.0</v>
      </c>
      <c r="W7" s="75">
        <v>21.0</v>
      </c>
      <c r="X7" s="75">
        <v>23.0</v>
      </c>
      <c r="Y7" s="75">
        <v>25.0</v>
      </c>
      <c r="Z7" s="76"/>
      <c r="AA7" s="52"/>
    </row>
    <row r="8" ht="16.5" customHeight="1">
      <c r="A8" s="48" t="str">
        <f>'試算-SLOT'!A8</f>
        <v>INR</v>
      </c>
      <c r="B8" s="48" t="str">
        <f>'試算-SLOT'!B8</f>
        <v>₹</v>
      </c>
      <c r="C8" s="48" t="str">
        <f>'試算-SLOT'!C8</f>
        <v>印度盧比</v>
      </c>
      <c r="D8" s="48" t="str">
        <f>IF('試算-SLOT'!D8=1,"",'試算-SLOT'!D8)</f>
        <v/>
      </c>
      <c r="E8" s="64">
        <v>0.01</v>
      </c>
      <c r="F8" s="75">
        <v>1.0</v>
      </c>
      <c r="G8" s="75">
        <v>2.0</v>
      </c>
      <c r="H8" s="75">
        <v>3.0</v>
      </c>
      <c r="I8" s="75">
        <v>4.0</v>
      </c>
      <c r="J8" s="75">
        <v>5.0</v>
      </c>
      <c r="K8" s="75">
        <v>6.0</v>
      </c>
      <c r="L8" s="75">
        <v>7.0</v>
      </c>
      <c r="M8" s="75">
        <v>8.0</v>
      </c>
      <c r="N8" s="75">
        <v>9.0</v>
      </c>
      <c r="O8" s="75">
        <v>10.0</v>
      </c>
      <c r="P8" s="75">
        <v>11.0</v>
      </c>
      <c r="Q8" s="75">
        <v>13.0</v>
      </c>
      <c r="R8" s="75">
        <v>15.0</v>
      </c>
      <c r="S8" s="75">
        <v>16.0</v>
      </c>
      <c r="T8" s="75">
        <v>17.0</v>
      </c>
      <c r="U8" s="75">
        <v>18.0</v>
      </c>
      <c r="V8" s="75">
        <v>20.0</v>
      </c>
      <c r="W8" s="75">
        <v>21.0</v>
      </c>
      <c r="X8" s="75">
        <v>23.0</v>
      </c>
      <c r="Y8" s="75">
        <v>25.0</v>
      </c>
      <c r="Z8" s="76"/>
      <c r="AA8" s="52"/>
    </row>
    <row r="9" ht="16.5" customHeight="1">
      <c r="A9" s="48" t="str">
        <f>'試算-SLOT'!A9</f>
        <v>IDR</v>
      </c>
      <c r="B9" s="48" t="str">
        <f>'試算-SLOT'!B9</f>
        <v>Rp</v>
      </c>
      <c r="C9" s="48" t="str">
        <f>'試算-SLOT'!C9</f>
        <v>印尼盧比(K)</v>
      </c>
      <c r="D9" s="48">
        <f>IF('試算-SLOT'!D9=1,"",'試算-SLOT'!D9)</f>
        <v>1000</v>
      </c>
      <c r="E9" s="64">
        <v>0.01</v>
      </c>
      <c r="F9" s="75">
        <v>1.0</v>
      </c>
      <c r="G9" s="75">
        <v>2.0</v>
      </c>
      <c r="H9" s="75">
        <v>3.0</v>
      </c>
      <c r="I9" s="75">
        <v>4.0</v>
      </c>
      <c r="J9" s="75">
        <v>5.0</v>
      </c>
      <c r="K9" s="75">
        <v>6.0</v>
      </c>
      <c r="L9" s="75">
        <v>7.0</v>
      </c>
      <c r="M9" s="75">
        <v>8.0</v>
      </c>
      <c r="N9" s="75">
        <v>9.0</v>
      </c>
      <c r="O9" s="75">
        <v>10.0</v>
      </c>
      <c r="P9" s="75">
        <v>11.0</v>
      </c>
      <c r="Q9" s="75">
        <v>13.0</v>
      </c>
      <c r="R9" s="75">
        <v>15.0</v>
      </c>
      <c r="S9" s="75">
        <v>16.0</v>
      </c>
      <c r="T9" s="75">
        <v>17.0</v>
      </c>
      <c r="U9" s="75">
        <v>18.0</v>
      </c>
      <c r="V9" s="75">
        <v>20.0</v>
      </c>
      <c r="W9" s="75">
        <v>21.0</v>
      </c>
      <c r="X9" s="75">
        <v>23.0</v>
      </c>
      <c r="Y9" s="75">
        <v>25.0</v>
      </c>
      <c r="Z9" s="76"/>
      <c r="AA9" s="52"/>
    </row>
    <row r="10" ht="16.5" customHeight="1">
      <c r="A10" s="48" t="str">
        <f>'試算-SLOT'!A10</f>
        <v>VND</v>
      </c>
      <c r="B10" s="48" t="str">
        <f>'試算-SLOT'!B10</f>
        <v>₫</v>
      </c>
      <c r="C10" s="48" t="str">
        <f>'試算-SLOT'!C10</f>
        <v>越南盾(K)</v>
      </c>
      <c r="D10" s="48">
        <f>IF('試算-SLOT'!D10=1,"",'試算-SLOT'!D10)</f>
        <v>1000</v>
      </c>
      <c r="E10" s="64">
        <v>0.01</v>
      </c>
      <c r="F10" s="75">
        <v>1.0</v>
      </c>
      <c r="G10" s="75">
        <v>2.0</v>
      </c>
      <c r="H10" s="75">
        <v>3.0</v>
      </c>
      <c r="I10" s="75">
        <v>4.0</v>
      </c>
      <c r="J10" s="75">
        <v>5.0</v>
      </c>
      <c r="K10" s="75">
        <v>6.0</v>
      </c>
      <c r="L10" s="75">
        <v>7.0</v>
      </c>
      <c r="M10" s="75">
        <v>8.0</v>
      </c>
      <c r="N10" s="75">
        <v>9.0</v>
      </c>
      <c r="O10" s="75">
        <v>10.0</v>
      </c>
      <c r="P10" s="75">
        <v>11.0</v>
      </c>
      <c r="Q10" s="75">
        <v>13.0</v>
      </c>
      <c r="R10" s="75">
        <v>15.0</v>
      </c>
      <c r="S10" s="75">
        <v>16.0</v>
      </c>
      <c r="T10" s="75">
        <v>17.0</v>
      </c>
      <c r="U10" s="75">
        <v>18.0</v>
      </c>
      <c r="V10" s="75">
        <v>20.0</v>
      </c>
      <c r="W10" s="75">
        <v>21.0</v>
      </c>
      <c r="X10" s="75">
        <v>23.0</v>
      </c>
      <c r="Y10" s="75">
        <v>25.0</v>
      </c>
      <c r="Z10" s="76"/>
      <c r="AA10" s="52"/>
    </row>
    <row r="11" ht="16.5" customHeight="1">
      <c r="A11" s="48" t="str">
        <f>'試算-SLOT'!A11</f>
        <v>MYR</v>
      </c>
      <c r="B11" s="48" t="str">
        <f>'試算-SLOT'!B11</f>
        <v>RM</v>
      </c>
      <c r="C11" s="48" t="str">
        <f>'試算-SLOT'!C11</f>
        <v>馬來西亞令吉</v>
      </c>
      <c r="D11" s="48" t="str">
        <f>IF('試算-SLOT'!D11=1,"",'試算-SLOT'!D11)</f>
        <v/>
      </c>
      <c r="E11" s="64">
        <v>0.01</v>
      </c>
      <c r="F11" s="75">
        <v>1.0</v>
      </c>
      <c r="G11" s="75">
        <v>2.0</v>
      </c>
      <c r="H11" s="75">
        <v>3.0</v>
      </c>
      <c r="I11" s="75">
        <v>4.0</v>
      </c>
      <c r="J11" s="75">
        <v>5.0</v>
      </c>
      <c r="K11" s="75">
        <v>6.0</v>
      </c>
      <c r="L11" s="75">
        <v>7.0</v>
      </c>
      <c r="M11" s="75">
        <v>8.0</v>
      </c>
      <c r="N11" s="75">
        <v>9.0</v>
      </c>
      <c r="O11" s="75">
        <v>10.0</v>
      </c>
      <c r="P11" s="75">
        <v>11.0</v>
      </c>
      <c r="Q11" s="75">
        <v>13.0</v>
      </c>
      <c r="R11" s="75">
        <v>15.0</v>
      </c>
      <c r="S11" s="75">
        <v>16.0</v>
      </c>
      <c r="T11" s="75">
        <v>17.0</v>
      </c>
      <c r="U11" s="75">
        <v>18.0</v>
      </c>
      <c r="V11" s="75">
        <v>20.0</v>
      </c>
      <c r="W11" s="75">
        <v>21.0</v>
      </c>
      <c r="X11" s="75">
        <v>23.0</v>
      </c>
      <c r="Y11" s="75">
        <v>25.0</v>
      </c>
      <c r="Z11" s="76"/>
      <c r="AA11" s="52"/>
    </row>
    <row r="12" ht="16.5" customHeight="1">
      <c r="A12" s="48" t="str">
        <f>'試算-SLOT'!A12</f>
        <v>SGD</v>
      </c>
      <c r="B12" s="48" t="str">
        <f>'試算-SLOT'!B12</f>
        <v>S$</v>
      </c>
      <c r="C12" s="48" t="str">
        <f>'試算-SLOT'!C12</f>
        <v>新加坡幣</v>
      </c>
      <c r="D12" s="48" t="str">
        <f>IF('試算-SLOT'!D12=1,"",'試算-SLOT'!D12)</f>
        <v/>
      </c>
      <c r="E12" s="64">
        <v>0.001</v>
      </c>
      <c r="F12" s="75">
        <v>1.0</v>
      </c>
      <c r="G12" s="75">
        <v>2.0</v>
      </c>
      <c r="H12" s="75">
        <v>3.0</v>
      </c>
      <c r="I12" s="75">
        <v>4.0</v>
      </c>
      <c r="J12" s="75">
        <v>5.0</v>
      </c>
      <c r="K12" s="75">
        <v>6.0</v>
      </c>
      <c r="L12" s="75">
        <v>7.0</v>
      </c>
      <c r="M12" s="75">
        <v>8.0</v>
      </c>
      <c r="N12" s="75">
        <v>9.0</v>
      </c>
      <c r="O12" s="75">
        <v>10.0</v>
      </c>
      <c r="P12" s="75">
        <v>11.0</v>
      </c>
      <c r="Q12" s="75">
        <v>12.0</v>
      </c>
      <c r="R12" s="75">
        <v>13.0</v>
      </c>
      <c r="S12" s="75">
        <v>14.0</v>
      </c>
      <c r="T12" s="75">
        <v>15.0</v>
      </c>
      <c r="U12" s="75">
        <v>16.0</v>
      </c>
      <c r="V12" s="75">
        <v>17.0</v>
      </c>
      <c r="W12" s="75">
        <v>18.0</v>
      </c>
      <c r="X12" s="75">
        <v>19.0</v>
      </c>
      <c r="Y12" s="75">
        <v>20.0</v>
      </c>
      <c r="Z12" s="76"/>
      <c r="AA12" s="52"/>
    </row>
    <row r="13" ht="16.5" customHeight="1">
      <c r="A13" s="48" t="str">
        <f>'試算-SLOT'!A13</f>
        <v>USD</v>
      </c>
      <c r="B13" s="48" t="str">
        <f>'試算-SLOT'!B13</f>
        <v>$</v>
      </c>
      <c r="C13" s="48" t="str">
        <f>'試算-SLOT'!C13</f>
        <v>美元</v>
      </c>
      <c r="D13" s="48" t="str">
        <f>IF('試算-SLOT'!D13=1,"",'試算-SLOT'!D13)</f>
        <v/>
      </c>
      <c r="E13" s="64">
        <v>0.001</v>
      </c>
      <c r="F13" s="75">
        <v>1.0</v>
      </c>
      <c r="G13" s="75">
        <v>2.0</v>
      </c>
      <c r="H13" s="75">
        <v>3.0</v>
      </c>
      <c r="I13" s="75">
        <v>4.0</v>
      </c>
      <c r="J13" s="75">
        <v>5.0</v>
      </c>
      <c r="K13" s="75">
        <v>6.0</v>
      </c>
      <c r="L13" s="75">
        <v>7.0</v>
      </c>
      <c r="M13" s="75">
        <v>8.0</v>
      </c>
      <c r="N13" s="75">
        <v>9.0</v>
      </c>
      <c r="O13" s="75">
        <v>10.0</v>
      </c>
      <c r="P13" s="75">
        <v>11.0</v>
      </c>
      <c r="Q13" s="75">
        <v>12.0</v>
      </c>
      <c r="R13" s="75">
        <v>13.0</v>
      </c>
      <c r="S13" s="75">
        <v>14.0</v>
      </c>
      <c r="T13" s="75">
        <v>15.0</v>
      </c>
      <c r="U13" s="75">
        <v>16.0</v>
      </c>
      <c r="V13" s="75">
        <v>17.0</v>
      </c>
      <c r="W13" s="75">
        <v>18.0</v>
      </c>
      <c r="X13" s="75">
        <v>19.0</v>
      </c>
      <c r="Y13" s="75">
        <v>20.0</v>
      </c>
      <c r="Z13" s="76"/>
      <c r="AA13" s="52"/>
    </row>
    <row r="14" ht="16.5" customHeight="1">
      <c r="A14" s="48" t="str">
        <f>'試算-SLOT'!A14</f>
        <v>BDT</v>
      </c>
      <c r="B14" s="48" t="str">
        <f>'試算-SLOT'!B14</f>
        <v>৳</v>
      </c>
      <c r="C14" s="48" t="str">
        <f>'試算-SLOT'!C14</f>
        <v>孟加拉塔卡</v>
      </c>
      <c r="D14" s="48" t="str">
        <f>IF('試算-SLOT'!D14=1,"",'試算-SLOT'!D14)</f>
        <v/>
      </c>
      <c r="E14" s="64">
        <v>0.01</v>
      </c>
      <c r="F14" s="75">
        <v>1.0</v>
      </c>
      <c r="G14" s="75">
        <v>2.0</v>
      </c>
      <c r="H14" s="75">
        <v>3.0</v>
      </c>
      <c r="I14" s="75">
        <v>4.0</v>
      </c>
      <c r="J14" s="75">
        <v>5.0</v>
      </c>
      <c r="K14" s="75">
        <v>6.0</v>
      </c>
      <c r="L14" s="75">
        <v>7.0</v>
      </c>
      <c r="M14" s="75">
        <v>8.0</v>
      </c>
      <c r="N14" s="75">
        <v>9.0</v>
      </c>
      <c r="O14" s="75">
        <v>10.0</v>
      </c>
      <c r="P14" s="75">
        <v>11.0</v>
      </c>
      <c r="Q14" s="75">
        <v>13.0</v>
      </c>
      <c r="R14" s="75">
        <v>15.0</v>
      </c>
      <c r="S14" s="75">
        <v>16.0</v>
      </c>
      <c r="T14" s="75">
        <v>17.0</v>
      </c>
      <c r="U14" s="75">
        <v>18.0</v>
      </c>
      <c r="V14" s="75">
        <v>20.0</v>
      </c>
      <c r="W14" s="75">
        <v>21.0</v>
      </c>
      <c r="X14" s="75">
        <v>23.0</v>
      </c>
      <c r="Y14" s="75">
        <v>25.0</v>
      </c>
      <c r="Z14" s="76"/>
      <c r="AA14" s="52"/>
    </row>
    <row r="15" ht="16.5" customHeight="1">
      <c r="A15" s="48" t="str">
        <f>'試算-SLOT'!A15</f>
        <v>PKR</v>
      </c>
      <c r="B15" s="48" t="str">
        <f>'試算-SLOT'!B15</f>
        <v>₨</v>
      </c>
      <c r="C15" s="48" t="str">
        <f>'試算-SLOT'!C15</f>
        <v>巴基斯坦盧比</v>
      </c>
      <c r="D15" s="48" t="str">
        <f>IF('試算-SLOT'!D15=1,"",'試算-SLOT'!D15)</f>
        <v/>
      </c>
      <c r="E15" s="64">
        <v>0.01</v>
      </c>
      <c r="F15" s="75">
        <v>1.0</v>
      </c>
      <c r="G15" s="75">
        <v>2.0</v>
      </c>
      <c r="H15" s="75">
        <v>3.0</v>
      </c>
      <c r="I15" s="75">
        <v>4.0</v>
      </c>
      <c r="J15" s="75">
        <v>5.0</v>
      </c>
      <c r="K15" s="75">
        <v>6.0</v>
      </c>
      <c r="L15" s="75">
        <v>7.0</v>
      </c>
      <c r="M15" s="75">
        <v>8.0</v>
      </c>
      <c r="N15" s="75">
        <v>9.0</v>
      </c>
      <c r="O15" s="75">
        <v>10.0</v>
      </c>
      <c r="P15" s="75">
        <v>11.0</v>
      </c>
      <c r="Q15" s="75">
        <v>13.0</v>
      </c>
      <c r="R15" s="75">
        <v>15.0</v>
      </c>
      <c r="S15" s="75">
        <v>16.0</v>
      </c>
      <c r="T15" s="75">
        <v>17.0</v>
      </c>
      <c r="U15" s="75">
        <v>18.0</v>
      </c>
      <c r="V15" s="75">
        <v>20.0</v>
      </c>
      <c r="W15" s="75">
        <v>21.0</v>
      </c>
      <c r="X15" s="75">
        <v>23.0</v>
      </c>
      <c r="Y15" s="75">
        <v>25.0</v>
      </c>
      <c r="Z15" s="76"/>
      <c r="AA15" s="52"/>
    </row>
    <row r="16" ht="16.5" customHeight="1">
      <c r="A16" s="48" t="str">
        <f>'試算-SLOT'!A16</f>
        <v>MMK</v>
      </c>
      <c r="B16" s="48" t="str">
        <f>'試算-SLOT'!B16</f>
        <v>K</v>
      </c>
      <c r="C16" s="48" t="str">
        <f>'試算-SLOT'!C16</f>
        <v>緬甸元(K)</v>
      </c>
      <c r="D16" s="48">
        <f>IF('試算-SLOT'!D16=1,"",'試算-SLOT'!D16)</f>
        <v>1000</v>
      </c>
      <c r="E16" s="64">
        <v>0.001</v>
      </c>
      <c r="F16" s="75">
        <v>1.0</v>
      </c>
      <c r="G16" s="75">
        <v>2.0</v>
      </c>
      <c r="H16" s="75">
        <v>3.0</v>
      </c>
      <c r="I16" s="75">
        <v>4.0</v>
      </c>
      <c r="J16" s="75">
        <v>5.0</v>
      </c>
      <c r="K16" s="75">
        <v>6.0</v>
      </c>
      <c r="L16" s="75">
        <v>7.0</v>
      </c>
      <c r="M16" s="75">
        <v>8.0</v>
      </c>
      <c r="N16" s="75">
        <v>9.0</v>
      </c>
      <c r="O16" s="75">
        <v>10.0</v>
      </c>
      <c r="P16" s="75">
        <v>11.0</v>
      </c>
      <c r="Q16" s="75">
        <v>12.0</v>
      </c>
      <c r="R16" s="75">
        <v>13.0</v>
      </c>
      <c r="S16" s="75">
        <v>14.0</v>
      </c>
      <c r="T16" s="75">
        <v>15.0</v>
      </c>
      <c r="U16" s="75">
        <v>16.0</v>
      </c>
      <c r="V16" s="75">
        <v>17.0</v>
      </c>
      <c r="W16" s="75">
        <v>18.0</v>
      </c>
      <c r="X16" s="75">
        <v>19.0</v>
      </c>
      <c r="Y16" s="75">
        <v>20.0</v>
      </c>
      <c r="Z16" s="76"/>
      <c r="AA16" s="52"/>
    </row>
    <row r="17" ht="16.5" customHeight="1">
      <c r="A17" s="48" t="str">
        <f>'試算-SLOT'!A17</f>
        <v>MMH</v>
      </c>
      <c r="B17" s="48" t="str">
        <f>'試算-SLOT'!B17</f>
        <v>K</v>
      </c>
      <c r="C17" s="48" t="str">
        <f>'試算-SLOT'!C17</f>
        <v>緬甸元(H)</v>
      </c>
      <c r="D17" s="48">
        <f>IF('試算-SLOT'!D17=1,"",'試算-SLOT'!D17)</f>
        <v>100</v>
      </c>
      <c r="E17" s="64">
        <v>0.01</v>
      </c>
      <c r="F17" s="75">
        <v>1.0</v>
      </c>
      <c r="G17" s="75">
        <v>2.0</v>
      </c>
      <c r="H17" s="75">
        <v>3.0</v>
      </c>
      <c r="I17" s="75">
        <v>4.0</v>
      </c>
      <c r="J17" s="75">
        <v>5.0</v>
      </c>
      <c r="K17" s="75">
        <v>6.0</v>
      </c>
      <c r="L17" s="75">
        <v>7.0</v>
      </c>
      <c r="M17" s="75">
        <v>8.0</v>
      </c>
      <c r="N17" s="75">
        <v>9.0</v>
      </c>
      <c r="O17" s="75">
        <v>10.0</v>
      </c>
      <c r="P17" s="75">
        <v>11.0</v>
      </c>
      <c r="Q17" s="75">
        <v>13.0</v>
      </c>
      <c r="R17" s="75">
        <v>15.0</v>
      </c>
      <c r="S17" s="75">
        <v>16.0</v>
      </c>
      <c r="T17" s="75">
        <v>17.0</v>
      </c>
      <c r="U17" s="75">
        <v>18.0</v>
      </c>
      <c r="V17" s="75">
        <v>20.0</v>
      </c>
      <c r="W17" s="75">
        <v>21.0</v>
      </c>
      <c r="X17" s="75">
        <v>23.0</v>
      </c>
      <c r="Y17" s="75">
        <v>25.0</v>
      </c>
      <c r="Z17" s="76"/>
      <c r="AA17" s="52"/>
    </row>
    <row r="18" ht="16.5" customHeight="1">
      <c r="A18" s="48" t="str">
        <f>'試算-SLOT'!A18</f>
        <v>PHP</v>
      </c>
      <c r="B18" s="48" t="str">
        <f>'試算-SLOT'!B18</f>
        <v>₱</v>
      </c>
      <c r="C18" s="48" t="str">
        <f>'試算-SLOT'!C18</f>
        <v>菲律賓披索</v>
      </c>
      <c r="D18" s="48" t="str">
        <f>IF('試算-SLOT'!D18=1,"",'試算-SLOT'!D18)</f>
        <v/>
      </c>
      <c r="E18" s="64">
        <v>0.01</v>
      </c>
      <c r="F18" s="75">
        <v>1.0</v>
      </c>
      <c r="G18" s="75">
        <v>2.0</v>
      </c>
      <c r="H18" s="75">
        <v>3.0</v>
      </c>
      <c r="I18" s="75">
        <v>4.0</v>
      </c>
      <c r="J18" s="75">
        <v>5.0</v>
      </c>
      <c r="K18" s="75">
        <v>6.0</v>
      </c>
      <c r="L18" s="75">
        <v>7.0</v>
      </c>
      <c r="M18" s="75">
        <v>8.0</v>
      </c>
      <c r="N18" s="75">
        <v>9.0</v>
      </c>
      <c r="O18" s="75">
        <v>10.0</v>
      </c>
      <c r="P18" s="75">
        <v>11.0</v>
      </c>
      <c r="Q18" s="75">
        <v>13.0</v>
      </c>
      <c r="R18" s="75">
        <v>15.0</v>
      </c>
      <c r="S18" s="75">
        <v>16.0</v>
      </c>
      <c r="T18" s="75">
        <v>17.0</v>
      </c>
      <c r="U18" s="75">
        <v>18.0</v>
      </c>
      <c r="V18" s="75">
        <v>20.0</v>
      </c>
      <c r="W18" s="75">
        <v>21.0</v>
      </c>
      <c r="X18" s="75">
        <v>23.0</v>
      </c>
      <c r="Y18" s="75">
        <v>25.0</v>
      </c>
      <c r="Z18" s="76"/>
      <c r="AA18" s="52"/>
    </row>
    <row r="19" ht="16.5" customHeight="1">
      <c r="A19" s="48" t="str">
        <f>'試算-SLOT'!A19</f>
        <v>CNY</v>
      </c>
      <c r="B19" s="48" t="str">
        <f>'試算-SLOT'!B19</f>
        <v>￥</v>
      </c>
      <c r="C19" s="48" t="str">
        <f>'試算-SLOT'!C19</f>
        <v>人民幣</v>
      </c>
      <c r="D19" s="48" t="str">
        <f>IF('試算-SLOT'!D19=1,"",'試算-SLOT'!D19)</f>
        <v/>
      </c>
      <c r="E19" s="64">
        <v>0.01</v>
      </c>
      <c r="F19" s="75">
        <v>1.0</v>
      </c>
      <c r="G19" s="75">
        <v>2.0</v>
      </c>
      <c r="H19" s="75">
        <v>3.0</v>
      </c>
      <c r="I19" s="75">
        <v>4.0</v>
      </c>
      <c r="J19" s="75">
        <v>5.0</v>
      </c>
      <c r="K19" s="75">
        <v>6.0</v>
      </c>
      <c r="L19" s="75">
        <v>7.0</v>
      </c>
      <c r="M19" s="75">
        <v>8.0</v>
      </c>
      <c r="N19" s="75">
        <v>9.0</v>
      </c>
      <c r="O19" s="75">
        <v>10.0</v>
      </c>
      <c r="P19" s="75">
        <v>11.0</v>
      </c>
      <c r="Q19" s="75">
        <v>13.0</v>
      </c>
      <c r="R19" s="75">
        <v>15.0</v>
      </c>
      <c r="S19" s="75">
        <v>16.0</v>
      </c>
      <c r="T19" s="75">
        <v>17.0</v>
      </c>
      <c r="U19" s="75">
        <v>18.0</v>
      </c>
      <c r="V19" s="75">
        <v>20.0</v>
      </c>
      <c r="W19" s="75">
        <v>21.0</v>
      </c>
      <c r="X19" s="75">
        <v>23.0</v>
      </c>
      <c r="Y19" s="75">
        <v>25.0</v>
      </c>
      <c r="Z19" s="76"/>
      <c r="AA19" s="52"/>
    </row>
    <row r="20" ht="16.5" customHeight="1">
      <c r="A20" s="48" t="str">
        <f>'試算-SLOT'!A20</f>
        <v>MXN</v>
      </c>
      <c r="B20" s="48" t="str">
        <f>'試算-SLOT'!B20</f>
        <v>Mex$</v>
      </c>
      <c r="C20" s="48" t="str">
        <f>'試算-SLOT'!C20</f>
        <v>墨⻄哥披索</v>
      </c>
      <c r="D20" s="48" t="str">
        <f>IF('試算-SLOT'!D20=1,"",'試算-SLOT'!D20)</f>
        <v/>
      </c>
      <c r="E20" s="64">
        <v>0.01</v>
      </c>
      <c r="F20" s="75">
        <v>1.0</v>
      </c>
      <c r="G20" s="75">
        <v>2.0</v>
      </c>
      <c r="H20" s="75">
        <v>3.0</v>
      </c>
      <c r="I20" s="75">
        <v>4.0</v>
      </c>
      <c r="J20" s="75">
        <v>5.0</v>
      </c>
      <c r="K20" s="75">
        <v>6.0</v>
      </c>
      <c r="L20" s="75">
        <v>7.0</v>
      </c>
      <c r="M20" s="75">
        <v>8.0</v>
      </c>
      <c r="N20" s="75">
        <v>9.0</v>
      </c>
      <c r="O20" s="75">
        <v>10.0</v>
      </c>
      <c r="P20" s="75">
        <v>11.0</v>
      </c>
      <c r="Q20" s="75">
        <v>13.0</v>
      </c>
      <c r="R20" s="75">
        <v>15.0</v>
      </c>
      <c r="S20" s="75">
        <v>16.0</v>
      </c>
      <c r="T20" s="75">
        <v>17.0</v>
      </c>
      <c r="U20" s="75">
        <v>18.0</v>
      </c>
      <c r="V20" s="75">
        <v>20.0</v>
      </c>
      <c r="W20" s="75">
        <v>21.0</v>
      </c>
      <c r="X20" s="75">
        <v>23.0</v>
      </c>
      <c r="Y20" s="75">
        <v>25.0</v>
      </c>
      <c r="Z20" s="77"/>
      <c r="AA20" s="52"/>
    </row>
    <row r="21" ht="16.5" customHeight="1">
      <c r="A21" s="48" t="str">
        <f>'試算-SLOT'!A21</f>
        <v>BRL</v>
      </c>
      <c r="B21" s="48" t="str">
        <f>'試算-SLOT'!B21</f>
        <v>R$</v>
      </c>
      <c r="C21" s="48" t="str">
        <f>'試算-SLOT'!C21</f>
        <v>巴西雷亞爾</v>
      </c>
      <c r="D21" s="48" t="str">
        <f>IF('試算-SLOT'!D21=1,"",'試算-SLOT'!D21)</f>
        <v/>
      </c>
      <c r="E21" s="64">
        <v>0.01</v>
      </c>
      <c r="F21" s="75">
        <v>1.0</v>
      </c>
      <c r="G21" s="75">
        <v>2.0</v>
      </c>
      <c r="H21" s="75">
        <v>3.0</v>
      </c>
      <c r="I21" s="75">
        <v>4.0</v>
      </c>
      <c r="J21" s="75">
        <v>5.0</v>
      </c>
      <c r="K21" s="75">
        <v>6.0</v>
      </c>
      <c r="L21" s="75">
        <v>7.0</v>
      </c>
      <c r="M21" s="75">
        <v>8.0</v>
      </c>
      <c r="N21" s="75">
        <v>9.0</v>
      </c>
      <c r="O21" s="75">
        <v>10.0</v>
      </c>
      <c r="P21" s="75">
        <v>11.0</v>
      </c>
      <c r="Q21" s="75">
        <v>13.0</v>
      </c>
      <c r="R21" s="75">
        <v>15.0</v>
      </c>
      <c r="S21" s="75">
        <v>16.0</v>
      </c>
      <c r="T21" s="75">
        <v>17.0</v>
      </c>
      <c r="U21" s="75">
        <v>18.0</v>
      </c>
      <c r="V21" s="75">
        <v>20.0</v>
      </c>
      <c r="W21" s="75">
        <v>21.0</v>
      </c>
      <c r="X21" s="75">
        <v>23.0</v>
      </c>
      <c r="Y21" s="75">
        <v>25.0</v>
      </c>
      <c r="Z21" s="77"/>
      <c r="AA21" s="52"/>
    </row>
    <row r="22" ht="16.5" customHeight="1">
      <c r="A22" s="48" t="str">
        <f>'試算-SLOT'!A22</f>
        <v>AUD</v>
      </c>
      <c r="B22" s="48" t="str">
        <f>'試算-SLOT'!B22</f>
        <v>A$</v>
      </c>
      <c r="C22" s="48" t="str">
        <f>'試算-SLOT'!C22</f>
        <v>澳洲元</v>
      </c>
      <c r="D22" s="48" t="str">
        <f>IF('試算-SLOT'!D22=1,"",'試算-SLOT'!D22)</f>
        <v/>
      </c>
      <c r="E22" s="64">
        <v>0.001</v>
      </c>
      <c r="F22" s="75">
        <v>1.0</v>
      </c>
      <c r="G22" s="75">
        <v>2.0</v>
      </c>
      <c r="H22" s="75">
        <v>3.0</v>
      </c>
      <c r="I22" s="75">
        <v>4.0</v>
      </c>
      <c r="J22" s="75">
        <v>5.0</v>
      </c>
      <c r="K22" s="75">
        <v>6.0</v>
      </c>
      <c r="L22" s="75">
        <v>7.0</v>
      </c>
      <c r="M22" s="75">
        <v>8.0</v>
      </c>
      <c r="N22" s="75">
        <v>9.0</v>
      </c>
      <c r="O22" s="75">
        <v>10.0</v>
      </c>
      <c r="P22" s="75">
        <v>11.0</v>
      </c>
      <c r="Q22" s="75">
        <v>12.0</v>
      </c>
      <c r="R22" s="75">
        <v>13.0</v>
      </c>
      <c r="S22" s="75">
        <v>14.0</v>
      </c>
      <c r="T22" s="75">
        <v>15.0</v>
      </c>
      <c r="U22" s="75">
        <v>16.0</v>
      </c>
      <c r="V22" s="75">
        <v>17.0</v>
      </c>
      <c r="W22" s="75">
        <v>18.0</v>
      </c>
      <c r="X22" s="75">
        <v>19.0</v>
      </c>
      <c r="Y22" s="75">
        <v>20.0</v>
      </c>
      <c r="Z22" s="77"/>
      <c r="AA22" s="52"/>
    </row>
    <row r="23" ht="16.5" customHeight="1">
      <c r="A23" s="48" t="str">
        <f>'試算-SLOT'!A23</f>
        <v>JPY</v>
      </c>
      <c r="B23" s="48" t="str">
        <f>'試算-SLOT'!B23</f>
        <v>￥</v>
      </c>
      <c r="C23" s="48" t="str">
        <f>'試算-SLOT'!C23</f>
        <v>日圓</v>
      </c>
      <c r="D23" s="48" t="str">
        <f>IF('試算-SLOT'!D23=1,"",'試算-SLOT'!D23)</f>
        <v/>
      </c>
      <c r="E23" s="64">
        <v>0.02</v>
      </c>
      <c r="F23" s="75">
        <v>1.0</v>
      </c>
      <c r="G23" s="75">
        <v>2.0</v>
      </c>
      <c r="H23" s="75">
        <v>3.0</v>
      </c>
      <c r="I23" s="75">
        <v>4.0</v>
      </c>
      <c r="J23" s="75">
        <v>5.0</v>
      </c>
      <c r="K23" s="75">
        <v>6.0</v>
      </c>
      <c r="L23" s="75">
        <v>7.0</v>
      </c>
      <c r="M23" s="75">
        <v>8.0</v>
      </c>
      <c r="N23" s="75">
        <v>9.0</v>
      </c>
      <c r="O23" s="75">
        <v>10.0</v>
      </c>
      <c r="P23" s="75">
        <v>11.0</v>
      </c>
      <c r="Q23" s="75">
        <v>13.0</v>
      </c>
      <c r="R23" s="75">
        <v>15.0</v>
      </c>
      <c r="S23" s="75">
        <v>16.0</v>
      </c>
      <c r="T23" s="75">
        <v>17.0</v>
      </c>
      <c r="U23" s="75">
        <v>18.0</v>
      </c>
      <c r="V23" s="75">
        <v>20.0</v>
      </c>
      <c r="W23" s="75">
        <v>21.0</v>
      </c>
      <c r="X23" s="75">
        <v>23.0</v>
      </c>
      <c r="Y23" s="75">
        <v>25.0</v>
      </c>
      <c r="Z23" s="77"/>
      <c r="AA23" s="52"/>
    </row>
    <row r="24" ht="16.5" customHeight="1">
      <c r="A24" s="48" t="str">
        <f>'試算-SLOT'!A24</f>
        <v>KRW</v>
      </c>
      <c r="B24" s="48" t="str">
        <f>'試算-SLOT'!B24</f>
        <v>₩</v>
      </c>
      <c r="C24" s="48" t="str">
        <f>'試算-SLOT'!C24</f>
        <v>韓圓</v>
      </c>
      <c r="D24" s="48" t="str">
        <f>IF('試算-SLOT'!D24=1,"",'試算-SLOT'!D24)</f>
        <v/>
      </c>
      <c r="E24" s="64">
        <v>0.2</v>
      </c>
      <c r="F24" s="75">
        <v>1.0</v>
      </c>
      <c r="G24" s="75">
        <v>2.0</v>
      </c>
      <c r="H24" s="75">
        <v>3.0</v>
      </c>
      <c r="I24" s="75">
        <v>4.0</v>
      </c>
      <c r="J24" s="75">
        <v>5.0</v>
      </c>
      <c r="K24" s="75">
        <v>6.0</v>
      </c>
      <c r="L24" s="75">
        <v>7.0</v>
      </c>
      <c r="M24" s="75">
        <v>8.0</v>
      </c>
      <c r="N24" s="75">
        <v>9.0</v>
      </c>
      <c r="O24" s="75">
        <v>10.0</v>
      </c>
      <c r="P24" s="75">
        <v>11.0</v>
      </c>
      <c r="Q24" s="75">
        <v>13.0</v>
      </c>
      <c r="R24" s="75">
        <v>15.0</v>
      </c>
      <c r="S24" s="75">
        <v>16.0</v>
      </c>
      <c r="T24" s="75">
        <v>17.0</v>
      </c>
      <c r="U24" s="75">
        <v>18.0</v>
      </c>
      <c r="V24" s="75">
        <v>20.0</v>
      </c>
      <c r="W24" s="75">
        <v>21.0</v>
      </c>
      <c r="X24" s="75">
        <v>23.0</v>
      </c>
      <c r="Y24" s="75">
        <v>25.0</v>
      </c>
      <c r="Z24" s="77"/>
      <c r="AA24" s="52"/>
    </row>
    <row r="25" ht="16.5" customHeight="1">
      <c r="A25" s="48" t="str">
        <f>'試算-SLOT'!A25</f>
        <v>CLP</v>
      </c>
      <c r="B25" s="48" t="str">
        <f>'試算-SLOT'!B25</f>
        <v>$</v>
      </c>
      <c r="C25" s="48" t="str">
        <f>'試算-SLOT'!C25</f>
        <v>智利披索</v>
      </c>
      <c r="D25" s="48" t="str">
        <f>IF('試算-SLOT'!D25=1,"",'試算-SLOT'!D25)</f>
        <v/>
      </c>
      <c r="E25" s="64">
        <v>0.2</v>
      </c>
      <c r="F25" s="75">
        <v>1.0</v>
      </c>
      <c r="G25" s="75">
        <v>2.0</v>
      </c>
      <c r="H25" s="75">
        <v>3.0</v>
      </c>
      <c r="I25" s="75">
        <v>4.0</v>
      </c>
      <c r="J25" s="75">
        <v>5.0</v>
      </c>
      <c r="K25" s="75">
        <v>6.0</v>
      </c>
      <c r="L25" s="75">
        <v>7.0</v>
      </c>
      <c r="M25" s="75">
        <v>8.0</v>
      </c>
      <c r="N25" s="75">
        <v>9.0</v>
      </c>
      <c r="O25" s="75">
        <v>10.0</v>
      </c>
      <c r="P25" s="75">
        <v>11.0</v>
      </c>
      <c r="Q25" s="75">
        <v>13.0</v>
      </c>
      <c r="R25" s="75">
        <v>15.0</v>
      </c>
      <c r="S25" s="75">
        <v>16.0</v>
      </c>
      <c r="T25" s="75">
        <v>17.0</v>
      </c>
      <c r="U25" s="75">
        <v>18.0</v>
      </c>
      <c r="V25" s="75">
        <v>20.0</v>
      </c>
      <c r="W25" s="75">
        <v>21.0</v>
      </c>
      <c r="X25" s="75">
        <v>23.0</v>
      </c>
      <c r="Y25" s="75">
        <v>25.0</v>
      </c>
      <c r="Z25" s="77"/>
      <c r="AA25" s="52"/>
    </row>
    <row r="26" ht="16.5" customHeight="1">
      <c r="A26" s="48" t="str">
        <f>'試算-SLOT'!A26</f>
        <v>MMKO</v>
      </c>
      <c r="B26" s="48" t="str">
        <f>'試算-SLOT'!B26</f>
        <v>K</v>
      </c>
      <c r="C26" s="48" t="str">
        <f>'試算-SLOT'!C26</f>
        <v>緬甸元</v>
      </c>
      <c r="D26" s="48" t="str">
        <f>IF('試算-SLOT'!D26=1,"",'試算-SLOT'!D26)</f>
        <v/>
      </c>
      <c r="E26" s="64">
        <v>0.2</v>
      </c>
      <c r="F26" s="75">
        <v>1.0</v>
      </c>
      <c r="G26" s="75">
        <v>2.0</v>
      </c>
      <c r="H26" s="75">
        <v>3.0</v>
      </c>
      <c r="I26" s="75">
        <v>4.0</v>
      </c>
      <c r="J26" s="75">
        <v>5.0</v>
      </c>
      <c r="K26" s="75">
        <v>6.0</v>
      </c>
      <c r="L26" s="75">
        <v>7.0</v>
      </c>
      <c r="M26" s="75">
        <v>8.0</v>
      </c>
      <c r="N26" s="75">
        <v>9.0</v>
      </c>
      <c r="O26" s="75">
        <v>10.0</v>
      </c>
      <c r="P26" s="75">
        <v>11.0</v>
      </c>
      <c r="Q26" s="75">
        <v>13.0</v>
      </c>
      <c r="R26" s="75">
        <v>15.0</v>
      </c>
      <c r="S26" s="75">
        <v>16.0</v>
      </c>
      <c r="T26" s="75">
        <v>17.0</v>
      </c>
      <c r="U26" s="75">
        <v>18.0</v>
      </c>
      <c r="V26" s="75">
        <v>20.0</v>
      </c>
      <c r="W26" s="75">
        <v>21.0</v>
      </c>
      <c r="X26" s="75">
        <v>23.0</v>
      </c>
      <c r="Y26" s="75">
        <v>25.0</v>
      </c>
      <c r="Z26" s="78"/>
      <c r="AA26" s="52"/>
    </row>
    <row r="27" ht="16.5" customHeight="1">
      <c r="A27" s="48" t="str">
        <f>'試算-SLOT'!A27</f>
        <v>IDRO</v>
      </c>
      <c r="B27" s="48" t="str">
        <f>'試算-SLOT'!B27</f>
        <v>Rp</v>
      </c>
      <c r="C27" s="48" t="str">
        <f>'試算-SLOT'!C27</f>
        <v>印尼盧比</v>
      </c>
      <c r="D27" s="48" t="str">
        <f>IF('試算-SLOT'!D27=1,"",'試算-SLOT'!D27)</f>
        <v/>
      </c>
      <c r="E27" s="64">
        <v>0.2</v>
      </c>
      <c r="F27" s="75">
        <v>1.0</v>
      </c>
      <c r="G27" s="75">
        <v>2.0</v>
      </c>
      <c r="H27" s="75">
        <v>3.0</v>
      </c>
      <c r="I27" s="75">
        <v>4.0</v>
      </c>
      <c r="J27" s="75">
        <v>5.0</v>
      </c>
      <c r="K27" s="75">
        <v>6.0</v>
      </c>
      <c r="L27" s="75">
        <v>7.0</v>
      </c>
      <c r="M27" s="75">
        <v>8.0</v>
      </c>
      <c r="N27" s="75">
        <v>9.0</v>
      </c>
      <c r="O27" s="75">
        <v>10.0</v>
      </c>
      <c r="P27" s="75">
        <v>11.0</v>
      </c>
      <c r="Q27" s="75">
        <v>13.0</v>
      </c>
      <c r="R27" s="75">
        <v>15.0</v>
      </c>
      <c r="S27" s="75">
        <v>16.0</v>
      </c>
      <c r="T27" s="75">
        <v>17.0</v>
      </c>
      <c r="U27" s="75">
        <v>18.0</v>
      </c>
      <c r="V27" s="75">
        <v>20.0</v>
      </c>
      <c r="W27" s="75">
        <v>21.0</v>
      </c>
      <c r="X27" s="75">
        <v>23.0</v>
      </c>
      <c r="Y27" s="75">
        <v>25.0</v>
      </c>
      <c r="Z27" s="78"/>
      <c r="AA27" s="52"/>
    </row>
    <row r="28" ht="16.5" customHeight="1">
      <c r="A28" s="48" t="str">
        <f>'試算-SLOT'!A28</f>
        <v>RUB</v>
      </c>
      <c r="B28" s="48" t="str">
        <f>'試算-SLOT'!B28</f>
        <v>₽</v>
      </c>
      <c r="C28" s="48" t="str">
        <f>'試算-SLOT'!C28</f>
        <v>盧布</v>
      </c>
      <c r="D28" s="48" t="str">
        <f>IF('試算-SLOT'!D28=1,"",'試算-SLOT'!D28)</f>
        <v/>
      </c>
      <c r="E28" s="64">
        <v>0.01</v>
      </c>
      <c r="F28" s="75">
        <v>1.0</v>
      </c>
      <c r="G28" s="75">
        <v>2.0</v>
      </c>
      <c r="H28" s="75">
        <v>3.0</v>
      </c>
      <c r="I28" s="75">
        <v>4.0</v>
      </c>
      <c r="J28" s="75">
        <v>5.0</v>
      </c>
      <c r="K28" s="75">
        <v>6.0</v>
      </c>
      <c r="L28" s="75">
        <v>7.0</v>
      </c>
      <c r="M28" s="75">
        <v>8.0</v>
      </c>
      <c r="N28" s="75">
        <v>9.0</v>
      </c>
      <c r="O28" s="75">
        <v>10.0</v>
      </c>
      <c r="P28" s="75">
        <v>11.0</v>
      </c>
      <c r="Q28" s="75">
        <v>13.0</v>
      </c>
      <c r="R28" s="75">
        <v>15.0</v>
      </c>
      <c r="S28" s="75">
        <v>16.0</v>
      </c>
      <c r="T28" s="75">
        <v>17.0</v>
      </c>
      <c r="U28" s="75">
        <v>18.0</v>
      </c>
      <c r="V28" s="75">
        <v>20.0</v>
      </c>
      <c r="W28" s="75">
        <v>21.0</v>
      </c>
      <c r="X28" s="75">
        <v>23.0</v>
      </c>
      <c r="Y28" s="75">
        <v>25.0</v>
      </c>
      <c r="Z28" s="78"/>
      <c r="AA28" s="52"/>
    </row>
    <row r="29" ht="16.5" customHeight="1">
      <c r="A29" s="48" t="str">
        <f>'試算-SLOT'!A29</f>
        <v>LKR</v>
      </c>
      <c r="B29" s="48" t="str">
        <f>'試算-SLOT'!B29</f>
        <v>₨</v>
      </c>
      <c r="C29" s="48" t="str">
        <f>'試算-SLOT'!C29</f>
        <v>斯里蘭卡盧比</v>
      </c>
      <c r="D29" s="48" t="str">
        <f>IF('試算-SLOT'!D29=1,"",'試算-SLOT'!D29)</f>
        <v/>
      </c>
      <c r="E29" s="64">
        <v>0.01</v>
      </c>
      <c r="F29" s="75">
        <v>1.0</v>
      </c>
      <c r="G29" s="75">
        <v>2.0</v>
      </c>
      <c r="H29" s="75">
        <v>3.0</v>
      </c>
      <c r="I29" s="75">
        <v>4.0</v>
      </c>
      <c r="J29" s="75">
        <v>5.0</v>
      </c>
      <c r="K29" s="75">
        <v>6.0</v>
      </c>
      <c r="L29" s="75">
        <v>7.0</v>
      </c>
      <c r="M29" s="75">
        <v>8.0</v>
      </c>
      <c r="N29" s="75">
        <v>9.0</v>
      </c>
      <c r="O29" s="75">
        <v>10.0</v>
      </c>
      <c r="P29" s="75">
        <v>11.0</v>
      </c>
      <c r="Q29" s="75">
        <v>13.0</v>
      </c>
      <c r="R29" s="75">
        <v>15.0</v>
      </c>
      <c r="S29" s="75">
        <v>16.0</v>
      </c>
      <c r="T29" s="75">
        <v>17.0</v>
      </c>
      <c r="U29" s="75">
        <v>18.0</v>
      </c>
      <c r="V29" s="75">
        <v>20.0</v>
      </c>
      <c r="W29" s="75">
        <v>21.0</v>
      </c>
      <c r="X29" s="75">
        <v>23.0</v>
      </c>
      <c r="Y29" s="75">
        <v>25.0</v>
      </c>
      <c r="Z29" s="78"/>
      <c r="AA29" s="52"/>
    </row>
    <row r="30" ht="16.5" customHeight="1">
      <c r="A30" s="48" t="str">
        <f>'試算-SLOT'!A30</f>
        <v>ETB</v>
      </c>
      <c r="B30" s="48" t="str">
        <f>'試算-SLOT'!B30</f>
        <v>Br‎</v>
      </c>
      <c r="C30" s="48" t="str">
        <f>'試算-SLOT'!C30</f>
        <v>衣索比亞比爾</v>
      </c>
      <c r="D30" s="48" t="str">
        <f>IF('試算-SLOT'!D30=1,"",'試算-SLOT'!D30)</f>
        <v/>
      </c>
      <c r="E30" s="64">
        <v>0.01</v>
      </c>
      <c r="F30" s="75">
        <v>1.0</v>
      </c>
      <c r="G30" s="75">
        <v>2.0</v>
      </c>
      <c r="H30" s="75">
        <v>3.0</v>
      </c>
      <c r="I30" s="75">
        <v>4.0</v>
      </c>
      <c r="J30" s="75">
        <v>5.0</v>
      </c>
      <c r="K30" s="75">
        <v>6.0</v>
      </c>
      <c r="L30" s="75">
        <v>7.0</v>
      </c>
      <c r="M30" s="75">
        <v>8.0</v>
      </c>
      <c r="N30" s="75">
        <v>9.0</v>
      </c>
      <c r="O30" s="75">
        <v>10.0</v>
      </c>
      <c r="P30" s="75">
        <v>11.0</v>
      </c>
      <c r="Q30" s="75">
        <v>13.0</v>
      </c>
      <c r="R30" s="75">
        <v>15.0</v>
      </c>
      <c r="S30" s="75">
        <v>16.0</v>
      </c>
      <c r="T30" s="75">
        <v>17.0</v>
      </c>
      <c r="U30" s="75">
        <v>18.0</v>
      </c>
      <c r="V30" s="75">
        <v>20.0</v>
      </c>
      <c r="W30" s="75">
        <v>21.0</v>
      </c>
      <c r="X30" s="75">
        <v>23.0</v>
      </c>
      <c r="Y30" s="75">
        <v>25.0</v>
      </c>
      <c r="Z30" s="78"/>
      <c r="AA30" s="52"/>
    </row>
    <row r="31" ht="16.5" customHeight="1">
      <c r="A31" s="48" t="str">
        <f>'試算-SLOT'!A31</f>
        <v>UGX</v>
      </c>
      <c r="B31" s="48" t="str">
        <f>'試算-SLOT'!B31</f>
        <v>USh</v>
      </c>
      <c r="C31" s="48" t="str">
        <f>'試算-SLOT'!C31</f>
        <v>烏干達先令</v>
      </c>
      <c r="D31" s="48" t="str">
        <f>IF('試算-SLOT'!D31=1,"",'試算-SLOT'!D31)</f>
        <v/>
      </c>
      <c r="E31" s="64">
        <v>0.2</v>
      </c>
      <c r="F31" s="75">
        <v>1.0</v>
      </c>
      <c r="G31" s="75">
        <v>2.0</v>
      </c>
      <c r="H31" s="75">
        <v>3.0</v>
      </c>
      <c r="I31" s="75">
        <v>4.0</v>
      </c>
      <c r="J31" s="75">
        <v>5.0</v>
      </c>
      <c r="K31" s="75">
        <v>6.0</v>
      </c>
      <c r="L31" s="75">
        <v>7.0</v>
      </c>
      <c r="M31" s="75">
        <v>8.0</v>
      </c>
      <c r="N31" s="75">
        <v>9.0</v>
      </c>
      <c r="O31" s="75">
        <v>10.0</v>
      </c>
      <c r="P31" s="75">
        <v>11.0</v>
      </c>
      <c r="Q31" s="75">
        <v>13.0</v>
      </c>
      <c r="R31" s="75">
        <v>15.0</v>
      </c>
      <c r="S31" s="75">
        <v>16.0</v>
      </c>
      <c r="T31" s="75">
        <v>17.0</v>
      </c>
      <c r="U31" s="75">
        <v>18.0</v>
      </c>
      <c r="V31" s="75">
        <v>20.0</v>
      </c>
      <c r="W31" s="75">
        <v>21.0</v>
      </c>
      <c r="X31" s="75">
        <v>23.0</v>
      </c>
      <c r="Y31" s="75">
        <v>25.0</v>
      </c>
      <c r="Z31" s="78"/>
      <c r="AA31" s="52"/>
    </row>
    <row r="32" ht="16.5" customHeight="1">
      <c r="A32" s="48" t="str">
        <f>'試算-SLOT'!A32</f>
        <v>EUR</v>
      </c>
      <c r="B32" s="48" t="str">
        <f>'試算-SLOT'!B32</f>
        <v>€</v>
      </c>
      <c r="C32" s="48" t="str">
        <f>'試算-SLOT'!C32</f>
        <v>歐元</v>
      </c>
      <c r="D32" s="48" t="str">
        <f>IF('試算-SLOT'!D32=1,"",'試算-SLOT'!D32)</f>
        <v/>
      </c>
      <c r="E32" s="64">
        <v>0.001</v>
      </c>
      <c r="F32" s="75">
        <v>1.0</v>
      </c>
      <c r="G32" s="75">
        <v>2.0</v>
      </c>
      <c r="H32" s="75">
        <v>3.0</v>
      </c>
      <c r="I32" s="75">
        <v>4.0</v>
      </c>
      <c r="J32" s="75">
        <v>5.0</v>
      </c>
      <c r="K32" s="75">
        <v>6.0</v>
      </c>
      <c r="L32" s="75">
        <v>7.0</v>
      </c>
      <c r="M32" s="75">
        <v>8.0</v>
      </c>
      <c r="N32" s="75">
        <v>9.0</v>
      </c>
      <c r="O32" s="75">
        <v>10.0</v>
      </c>
      <c r="P32" s="75">
        <v>11.0</v>
      </c>
      <c r="Q32" s="75">
        <v>12.0</v>
      </c>
      <c r="R32" s="75">
        <v>13.0</v>
      </c>
      <c r="S32" s="75">
        <v>14.0</v>
      </c>
      <c r="T32" s="75">
        <v>15.0</v>
      </c>
      <c r="U32" s="75">
        <v>16.0</v>
      </c>
      <c r="V32" s="75">
        <v>17.0</v>
      </c>
      <c r="W32" s="75">
        <v>18.0</v>
      </c>
      <c r="X32" s="75">
        <v>19.0</v>
      </c>
      <c r="Y32" s="75">
        <v>20.0</v>
      </c>
      <c r="Z32" s="78"/>
      <c r="AA32" s="52"/>
    </row>
    <row r="33" ht="16.5" customHeight="1">
      <c r="A33" s="48" t="str">
        <f>'試算-SLOT'!A33</f>
        <v>ARS</v>
      </c>
      <c r="B33" s="48" t="str">
        <f>'試算-SLOT'!B33</f>
        <v>$</v>
      </c>
      <c r="C33" s="48" t="str">
        <f>'試算-SLOT'!C33</f>
        <v>阿根廷披索</v>
      </c>
      <c r="D33" s="48" t="str">
        <f>IF('試算-SLOT'!D33=1,"",'試算-SLOT'!D33)</f>
        <v/>
      </c>
      <c r="E33" s="64">
        <v>0.01</v>
      </c>
      <c r="F33" s="75">
        <v>1.0</v>
      </c>
      <c r="G33" s="75">
        <v>2.0</v>
      </c>
      <c r="H33" s="75">
        <v>3.0</v>
      </c>
      <c r="I33" s="75">
        <v>4.0</v>
      </c>
      <c r="J33" s="75">
        <v>5.0</v>
      </c>
      <c r="K33" s="75">
        <v>6.0</v>
      </c>
      <c r="L33" s="75">
        <v>7.0</v>
      </c>
      <c r="M33" s="75">
        <v>8.0</v>
      </c>
      <c r="N33" s="75">
        <v>9.0</v>
      </c>
      <c r="O33" s="75">
        <v>10.0</v>
      </c>
      <c r="P33" s="75">
        <v>11.0</v>
      </c>
      <c r="Q33" s="75">
        <v>13.0</v>
      </c>
      <c r="R33" s="75">
        <v>15.0</v>
      </c>
      <c r="S33" s="75">
        <v>16.0</v>
      </c>
      <c r="T33" s="75">
        <v>17.0</v>
      </c>
      <c r="U33" s="75">
        <v>18.0</v>
      </c>
      <c r="V33" s="75">
        <v>20.0</v>
      </c>
      <c r="W33" s="75">
        <v>21.0</v>
      </c>
      <c r="X33" s="75">
        <v>23.0</v>
      </c>
      <c r="Y33" s="75">
        <v>25.0</v>
      </c>
      <c r="Z33" s="78"/>
      <c r="AA33" s="52"/>
    </row>
    <row r="34" ht="16.5" customHeight="1">
      <c r="A34" s="48" t="str">
        <f>'試算-SLOT'!A34</f>
        <v>NGN</v>
      </c>
      <c r="B34" s="48" t="str">
        <f>'試算-SLOT'!B34</f>
        <v>₦</v>
      </c>
      <c r="C34" s="48" t="str">
        <f>'試算-SLOT'!C34</f>
        <v>奈及利亞奈拉</v>
      </c>
      <c r="D34" s="48" t="str">
        <f>IF('試算-SLOT'!D34=1,"",'試算-SLOT'!D34)</f>
        <v/>
      </c>
      <c r="E34" s="64">
        <v>0.2</v>
      </c>
      <c r="F34" s="75">
        <v>1.0</v>
      </c>
      <c r="G34" s="75">
        <v>2.0</v>
      </c>
      <c r="H34" s="75">
        <v>3.0</v>
      </c>
      <c r="I34" s="75">
        <v>4.0</v>
      </c>
      <c r="J34" s="75">
        <v>5.0</v>
      </c>
      <c r="K34" s="75">
        <v>6.0</v>
      </c>
      <c r="L34" s="75">
        <v>7.0</v>
      </c>
      <c r="M34" s="75">
        <v>8.0</v>
      </c>
      <c r="N34" s="75">
        <v>9.0</v>
      </c>
      <c r="O34" s="75">
        <v>10.0</v>
      </c>
      <c r="P34" s="75">
        <v>11.0</v>
      </c>
      <c r="Q34" s="75">
        <v>13.0</v>
      </c>
      <c r="R34" s="75">
        <v>15.0</v>
      </c>
      <c r="S34" s="75">
        <v>16.0</v>
      </c>
      <c r="T34" s="75">
        <v>17.0</v>
      </c>
      <c r="U34" s="75">
        <v>18.0</v>
      </c>
      <c r="V34" s="75">
        <v>20.0</v>
      </c>
      <c r="W34" s="75">
        <v>21.0</v>
      </c>
      <c r="X34" s="75">
        <v>23.0</v>
      </c>
      <c r="Y34" s="75">
        <v>25.0</v>
      </c>
      <c r="Z34" s="78"/>
      <c r="AA34" s="52"/>
    </row>
    <row r="35" ht="16.5" customHeight="1">
      <c r="A35" s="48" t="str">
        <f>'試算-SLOT'!A35</f>
        <v>KES</v>
      </c>
      <c r="B35" s="48" t="str">
        <f>'試算-SLOT'!B35</f>
        <v>KSh</v>
      </c>
      <c r="C35" s="48" t="str">
        <f>'試算-SLOT'!C35</f>
        <v>肯亞先令</v>
      </c>
      <c r="D35" s="48" t="str">
        <f>IF('試算-SLOT'!D35=1,"",'試算-SLOT'!D35)</f>
        <v/>
      </c>
      <c r="E35" s="64">
        <v>0.02</v>
      </c>
      <c r="F35" s="75">
        <v>1.0</v>
      </c>
      <c r="G35" s="75">
        <v>2.0</v>
      </c>
      <c r="H35" s="75">
        <v>3.0</v>
      </c>
      <c r="I35" s="75">
        <v>4.0</v>
      </c>
      <c r="J35" s="75">
        <v>5.0</v>
      </c>
      <c r="K35" s="75">
        <v>6.0</v>
      </c>
      <c r="L35" s="75">
        <v>7.0</v>
      </c>
      <c r="M35" s="75">
        <v>8.0</v>
      </c>
      <c r="N35" s="75">
        <v>9.0</v>
      </c>
      <c r="O35" s="75">
        <v>10.0</v>
      </c>
      <c r="P35" s="75">
        <v>11.0</v>
      </c>
      <c r="Q35" s="75">
        <v>13.0</v>
      </c>
      <c r="R35" s="75">
        <v>15.0</v>
      </c>
      <c r="S35" s="75">
        <v>16.0</v>
      </c>
      <c r="T35" s="75">
        <v>17.0</v>
      </c>
      <c r="U35" s="75">
        <v>18.0</v>
      </c>
      <c r="V35" s="75">
        <v>20.0</v>
      </c>
      <c r="W35" s="75">
        <v>21.0</v>
      </c>
      <c r="X35" s="75">
        <v>23.0</v>
      </c>
      <c r="Y35" s="75">
        <v>25.0</v>
      </c>
      <c r="Z35" s="78"/>
      <c r="AA35" s="52"/>
    </row>
    <row r="36" ht="16.5" customHeight="1">
      <c r="A36" s="48" t="str">
        <f>'試算-SLOT'!A36</f>
        <v>ZAR</v>
      </c>
      <c r="B36" s="48" t="str">
        <f>'試算-SLOT'!B36</f>
        <v>R</v>
      </c>
      <c r="C36" s="48" t="str">
        <f>'試算-SLOT'!C36</f>
        <v>南非鍰</v>
      </c>
      <c r="D36" s="48" t="str">
        <f>IF('試算-SLOT'!D36=1,"",'試算-SLOT'!D36)</f>
        <v/>
      </c>
      <c r="E36" s="64">
        <v>0.01</v>
      </c>
      <c r="F36" s="75">
        <v>1.0</v>
      </c>
      <c r="G36" s="75">
        <v>2.0</v>
      </c>
      <c r="H36" s="75">
        <v>3.0</v>
      </c>
      <c r="I36" s="75">
        <v>4.0</v>
      </c>
      <c r="J36" s="75">
        <v>5.0</v>
      </c>
      <c r="K36" s="75">
        <v>6.0</v>
      </c>
      <c r="L36" s="75">
        <v>7.0</v>
      </c>
      <c r="M36" s="75">
        <v>8.0</v>
      </c>
      <c r="N36" s="75">
        <v>9.0</v>
      </c>
      <c r="O36" s="75">
        <v>10.0</v>
      </c>
      <c r="P36" s="75">
        <v>11.0</v>
      </c>
      <c r="Q36" s="75">
        <v>13.0</v>
      </c>
      <c r="R36" s="75">
        <v>15.0</v>
      </c>
      <c r="S36" s="75">
        <v>16.0</v>
      </c>
      <c r="T36" s="75">
        <v>17.0</v>
      </c>
      <c r="U36" s="75">
        <v>18.0</v>
      </c>
      <c r="V36" s="75">
        <v>20.0</v>
      </c>
      <c r="W36" s="75">
        <v>21.0</v>
      </c>
      <c r="X36" s="75">
        <v>23.0</v>
      </c>
      <c r="Y36" s="75">
        <v>25.0</v>
      </c>
      <c r="Z36" s="78"/>
      <c r="AA36" s="52"/>
    </row>
    <row r="37" ht="16.5" customHeight="1">
      <c r="A37" s="48" t="str">
        <f>'試算-SLOT'!A37</f>
        <v>TRY</v>
      </c>
      <c r="B37" s="48" t="str">
        <f>'試算-SLOT'!B37</f>
        <v>₺</v>
      </c>
      <c r="C37" s="48" t="str">
        <f>'試算-SLOT'!C37</f>
        <v>土耳其里拉</v>
      </c>
      <c r="D37" s="48" t="str">
        <f>IF('試算-SLOT'!D37=1,"",'試算-SLOT'!D37)</f>
        <v/>
      </c>
      <c r="E37" s="64">
        <v>0.01</v>
      </c>
      <c r="F37" s="75">
        <v>1.0</v>
      </c>
      <c r="G37" s="75">
        <v>2.0</v>
      </c>
      <c r="H37" s="75">
        <v>3.0</v>
      </c>
      <c r="I37" s="75">
        <v>4.0</v>
      </c>
      <c r="J37" s="75">
        <v>5.0</v>
      </c>
      <c r="K37" s="75">
        <v>6.0</v>
      </c>
      <c r="L37" s="75">
        <v>7.0</v>
      </c>
      <c r="M37" s="75">
        <v>8.0</v>
      </c>
      <c r="N37" s="75">
        <v>9.0</v>
      </c>
      <c r="O37" s="75">
        <v>10.0</v>
      </c>
      <c r="P37" s="75">
        <v>11.0</v>
      </c>
      <c r="Q37" s="75">
        <v>13.0</v>
      </c>
      <c r="R37" s="75">
        <v>15.0</v>
      </c>
      <c r="S37" s="75">
        <v>16.0</v>
      </c>
      <c r="T37" s="75">
        <v>17.0</v>
      </c>
      <c r="U37" s="75">
        <v>18.0</v>
      </c>
      <c r="V37" s="75">
        <v>20.0</v>
      </c>
      <c r="W37" s="75">
        <v>21.0</v>
      </c>
      <c r="X37" s="75">
        <v>23.0</v>
      </c>
      <c r="Y37" s="75">
        <v>25.0</v>
      </c>
      <c r="Z37" s="78"/>
      <c r="AA37" s="52"/>
    </row>
    <row r="38" ht="16.5" customHeight="1">
      <c r="A38" s="48" t="str">
        <f>'試算-SLOT'!A38</f>
        <v>GBP</v>
      </c>
      <c r="B38" s="48" t="str">
        <f>'試算-SLOT'!B38</f>
        <v>£</v>
      </c>
      <c r="C38" s="48" t="str">
        <f>'試算-SLOT'!C38</f>
        <v>英鎊</v>
      </c>
      <c r="D38" s="48" t="str">
        <f>IF('試算-SLOT'!D38=1,"",'試算-SLOT'!D38)</f>
        <v/>
      </c>
      <c r="E38" s="64">
        <v>0.001</v>
      </c>
      <c r="F38" s="75">
        <v>1.0</v>
      </c>
      <c r="G38" s="75">
        <v>2.0</v>
      </c>
      <c r="H38" s="75">
        <v>3.0</v>
      </c>
      <c r="I38" s="75">
        <v>4.0</v>
      </c>
      <c r="J38" s="75">
        <v>5.0</v>
      </c>
      <c r="K38" s="75">
        <v>6.0</v>
      </c>
      <c r="L38" s="75">
        <v>7.0</v>
      </c>
      <c r="M38" s="75">
        <v>8.0</v>
      </c>
      <c r="N38" s="75">
        <v>9.0</v>
      </c>
      <c r="O38" s="75">
        <v>10.0</v>
      </c>
      <c r="P38" s="75">
        <v>11.0</v>
      </c>
      <c r="Q38" s="75">
        <v>12.0</v>
      </c>
      <c r="R38" s="75">
        <v>13.0</v>
      </c>
      <c r="S38" s="75">
        <v>14.0</v>
      </c>
      <c r="T38" s="75">
        <v>15.0</v>
      </c>
      <c r="U38" s="75">
        <v>16.0</v>
      </c>
      <c r="V38" s="75">
        <v>17.0</v>
      </c>
      <c r="W38" s="75">
        <v>18.0</v>
      </c>
      <c r="X38" s="75">
        <v>19.0</v>
      </c>
      <c r="Y38" s="75">
        <v>20.0</v>
      </c>
      <c r="Z38" s="78"/>
      <c r="AA38" s="52"/>
    </row>
    <row r="39" ht="16.5" customHeight="1">
      <c r="A39" s="48" t="str">
        <f>'試算-SLOT'!A39</f>
        <v>NPR</v>
      </c>
      <c r="B39" s="48" t="str">
        <f>'試算-SLOT'!B39</f>
        <v>रू</v>
      </c>
      <c r="C39" s="48" t="str">
        <f>'試算-SLOT'!C39</f>
        <v>尼泊爾盧比</v>
      </c>
      <c r="D39" s="48" t="str">
        <f>IF('試算-SLOT'!D39=1,"",'試算-SLOT'!D39)</f>
        <v/>
      </c>
      <c r="E39" s="64">
        <v>0.02</v>
      </c>
      <c r="F39" s="75">
        <v>1.0</v>
      </c>
      <c r="G39" s="75">
        <v>2.0</v>
      </c>
      <c r="H39" s="75">
        <v>3.0</v>
      </c>
      <c r="I39" s="75">
        <v>4.0</v>
      </c>
      <c r="J39" s="75">
        <v>5.0</v>
      </c>
      <c r="K39" s="75">
        <v>6.0</v>
      </c>
      <c r="L39" s="75">
        <v>7.0</v>
      </c>
      <c r="M39" s="75">
        <v>8.0</v>
      </c>
      <c r="N39" s="75">
        <v>9.0</v>
      </c>
      <c r="O39" s="75">
        <v>10.0</v>
      </c>
      <c r="P39" s="75">
        <v>11.0</v>
      </c>
      <c r="Q39" s="75">
        <v>13.0</v>
      </c>
      <c r="R39" s="75">
        <v>15.0</v>
      </c>
      <c r="S39" s="75">
        <v>16.0</v>
      </c>
      <c r="T39" s="75">
        <v>17.0</v>
      </c>
      <c r="U39" s="75">
        <v>18.0</v>
      </c>
      <c r="V39" s="75">
        <v>20.0</v>
      </c>
      <c r="W39" s="75">
        <v>21.0</v>
      </c>
      <c r="X39" s="75">
        <v>23.0</v>
      </c>
      <c r="Y39" s="75">
        <v>25.0</v>
      </c>
      <c r="Z39" s="78"/>
      <c r="AA39" s="52"/>
    </row>
    <row r="40" ht="16.5" customHeight="1">
      <c r="A40" s="48" t="str">
        <f>'試算-SLOT'!A40</f>
        <v>CHF</v>
      </c>
      <c r="B40" s="48" t="str">
        <f>'試算-SLOT'!B40</f>
        <v>CHF</v>
      </c>
      <c r="C40" s="48" t="str">
        <f>'試算-SLOT'!C40</f>
        <v>瑞士法郎</v>
      </c>
      <c r="D40" s="48" t="str">
        <f>IF('試算-SLOT'!D40=1,"",'試算-SLOT'!D40)</f>
        <v/>
      </c>
      <c r="E40" s="64">
        <v>0.001</v>
      </c>
      <c r="F40" s="75">
        <v>1.0</v>
      </c>
      <c r="G40" s="75">
        <v>2.0</v>
      </c>
      <c r="H40" s="75">
        <v>3.0</v>
      </c>
      <c r="I40" s="75">
        <v>4.0</v>
      </c>
      <c r="J40" s="75">
        <v>5.0</v>
      </c>
      <c r="K40" s="75">
        <v>6.0</v>
      </c>
      <c r="L40" s="75">
        <v>7.0</v>
      </c>
      <c r="M40" s="75">
        <v>8.0</v>
      </c>
      <c r="N40" s="75">
        <v>9.0</v>
      </c>
      <c r="O40" s="75">
        <v>10.0</v>
      </c>
      <c r="P40" s="75">
        <v>11.0</v>
      </c>
      <c r="Q40" s="75">
        <v>12.0</v>
      </c>
      <c r="R40" s="75">
        <v>13.0</v>
      </c>
      <c r="S40" s="75">
        <v>14.0</v>
      </c>
      <c r="T40" s="75">
        <v>15.0</v>
      </c>
      <c r="U40" s="75">
        <v>16.0</v>
      </c>
      <c r="V40" s="75">
        <v>17.0</v>
      </c>
      <c r="W40" s="75">
        <v>18.0</v>
      </c>
      <c r="X40" s="75">
        <v>19.0</v>
      </c>
      <c r="Y40" s="75">
        <v>20.0</v>
      </c>
      <c r="Z40" s="78"/>
      <c r="AA40" s="52"/>
    </row>
    <row r="41" ht="16.5" customHeight="1">
      <c r="A41" s="48" t="str">
        <f>'試算-SLOT'!A41</f>
        <v>CAD</v>
      </c>
      <c r="B41" s="48" t="str">
        <f>'試算-SLOT'!B41</f>
        <v>$</v>
      </c>
      <c r="C41" s="48" t="str">
        <f>'試算-SLOT'!C41</f>
        <v>加幣</v>
      </c>
      <c r="D41" s="48" t="str">
        <f>IF('試算-SLOT'!D41=1,"",'試算-SLOT'!D41)</f>
        <v/>
      </c>
      <c r="E41" s="64">
        <v>0.001</v>
      </c>
      <c r="F41" s="75">
        <v>1.0</v>
      </c>
      <c r="G41" s="75">
        <v>2.0</v>
      </c>
      <c r="H41" s="75">
        <v>3.0</v>
      </c>
      <c r="I41" s="75">
        <v>4.0</v>
      </c>
      <c r="J41" s="75">
        <v>5.0</v>
      </c>
      <c r="K41" s="75">
        <v>6.0</v>
      </c>
      <c r="L41" s="75">
        <v>7.0</v>
      </c>
      <c r="M41" s="75">
        <v>8.0</v>
      </c>
      <c r="N41" s="75">
        <v>9.0</v>
      </c>
      <c r="O41" s="75">
        <v>10.0</v>
      </c>
      <c r="P41" s="75">
        <v>11.0</v>
      </c>
      <c r="Q41" s="75">
        <v>12.0</v>
      </c>
      <c r="R41" s="75">
        <v>13.0</v>
      </c>
      <c r="S41" s="75">
        <v>14.0</v>
      </c>
      <c r="T41" s="75">
        <v>15.0</v>
      </c>
      <c r="U41" s="75">
        <v>16.0</v>
      </c>
      <c r="V41" s="75">
        <v>17.0</v>
      </c>
      <c r="W41" s="75">
        <v>18.0</v>
      </c>
      <c r="X41" s="75">
        <v>19.0</v>
      </c>
      <c r="Y41" s="75">
        <v>20.0</v>
      </c>
      <c r="Z41" s="78"/>
      <c r="AA41" s="52"/>
    </row>
    <row r="42" ht="16.5" customHeight="1">
      <c r="A42" s="48" t="str">
        <f>'試算-SLOT'!A42</f>
        <v>PEN</v>
      </c>
      <c r="B42" s="48" t="str">
        <f>'試算-SLOT'!B42</f>
        <v>PEN</v>
      </c>
      <c r="C42" s="48" t="str">
        <f>'試算-SLOT'!C42</f>
        <v>秘魯新索爾</v>
      </c>
      <c r="D42" s="48" t="str">
        <f>IF('試算-SLOT'!D42=1,"",'試算-SLOT'!D42)</f>
        <v/>
      </c>
      <c r="E42" s="64">
        <v>0.01</v>
      </c>
      <c r="F42" s="75">
        <v>1.0</v>
      </c>
      <c r="G42" s="75">
        <v>2.0</v>
      </c>
      <c r="H42" s="75">
        <v>3.0</v>
      </c>
      <c r="I42" s="75">
        <v>4.0</v>
      </c>
      <c r="J42" s="75">
        <v>5.0</v>
      </c>
      <c r="K42" s="75">
        <v>6.0</v>
      </c>
      <c r="L42" s="75">
        <v>7.0</v>
      </c>
      <c r="M42" s="75">
        <v>8.0</v>
      </c>
      <c r="N42" s="75">
        <v>9.0</v>
      </c>
      <c r="O42" s="75">
        <v>10.0</v>
      </c>
      <c r="P42" s="75">
        <v>11.0</v>
      </c>
      <c r="Q42" s="75">
        <v>13.0</v>
      </c>
      <c r="R42" s="75">
        <v>15.0</v>
      </c>
      <c r="S42" s="75">
        <v>16.0</v>
      </c>
      <c r="T42" s="75">
        <v>17.0</v>
      </c>
      <c r="U42" s="75">
        <v>18.0</v>
      </c>
      <c r="V42" s="75">
        <v>20.0</v>
      </c>
      <c r="W42" s="75">
        <v>21.0</v>
      </c>
      <c r="X42" s="75">
        <v>23.0</v>
      </c>
      <c r="Y42" s="75">
        <v>25.0</v>
      </c>
      <c r="Z42" s="78"/>
      <c r="AA42" s="52"/>
    </row>
    <row r="43" ht="16.5" customHeight="1">
      <c r="A43" s="48" t="str">
        <f>'試算-SLOT'!A43</f>
        <v>AED</v>
      </c>
      <c r="B43" s="48" t="str">
        <f>'試算-SLOT'!B43</f>
        <v>AED</v>
      </c>
      <c r="C43" s="48" t="str">
        <f>'試算-SLOT'!C43</f>
        <v>阿聯迪拉姆</v>
      </c>
      <c r="D43" s="48" t="str">
        <f>IF('試算-SLOT'!D43=1,"",'試算-SLOT'!D43)</f>
        <v/>
      </c>
      <c r="E43" s="64">
        <v>0.01</v>
      </c>
      <c r="F43" s="75">
        <v>1.0</v>
      </c>
      <c r="G43" s="75">
        <v>2.0</v>
      </c>
      <c r="H43" s="75">
        <v>3.0</v>
      </c>
      <c r="I43" s="75">
        <v>4.0</v>
      </c>
      <c r="J43" s="75">
        <v>5.0</v>
      </c>
      <c r="K43" s="75">
        <v>6.0</v>
      </c>
      <c r="L43" s="75">
        <v>7.0</v>
      </c>
      <c r="M43" s="75">
        <v>8.0</v>
      </c>
      <c r="N43" s="75">
        <v>9.0</v>
      </c>
      <c r="O43" s="75">
        <v>10.0</v>
      </c>
      <c r="P43" s="75">
        <v>11.0</v>
      </c>
      <c r="Q43" s="75">
        <v>13.0</v>
      </c>
      <c r="R43" s="75">
        <v>15.0</v>
      </c>
      <c r="S43" s="75">
        <v>16.0</v>
      </c>
      <c r="T43" s="75">
        <v>17.0</v>
      </c>
      <c r="U43" s="75">
        <v>18.0</v>
      </c>
      <c r="V43" s="75">
        <v>20.0</v>
      </c>
      <c r="W43" s="75">
        <v>21.0</v>
      </c>
      <c r="X43" s="75">
        <v>23.0</v>
      </c>
      <c r="Y43" s="75">
        <v>25.0</v>
      </c>
      <c r="Z43" s="78"/>
      <c r="AA43" s="52"/>
    </row>
    <row r="44" ht="16.5" customHeight="1">
      <c r="A44" s="48" t="str">
        <f>'試算-SLOT'!A44</f>
        <v>BND</v>
      </c>
      <c r="B44" s="48" t="str">
        <f>'試算-SLOT'!B44</f>
        <v>B$</v>
      </c>
      <c r="C44" s="48" t="str">
        <f>'試算-SLOT'!C44</f>
        <v>汶萊幣</v>
      </c>
      <c r="D44" s="48" t="str">
        <f>IF('試算-SLOT'!D44=1,"",'試算-SLOT'!D44)</f>
        <v/>
      </c>
      <c r="E44" s="64">
        <v>0.001</v>
      </c>
      <c r="F44" s="75">
        <v>1.0</v>
      </c>
      <c r="G44" s="75">
        <v>2.0</v>
      </c>
      <c r="H44" s="75">
        <v>3.0</v>
      </c>
      <c r="I44" s="75">
        <v>4.0</v>
      </c>
      <c r="J44" s="75">
        <v>5.0</v>
      </c>
      <c r="K44" s="75">
        <v>6.0</v>
      </c>
      <c r="L44" s="75">
        <v>7.0</v>
      </c>
      <c r="M44" s="75">
        <v>8.0</v>
      </c>
      <c r="N44" s="75">
        <v>9.0</v>
      </c>
      <c r="O44" s="75">
        <v>10.0</v>
      </c>
      <c r="P44" s="75">
        <v>11.0</v>
      </c>
      <c r="Q44" s="75">
        <v>12.0</v>
      </c>
      <c r="R44" s="75">
        <v>13.0</v>
      </c>
      <c r="S44" s="75">
        <v>14.0</v>
      </c>
      <c r="T44" s="75">
        <v>15.0</v>
      </c>
      <c r="U44" s="75">
        <v>16.0</v>
      </c>
      <c r="V44" s="75">
        <v>17.0</v>
      </c>
      <c r="W44" s="75">
        <v>18.0</v>
      </c>
      <c r="X44" s="75">
        <v>19.0</v>
      </c>
      <c r="Y44" s="75">
        <v>20.0</v>
      </c>
      <c r="Z44" s="78"/>
      <c r="AA44" s="52"/>
    </row>
    <row r="45" ht="16.5" customHeight="1">
      <c r="A45" s="48" t="str">
        <f>'試算-SLOT'!A45</f>
        <v>COP</v>
      </c>
      <c r="B45" s="48" t="str">
        <f>'試算-SLOT'!B45</f>
        <v>$</v>
      </c>
      <c r="C45" s="48" t="str">
        <f>'試算-SLOT'!C45</f>
        <v>哥倫比亞披索</v>
      </c>
      <c r="D45" s="48" t="str">
        <f>IF('試算-SLOT'!D45=1,"",'試算-SLOT'!D45)</f>
        <v/>
      </c>
      <c r="E45" s="64">
        <v>0.2</v>
      </c>
      <c r="F45" s="75">
        <v>1.0</v>
      </c>
      <c r="G45" s="75">
        <v>2.0</v>
      </c>
      <c r="H45" s="75">
        <v>3.0</v>
      </c>
      <c r="I45" s="75">
        <v>4.0</v>
      </c>
      <c r="J45" s="75">
        <v>5.0</v>
      </c>
      <c r="K45" s="75">
        <v>6.0</v>
      </c>
      <c r="L45" s="75">
        <v>7.0</v>
      </c>
      <c r="M45" s="75">
        <v>8.0</v>
      </c>
      <c r="N45" s="75">
        <v>9.0</v>
      </c>
      <c r="O45" s="75">
        <v>10.0</v>
      </c>
      <c r="P45" s="75">
        <v>11.0</v>
      </c>
      <c r="Q45" s="75">
        <v>13.0</v>
      </c>
      <c r="R45" s="75">
        <v>15.0</v>
      </c>
      <c r="S45" s="75">
        <v>16.0</v>
      </c>
      <c r="T45" s="75">
        <v>17.0</v>
      </c>
      <c r="U45" s="75">
        <v>18.0</v>
      </c>
      <c r="V45" s="75">
        <v>20.0</v>
      </c>
      <c r="W45" s="75">
        <v>21.0</v>
      </c>
      <c r="X45" s="75">
        <v>23.0</v>
      </c>
      <c r="Y45" s="75">
        <v>25.0</v>
      </c>
      <c r="Z45" s="78"/>
      <c r="AA45" s="52"/>
    </row>
    <row r="46" ht="16.5" customHeight="1">
      <c r="A46" s="48" t="str">
        <f>'試算-SLOT'!A46</f>
        <v>VNDO</v>
      </c>
      <c r="B46" s="48" t="str">
        <f>'試算-SLOT'!B46</f>
        <v>₫</v>
      </c>
      <c r="C46" s="48" t="str">
        <f>'試算-SLOT'!C46</f>
        <v>越南盾</v>
      </c>
      <c r="D46" s="48" t="str">
        <f>IF('試算-SLOT'!D46=1,"",'試算-SLOT'!D46)</f>
        <v/>
      </c>
      <c r="E46" s="64">
        <v>0.2</v>
      </c>
      <c r="F46" s="75">
        <v>1.0</v>
      </c>
      <c r="G46" s="75">
        <v>2.0</v>
      </c>
      <c r="H46" s="75">
        <v>3.0</v>
      </c>
      <c r="I46" s="75">
        <v>4.0</v>
      </c>
      <c r="J46" s="75">
        <v>5.0</v>
      </c>
      <c r="K46" s="75">
        <v>6.0</v>
      </c>
      <c r="L46" s="75">
        <v>7.0</v>
      </c>
      <c r="M46" s="75">
        <v>8.0</v>
      </c>
      <c r="N46" s="75">
        <v>9.0</v>
      </c>
      <c r="O46" s="75">
        <v>10.0</v>
      </c>
      <c r="P46" s="75">
        <v>11.0</v>
      </c>
      <c r="Q46" s="75">
        <v>13.0</v>
      </c>
      <c r="R46" s="75">
        <v>15.0</v>
      </c>
      <c r="S46" s="75">
        <v>16.0</v>
      </c>
      <c r="T46" s="75">
        <v>17.0</v>
      </c>
      <c r="U46" s="75">
        <v>18.0</v>
      </c>
      <c r="V46" s="75">
        <v>20.0</v>
      </c>
      <c r="W46" s="75">
        <v>21.0</v>
      </c>
      <c r="X46" s="75">
        <v>23.0</v>
      </c>
      <c r="Y46" s="75">
        <v>25.0</v>
      </c>
      <c r="Z46" s="78"/>
      <c r="AA46" s="52"/>
    </row>
    <row r="47" ht="16.5" customHeight="1">
      <c r="A47" s="48" t="str">
        <f>'試算-SLOT'!A47</f>
        <v>MYRC</v>
      </c>
      <c r="B47" s="48" t="str">
        <f>'試算-SLOT'!B47</f>
        <v>RM</v>
      </c>
      <c r="C47" s="48" t="str">
        <f>'試算-SLOT'!C47</f>
        <v>馬來西亞令吉</v>
      </c>
      <c r="D47" s="48">
        <f>IF('試算-SLOT'!D47=1,"",'試算-SLOT'!D47)</f>
        <v>0.01</v>
      </c>
      <c r="E47" s="64">
        <v>0.01</v>
      </c>
      <c r="F47" s="75">
        <v>1.0</v>
      </c>
      <c r="G47" s="75">
        <v>2.0</v>
      </c>
      <c r="H47" s="75">
        <v>3.0</v>
      </c>
      <c r="I47" s="75">
        <v>4.0</v>
      </c>
      <c r="J47" s="75">
        <v>5.0</v>
      </c>
      <c r="K47" s="75">
        <v>6.0</v>
      </c>
      <c r="L47" s="75">
        <v>7.0</v>
      </c>
      <c r="M47" s="75">
        <v>8.0</v>
      </c>
      <c r="N47" s="75">
        <v>9.0</v>
      </c>
      <c r="O47" s="75">
        <v>10.0</v>
      </c>
      <c r="P47" s="75">
        <v>11.0</v>
      </c>
      <c r="Q47" s="75">
        <v>13.0</v>
      </c>
      <c r="R47" s="75">
        <v>15.0</v>
      </c>
      <c r="S47" s="75">
        <v>16.0</v>
      </c>
      <c r="T47" s="75">
        <v>17.0</v>
      </c>
      <c r="U47" s="75">
        <v>18.0</v>
      </c>
      <c r="V47" s="75">
        <v>20.0</v>
      </c>
      <c r="W47" s="75">
        <v>21.0</v>
      </c>
      <c r="X47" s="75">
        <v>23.0</v>
      </c>
      <c r="Y47" s="75">
        <v>25.0</v>
      </c>
      <c r="Z47" s="78"/>
      <c r="AA47" s="36"/>
    </row>
    <row r="48" ht="16.5" customHeight="1">
      <c r="A48" s="48" t="str">
        <f>'試算-SLOT'!A48</f>
        <v>XSD</v>
      </c>
      <c r="B48" s="48" t="str">
        <f>'試算-SLOT'!B48</f>
        <v/>
      </c>
      <c r="C48" s="48" t="str">
        <f>'試算-SLOT'!C48</f>
        <v>星幣</v>
      </c>
      <c r="D48" s="48" t="str">
        <f>IF('試算-SLOT'!D48=1,"",'試算-SLOT'!D48)</f>
        <v/>
      </c>
      <c r="E48" s="64">
        <v>1.0</v>
      </c>
      <c r="F48" s="75">
        <v>2.0</v>
      </c>
      <c r="G48" s="75">
        <v>3.0</v>
      </c>
      <c r="H48" s="75">
        <v>4.0</v>
      </c>
      <c r="I48" s="75">
        <v>5.0</v>
      </c>
      <c r="J48" s="75">
        <v>6.0</v>
      </c>
      <c r="K48" s="75">
        <v>7.0</v>
      </c>
      <c r="L48" s="75">
        <v>8.0</v>
      </c>
      <c r="M48" s="75">
        <v>9.0</v>
      </c>
      <c r="N48" s="75">
        <v>10.0</v>
      </c>
      <c r="O48" s="75">
        <v>11.0</v>
      </c>
      <c r="P48" s="75">
        <v>12.0</v>
      </c>
      <c r="Q48" s="75">
        <v>13.0</v>
      </c>
      <c r="R48" s="75">
        <v>15.0</v>
      </c>
      <c r="S48" s="75">
        <v>16.0</v>
      </c>
      <c r="T48" s="75">
        <v>17.0</v>
      </c>
      <c r="U48" s="75">
        <v>19.0</v>
      </c>
      <c r="V48" s="75">
        <v>20.0</v>
      </c>
      <c r="W48" s="75">
        <v>21.0</v>
      </c>
      <c r="X48" s="75">
        <v>22.0</v>
      </c>
      <c r="Y48" s="75">
        <v>23.0</v>
      </c>
      <c r="Z48" s="53"/>
      <c r="AA48" s="115"/>
    </row>
    <row r="49" ht="16.5" customHeight="1">
      <c r="A49" s="48" t="str">
        <f>'試算-SLOT'!A49</f>
        <v>DZD</v>
      </c>
      <c r="B49" s="48" t="str">
        <f>'試算-SLOT'!B49</f>
        <v>دج</v>
      </c>
      <c r="C49" s="48" t="str">
        <f>'試算-SLOT'!C49</f>
        <v>阿爾及利亞第納爾</v>
      </c>
      <c r="D49" s="48" t="str">
        <f>IF('試算-SLOT'!D49=1,"",'試算-SLOT'!D49)</f>
        <v/>
      </c>
      <c r="E49" s="64">
        <v>0.01</v>
      </c>
      <c r="F49" s="75">
        <v>1.0</v>
      </c>
      <c r="G49" s="75">
        <v>2.0</v>
      </c>
      <c r="H49" s="75">
        <v>3.0</v>
      </c>
      <c r="I49" s="75">
        <v>4.0</v>
      </c>
      <c r="J49" s="75">
        <v>5.0</v>
      </c>
      <c r="K49" s="75">
        <v>6.0</v>
      </c>
      <c r="L49" s="75">
        <v>7.0</v>
      </c>
      <c r="M49" s="75">
        <v>8.0</v>
      </c>
      <c r="N49" s="75">
        <v>9.0</v>
      </c>
      <c r="O49" s="75">
        <v>10.0</v>
      </c>
      <c r="P49" s="75">
        <v>11.0</v>
      </c>
      <c r="Q49" s="75">
        <v>13.0</v>
      </c>
      <c r="R49" s="75">
        <v>15.0</v>
      </c>
      <c r="S49" s="75">
        <v>16.0</v>
      </c>
      <c r="T49" s="75">
        <v>17.0</v>
      </c>
      <c r="U49" s="75">
        <v>18.0</v>
      </c>
      <c r="V49" s="75">
        <v>20.0</v>
      </c>
      <c r="W49" s="75">
        <v>21.0</v>
      </c>
      <c r="X49" s="75">
        <v>23.0</v>
      </c>
      <c r="Y49" s="75">
        <v>25.0</v>
      </c>
      <c r="Z49" s="53"/>
      <c r="AA49" s="115"/>
    </row>
    <row r="50" ht="16.5" customHeight="1">
      <c r="A50" s="48" t="str">
        <f>'試算-SLOT'!A50</f>
        <v>MAD</v>
      </c>
      <c r="B50" s="48" t="str">
        <f>'試算-SLOT'!B50</f>
        <v>DH</v>
      </c>
      <c r="C50" s="48" t="str">
        <f>'試算-SLOT'!C50</f>
        <v>摩洛哥迪拉姆</v>
      </c>
      <c r="D50" s="48" t="str">
        <f>IF('試算-SLOT'!D50=1,"",'試算-SLOT'!D50)</f>
        <v/>
      </c>
      <c r="E50" s="64">
        <v>0.01</v>
      </c>
      <c r="F50" s="75">
        <v>1.0</v>
      </c>
      <c r="G50" s="75">
        <v>2.0</v>
      </c>
      <c r="H50" s="75">
        <v>3.0</v>
      </c>
      <c r="I50" s="75">
        <v>4.0</v>
      </c>
      <c r="J50" s="75">
        <v>5.0</v>
      </c>
      <c r="K50" s="75">
        <v>6.0</v>
      </c>
      <c r="L50" s="75">
        <v>7.0</v>
      </c>
      <c r="M50" s="75">
        <v>8.0</v>
      </c>
      <c r="N50" s="75">
        <v>9.0</v>
      </c>
      <c r="O50" s="75">
        <v>10.0</v>
      </c>
      <c r="P50" s="75">
        <v>11.0</v>
      </c>
      <c r="Q50" s="75">
        <v>13.0</v>
      </c>
      <c r="R50" s="75">
        <v>15.0</v>
      </c>
      <c r="S50" s="75">
        <v>16.0</v>
      </c>
      <c r="T50" s="75">
        <v>17.0</v>
      </c>
      <c r="U50" s="75">
        <v>18.0</v>
      </c>
      <c r="V50" s="75">
        <v>20.0</v>
      </c>
      <c r="W50" s="75">
        <v>21.0</v>
      </c>
      <c r="X50" s="75">
        <v>23.0</v>
      </c>
      <c r="Y50" s="75">
        <v>25.0</v>
      </c>
      <c r="Z50" s="53"/>
      <c r="AA50" s="115"/>
    </row>
    <row r="51" ht="16.5" customHeight="1">
      <c r="A51" s="48" t="str">
        <f>'試算-SLOT'!A51</f>
        <v>FRF</v>
      </c>
      <c r="B51" s="48" t="str">
        <f>'試算-SLOT'!B51</f>
        <v>₣</v>
      </c>
      <c r="C51" s="48" t="str">
        <f>'試算-SLOT'!C51</f>
        <v>法國法郎</v>
      </c>
      <c r="D51" s="48" t="str">
        <f>IF('試算-SLOT'!D51=1,"",'試算-SLOT'!D51)</f>
        <v/>
      </c>
      <c r="E51" s="64">
        <v>0.01</v>
      </c>
      <c r="F51" s="75">
        <v>1.0</v>
      </c>
      <c r="G51" s="75">
        <v>2.0</v>
      </c>
      <c r="H51" s="75">
        <v>3.0</v>
      </c>
      <c r="I51" s="75">
        <v>4.0</v>
      </c>
      <c r="J51" s="75">
        <v>5.0</v>
      </c>
      <c r="K51" s="75">
        <v>6.0</v>
      </c>
      <c r="L51" s="75">
        <v>7.0</v>
      </c>
      <c r="M51" s="75">
        <v>8.0</v>
      </c>
      <c r="N51" s="75">
        <v>9.0</v>
      </c>
      <c r="O51" s="75">
        <v>10.0</v>
      </c>
      <c r="P51" s="75">
        <v>11.0</v>
      </c>
      <c r="Q51" s="75">
        <v>13.0</v>
      </c>
      <c r="R51" s="75">
        <v>15.0</v>
      </c>
      <c r="S51" s="75">
        <v>16.0</v>
      </c>
      <c r="T51" s="75">
        <v>17.0</v>
      </c>
      <c r="U51" s="75">
        <v>18.0</v>
      </c>
      <c r="V51" s="75">
        <v>20.0</v>
      </c>
      <c r="W51" s="75">
        <v>21.0</v>
      </c>
      <c r="X51" s="75">
        <v>23.0</v>
      </c>
      <c r="Y51" s="75">
        <v>25.0</v>
      </c>
      <c r="Z51" s="53"/>
      <c r="AA51" s="115"/>
    </row>
    <row r="52" ht="16.5" customHeight="1">
      <c r="A52" s="48" t="str">
        <f>'試算-SLOT'!A52</f>
        <v>GHS</v>
      </c>
      <c r="B52" s="48" t="str">
        <f>'試算-SLOT'!B52</f>
        <v>Gp</v>
      </c>
      <c r="C52" s="48" t="str">
        <f>'試算-SLOT'!C52</f>
        <v>迦納塞地</v>
      </c>
      <c r="D52" s="48" t="str">
        <f>IF('試算-SLOT'!D52=1,"",'試算-SLOT'!D52)</f>
        <v/>
      </c>
      <c r="E52" s="64">
        <v>0.01</v>
      </c>
      <c r="F52" s="75">
        <v>1.0</v>
      </c>
      <c r="G52" s="75">
        <v>2.0</v>
      </c>
      <c r="H52" s="75">
        <v>3.0</v>
      </c>
      <c r="I52" s="75">
        <v>4.0</v>
      </c>
      <c r="J52" s="75">
        <v>5.0</v>
      </c>
      <c r="K52" s="75">
        <v>6.0</v>
      </c>
      <c r="L52" s="75">
        <v>7.0</v>
      </c>
      <c r="M52" s="75">
        <v>8.0</v>
      </c>
      <c r="N52" s="75">
        <v>9.0</v>
      </c>
      <c r="O52" s="75">
        <v>10.0</v>
      </c>
      <c r="P52" s="75">
        <v>11.0</v>
      </c>
      <c r="Q52" s="75">
        <v>13.0</v>
      </c>
      <c r="R52" s="75">
        <v>15.0</v>
      </c>
      <c r="S52" s="75">
        <v>16.0</v>
      </c>
      <c r="T52" s="75">
        <v>17.0</v>
      </c>
      <c r="U52" s="75">
        <v>18.0</v>
      </c>
      <c r="V52" s="75">
        <v>20.0</v>
      </c>
      <c r="W52" s="75">
        <v>21.0</v>
      </c>
      <c r="X52" s="75">
        <v>23.0</v>
      </c>
      <c r="Y52" s="75">
        <v>25.0</v>
      </c>
      <c r="Z52" s="53"/>
      <c r="AA52" s="115"/>
    </row>
    <row r="53" ht="16.5" customHeight="1">
      <c r="A53" s="57"/>
      <c r="B53" s="57"/>
      <c r="C53" s="57"/>
      <c r="D53" s="57"/>
      <c r="E53" s="58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3"/>
    </row>
    <row r="54" ht="16.5" customHeight="1">
      <c r="A54" s="116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3"/>
    </row>
    <row r="55" ht="16.5" customHeight="1">
      <c r="A55" s="74" t="str">
        <f t="shared" ref="A55:Y55" si="1">A5</f>
        <v>貨幣簡稱</v>
      </c>
      <c r="B55" s="50" t="str">
        <f t="shared" si="1"/>
        <v>貨幣符號</v>
      </c>
      <c r="C55" s="50" t="str">
        <f t="shared" si="1"/>
        <v>中文名稱</v>
      </c>
      <c r="D55" s="50" t="str">
        <f t="shared" si="1"/>
        <v>貨幣轉換</v>
      </c>
      <c r="E55" s="50" t="str">
        <f t="shared" si="1"/>
        <v>Denom</v>
      </c>
      <c r="F55" s="50" t="str">
        <f t="shared" si="1"/>
        <v>第 1 組</v>
      </c>
      <c r="G55" s="50" t="str">
        <f t="shared" si="1"/>
        <v>第 2 組</v>
      </c>
      <c r="H55" s="50" t="str">
        <f t="shared" si="1"/>
        <v>第 3 組</v>
      </c>
      <c r="I55" s="50" t="str">
        <f t="shared" si="1"/>
        <v>第 4 組</v>
      </c>
      <c r="J55" s="50" t="str">
        <f t="shared" si="1"/>
        <v>第 5 組</v>
      </c>
      <c r="K55" s="50" t="str">
        <f t="shared" si="1"/>
        <v>第 6 組</v>
      </c>
      <c r="L55" s="50" t="str">
        <f t="shared" si="1"/>
        <v>第 7 組</v>
      </c>
      <c r="M55" s="50" t="str">
        <f t="shared" si="1"/>
        <v>第 8 組</v>
      </c>
      <c r="N55" s="50" t="str">
        <f t="shared" si="1"/>
        <v>第 9 組</v>
      </c>
      <c r="O55" s="50" t="str">
        <f t="shared" si="1"/>
        <v>第 10 組</v>
      </c>
      <c r="P55" s="50" t="str">
        <f t="shared" si="1"/>
        <v>第 11 組</v>
      </c>
      <c r="Q55" s="50" t="str">
        <f t="shared" si="1"/>
        <v>第 12 組</v>
      </c>
      <c r="R55" s="50" t="str">
        <f t="shared" si="1"/>
        <v>第 13 組</v>
      </c>
      <c r="S55" s="50" t="str">
        <f t="shared" si="1"/>
        <v>第 14 組</v>
      </c>
      <c r="T55" s="50" t="str">
        <f t="shared" si="1"/>
        <v>第 15 組</v>
      </c>
      <c r="U55" s="50" t="str">
        <f t="shared" si="1"/>
        <v>第 16 組</v>
      </c>
      <c r="V55" s="50" t="str">
        <f t="shared" si="1"/>
        <v>第 17 組</v>
      </c>
      <c r="W55" s="50" t="str">
        <f t="shared" si="1"/>
        <v>第 18 組</v>
      </c>
      <c r="X55" s="50" t="str">
        <f t="shared" si="1"/>
        <v>第 19 組</v>
      </c>
      <c r="Y55" s="50" t="str">
        <f t="shared" si="1"/>
        <v>第 20 組</v>
      </c>
      <c r="AA55" s="117" t="s">
        <v>71</v>
      </c>
    </row>
    <row r="56" ht="16.5" customHeight="1">
      <c r="A56" s="48" t="str">
        <f t="shared" ref="A56:E56" si="2">A6</f>
        <v>THB</v>
      </c>
      <c r="B56" s="48" t="str">
        <f t="shared" si="2"/>
        <v>฿</v>
      </c>
      <c r="C56" s="48" t="str">
        <f t="shared" si="2"/>
        <v>泰銖</v>
      </c>
      <c r="D56" s="48" t="str">
        <f t="shared" si="2"/>
        <v/>
      </c>
      <c r="E56" s="64">
        <f t="shared" si="2"/>
        <v>0.01</v>
      </c>
      <c r="F56" s="65">
        <f t="shared" ref="F56:Y56" si="3">HLOOKUP(F6,$F$1:$AI$2,2) * $D$1 * $E56</f>
        <v>1.5</v>
      </c>
      <c r="G56" s="65">
        <f t="shared" si="3"/>
        <v>3</v>
      </c>
      <c r="H56" s="65">
        <f t="shared" si="3"/>
        <v>6</v>
      </c>
      <c r="I56" s="65">
        <f t="shared" si="3"/>
        <v>9</v>
      </c>
      <c r="J56" s="65">
        <f t="shared" si="3"/>
        <v>12</v>
      </c>
      <c r="K56" s="65">
        <f t="shared" si="3"/>
        <v>18</v>
      </c>
      <c r="L56" s="65">
        <f t="shared" si="3"/>
        <v>30</v>
      </c>
      <c r="M56" s="65">
        <f t="shared" si="3"/>
        <v>45</v>
      </c>
      <c r="N56" s="65">
        <f t="shared" si="3"/>
        <v>60</v>
      </c>
      <c r="O56" s="65">
        <f t="shared" si="3"/>
        <v>75</v>
      </c>
      <c r="P56" s="65">
        <f t="shared" si="3"/>
        <v>90</v>
      </c>
      <c r="Q56" s="65">
        <f t="shared" si="3"/>
        <v>120</v>
      </c>
      <c r="R56" s="65">
        <f t="shared" si="3"/>
        <v>150</v>
      </c>
      <c r="S56" s="65">
        <f t="shared" si="3"/>
        <v>180</v>
      </c>
      <c r="T56" s="65">
        <f t="shared" si="3"/>
        <v>210</v>
      </c>
      <c r="U56" s="65">
        <f t="shared" si="3"/>
        <v>240</v>
      </c>
      <c r="V56" s="65">
        <f t="shared" si="3"/>
        <v>300</v>
      </c>
      <c r="W56" s="65">
        <f t="shared" si="3"/>
        <v>360</v>
      </c>
      <c r="X56" s="65">
        <f t="shared" si="3"/>
        <v>480</v>
      </c>
      <c r="Y56" s="65">
        <f t="shared" si="3"/>
        <v>600</v>
      </c>
      <c r="AA56" s="80"/>
    </row>
    <row r="57" ht="16.5" customHeight="1">
      <c r="A57" s="48" t="str">
        <f t="shared" ref="A57:E57" si="4">A7</f>
        <v>HKD</v>
      </c>
      <c r="B57" s="48" t="str">
        <f t="shared" si="4"/>
        <v>HK$</v>
      </c>
      <c r="C57" s="48" t="str">
        <f t="shared" si="4"/>
        <v>港幣</v>
      </c>
      <c r="D57" s="48" t="str">
        <f t="shared" si="4"/>
        <v/>
      </c>
      <c r="E57" s="64">
        <f t="shared" si="4"/>
        <v>0.01</v>
      </c>
      <c r="F57" s="65">
        <f t="shared" ref="F57:Y57" si="5">HLOOKUP(F7,$F$1:$AI$2,2) * $D$1 * $E57</f>
        <v>1.5</v>
      </c>
      <c r="G57" s="65">
        <f t="shared" si="5"/>
        <v>3</v>
      </c>
      <c r="H57" s="65">
        <f t="shared" si="5"/>
        <v>6</v>
      </c>
      <c r="I57" s="65">
        <f t="shared" si="5"/>
        <v>9</v>
      </c>
      <c r="J57" s="65">
        <f t="shared" si="5"/>
        <v>12</v>
      </c>
      <c r="K57" s="65">
        <f t="shared" si="5"/>
        <v>18</v>
      </c>
      <c r="L57" s="65">
        <f t="shared" si="5"/>
        <v>30</v>
      </c>
      <c r="M57" s="65">
        <f t="shared" si="5"/>
        <v>45</v>
      </c>
      <c r="N57" s="65">
        <f t="shared" si="5"/>
        <v>60</v>
      </c>
      <c r="O57" s="65">
        <f t="shared" si="5"/>
        <v>75</v>
      </c>
      <c r="P57" s="65">
        <f t="shared" si="5"/>
        <v>90</v>
      </c>
      <c r="Q57" s="65">
        <f t="shared" si="5"/>
        <v>120</v>
      </c>
      <c r="R57" s="65">
        <f t="shared" si="5"/>
        <v>150</v>
      </c>
      <c r="S57" s="65">
        <f t="shared" si="5"/>
        <v>180</v>
      </c>
      <c r="T57" s="65">
        <f t="shared" si="5"/>
        <v>210</v>
      </c>
      <c r="U57" s="65">
        <f t="shared" si="5"/>
        <v>240</v>
      </c>
      <c r="V57" s="65">
        <f t="shared" si="5"/>
        <v>300</v>
      </c>
      <c r="W57" s="65">
        <f t="shared" si="5"/>
        <v>360</v>
      </c>
      <c r="X57" s="65">
        <f t="shared" si="5"/>
        <v>480</v>
      </c>
      <c r="Y57" s="65">
        <f t="shared" si="5"/>
        <v>600</v>
      </c>
      <c r="AA57" s="80"/>
    </row>
    <row r="58" ht="16.5" customHeight="1">
      <c r="A58" s="48" t="str">
        <f t="shared" ref="A58:E58" si="6">A8</f>
        <v>INR</v>
      </c>
      <c r="B58" s="48" t="str">
        <f t="shared" si="6"/>
        <v>₹</v>
      </c>
      <c r="C58" s="48" t="str">
        <f t="shared" si="6"/>
        <v>印度盧比</v>
      </c>
      <c r="D58" s="48" t="str">
        <f t="shared" si="6"/>
        <v/>
      </c>
      <c r="E58" s="64">
        <f t="shared" si="6"/>
        <v>0.01</v>
      </c>
      <c r="F58" s="65">
        <f t="shared" ref="F58:Y58" si="7">HLOOKUP(F8,$F$1:$AI$2,2) * $D$1 * $E58</f>
        <v>1.5</v>
      </c>
      <c r="G58" s="65">
        <f t="shared" si="7"/>
        <v>3</v>
      </c>
      <c r="H58" s="65">
        <f t="shared" si="7"/>
        <v>6</v>
      </c>
      <c r="I58" s="65">
        <f t="shared" si="7"/>
        <v>9</v>
      </c>
      <c r="J58" s="65">
        <f t="shared" si="7"/>
        <v>12</v>
      </c>
      <c r="K58" s="65">
        <f t="shared" si="7"/>
        <v>18</v>
      </c>
      <c r="L58" s="65">
        <f t="shared" si="7"/>
        <v>30</v>
      </c>
      <c r="M58" s="65">
        <f t="shared" si="7"/>
        <v>45</v>
      </c>
      <c r="N58" s="65">
        <f t="shared" si="7"/>
        <v>60</v>
      </c>
      <c r="O58" s="65">
        <f t="shared" si="7"/>
        <v>75</v>
      </c>
      <c r="P58" s="65">
        <f t="shared" si="7"/>
        <v>90</v>
      </c>
      <c r="Q58" s="65">
        <f t="shared" si="7"/>
        <v>120</v>
      </c>
      <c r="R58" s="65">
        <f t="shared" si="7"/>
        <v>150</v>
      </c>
      <c r="S58" s="65">
        <f t="shared" si="7"/>
        <v>180</v>
      </c>
      <c r="T58" s="65">
        <f t="shared" si="7"/>
        <v>210</v>
      </c>
      <c r="U58" s="65">
        <f t="shared" si="7"/>
        <v>240</v>
      </c>
      <c r="V58" s="65">
        <f t="shared" si="7"/>
        <v>300</v>
      </c>
      <c r="W58" s="65">
        <f t="shared" si="7"/>
        <v>360</v>
      </c>
      <c r="X58" s="65">
        <f t="shared" si="7"/>
        <v>480</v>
      </c>
      <c r="Y58" s="65">
        <f t="shared" si="7"/>
        <v>600</v>
      </c>
      <c r="AA58" s="80"/>
    </row>
    <row r="59" ht="16.5" customHeight="1">
      <c r="A59" s="48" t="str">
        <f t="shared" ref="A59:E59" si="8">A9</f>
        <v>IDR</v>
      </c>
      <c r="B59" s="48" t="str">
        <f t="shared" si="8"/>
        <v>Rp</v>
      </c>
      <c r="C59" s="48" t="str">
        <f t="shared" si="8"/>
        <v>印尼盧比(K)</v>
      </c>
      <c r="D59" s="48">
        <f t="shared" si="8"/>
        <v>1000</v>
      </c>
      <c r="E59" s="64">
        <f t="shared" si="8"/>
        <v>0.01</v>
      </c>
      <c r="F59" s="65">
        <f t="shared" ref="F59:Y59" si="9">HLOOKUP(F9,$F$1:$AI$2,2) * $D$1 * $E59</f>
        <v>1.5</v>
      </c>
      <c r="G59" s="65">
        <f t="shared" si="9"/>
        <v>3</v>
      </c>
      <c r="H59" s="65">
        <f t="shared" si="9"/>
        <v>6</v>
      </c>
      <c r="I59" s="65">
        <f t="shared" si="9"/>
        <v>9</v>
      </c>
      <c r="J59" s="65">
        <f t="shared" si="9"/>
        <v>12</v>
      </c>
      <c r="K59" s="65">
        <f t="shared" si="9"/>
        <v>18</v>
      </c>
      <c r="L59" s="65">
        <f t="shared" si="9"/>
        <v>30</v>
      </c>
      <c r="M59" s="65">
        <f t="shared" si="9"/>
        <v>45</v>
      </c>
      <c r="N59" s="65">
        <f t="shared" si="9"/>
        <v>60</v>
      </c>
      <c r="O59" s="65">
        <f t="shared" si="9"/>
        <v>75</v>
      </c>
      <c r="P59" s="65">
        <f t="shared" si="9"/>
        <v>90</v>
      </c>
      <c r="Q59" s="65">
        <f t="shared" si="9"/>
        <v>120</v>
      </c>
      <c r="R59" s="65">
        <f t="shared" si="9"/>
        <v>150</v>
      </c>
      <c r="S59" s="65">
        <f t="shared" si="9"/>
        <v>180</v>
      </c>
      <c r="T59" s="65">
        <f t="shared" si="9"/>
        <v>210</v>
      </c>
      <c r="U59" s="65">
        <f t="shared" si="9"/>
        <v>240</v>
      </c>
      <c r="V59" s="65">
        <f t="shared" si="9"/>
        <v>300</v>
      </c>
      <c r="W59" s="65">
        <f t="shared" si="9"/>
        <v>360</v>
      </c>
      <c r="X59" s="65">
        <f t="shared" si="9"/>
        <v>480</v>
      </c>
      <c r="Y59" s="65">
        <f t="shared" si="9"/>
        <v>600</v>
      </c>
      <c r="AA59" s="80"/>
    </row>
    <row r="60" ht="16.5" customHeight="1">
      <c r="A60" s="48" t="str">
        <f t="shared" ref="A60:E60" si="10">A10</f>
        <v>VND</v>
      </c>
      <c r="B60" s="48" t="str">
        <f t="shared" si="10"/>
        <v>₫</v>
      </c>
      <c r="C60" s="48" t="str">
        <f t="shared" si="10"/>
        <v>越南盾(K)</v>
      </c>
      <c r="D60" s="48">
        <f t="shared" si="10"/>
        <v>1000</v>
      </c>
      <c r="E60" s="64">
        <f t="shared" si="10"/>
        <v>0.01</v>
      </c>
      <c r="F60" s="65">
        <f t="shared" ref="F60:Y60" si="11">HLOOKUP(F10,$F$1:$AI$2,2) * $D$1 * $E60</f>
        <v>1.5</v>
      </c>
      <c r="G60" s="65">
        <f t="shared" si="11"/>
        <v>3</v>
      </c>
      <c r="H60" s="65">
        <f t="shared" si="11"/>
        <v>6</v>
      </c>
      <c r="I60" s="65">
        <f t="shared" si="11"/>
        <v>9</v>
      </c>
      <c r="J60" s="65">
        <f t="shared" si="11"/>
        <v>12</v>
      </c>
      <c r="K60" s="65">
        <f t="shared" si="11"/>
        <v>18</v>
      </c>
      <c r="L60" s="65">
        <f t="shared" si="11"/>
        <v>30</v>
      </c>
      <c r="M60" s="65">
        <f t="shared" si="11"/>
        <v>45</v>
      </c>
      <c r="N60" s="65">
        <f t="shared" si="11"/>
        <v>60</v>
      </c>
      <c r="O60" s="65">
        <f t="shared" si="11"/>
        <v>75</v>
      </c>
      <c r="P60" s="65">
        <f t="shared" si="11"/>
        <v>90</v>
      </c>
      <c r="Q60" s="65">
        <f t="shared" si="11"/>
        <v>120</v>
      </c>
      <c r="R60" s="65">
        <f t="shared" si="11"/>
        <v>150</v>
      </c>
      <c r="S60" s="65">
        <f t="shared" si="11"/>
        <v>180</v>
      </c>
      <c r="T60" s="65">
        <f t="shared" si="11"/>
        <v>210</v>
      </c>
      <c r="U60" s="65">
        <f t="shared" si="11"/>
        <v>240</v>
      </c>
      <c r="V60" s="65">
        <f t="shared" si="11"/>
        <v>300</v>
      </c>
      <c r="W60" s="65">
        <f t="shared" si="11"/>
        <v>360</v>
      </c>
      <c r="X60" s="65">
        <f t="shared" si="11"/>
        <v>480</v>
      </c>
      <c r="Y60" s="65">
        <f t="shared" si="11"/>
        <v>600</v>
      </c>
      <c r="AA60" s="80"/>
    </row>
    <row r="61" ht="16.5" customHeight="1">
      <c r="A61" s="48" t="str">
        <f t="shared" ref="A61:E61" si="12">A11</f>
        <v>MYR</v>
      </c>
      <c r="B61" s="48" t="str">
        <f t="shared" si="12"/>
        <v>RM</v>
      </c>
      <c r="C61" s="48" t="str">
        <f t="shared" si="12"/>
        <v>馬來西亞令吉</v>
      </c>
      <c r="D61" s="48" t="str">
        <f t="shared" si="12"/>
        <v/>
      </c>
      <c r="E61" s="64">
        <f t="shared" si="12"/>
        <v>0.01</v>
      </c>
      <c r="F61" s="65">
        <f t="shared" ref="F61:Y61" si="13">HLOOKUP(F11,$F$1:$AI$2,2) * $D$1 * $E61</f>
        <v>1.5</v>
      </c>
      <c r="G61" s="65">
        <f t="shared" si="13"/>
        <v>3</v>
      </c>
      <c r="H61" s="65">
        <f t="shared" si="13"/>
        <v>6</v>
      </c>
      <c r="I61" s="65">
        <f t="shared" si="13"/>
        <v>9</v>
      </c>
      <c r="J61" s="65">
        <f t="shared" si="13"/>
        <v>12</v>
      </c>
      <c r="K61" s="65">
        <f t="shared" si="13"/>
        <v>18</v>
      </c>
      <c r="L61" s="65">
        <f t="shared" si="13"/>
        <v>30</v>
      </c>
      <c r="M61" s="65">
        <f t="shared" si="13"/>
        <v>45</v>
      </c>
      <c r="N61" s="65">
        <f t="shared" si="13"/>
        <v>60</v>
      </c>
      <c r="O61" s="65">
        <f t="shared" si="13"/>
        <v>75</v>
      </c>
      <c r="P61" s="65">
        <f t="shared" si="13"/>
        <v>90</v>
      </c>
      <c r="Q61" s="65">
        <f t="shared" si="13"/>
        <v>120</v>
      </c>
      <c r="R61" s="65">
        <f t="shared" si="13"/>
        <v>150</v>
      </c>
      <c r="S61" s="65">
        <f t="shared" si="13"/>
        <v>180</v>
      </c>
      <c r="T61" s="65">
        <f t="shared" si="13"/>
        <v>210</v>
      </c>
      <c r="U61" s="65">
        <f t="shared" si="13"/>
        <v>240</v>
      </c>
      <c r="V61" s="65">
        <f t="shared" si="13"/>
        <v>300</v>
      </c>
      <c r="W61" s="65">
        <f t="shared" si="13"/>
        <v>360</v>
      </c>
      <c r="X61" s="65">
        <f t="shared" si="13"/>
        <v>480</v>
      </c>
      <c r="Y61" s="65">
        <f t="shared" si="13"/>
        <v>600</v>
      </c>
      <c r="AA61" s="80"/>
    </row>
    <row r="62" ht="16.5" customHeight="1">
      <c r="A62" s="48" t="str">
        <f t="shared" ref="A62:E62" si="14">A12</f>
        <v>SGD</v>
      </c>
      <c r="B62" s="48" t="str">
        <f t="shared" si="14"/>
        <v>S$</v>
      </c>
      <c r="C62" s="48" t="str">
        <f t="shared" si="14"/>
        <v>新加坡幣</v>
      </c>
      <c r="D62" s="48" t="str">
        <f t="shared" si="14"/>
        <v/>
      </c>
      <c r="E62" s="64">
        <f t="shared" si="14"/>
        <v>0.001</v>
      </c>
      <c r="F62" s="65">
        <f t="shared" ref="F62:Y62" si="15">HLOOKUP(F12,$F$1:$AI$2,2) * $D$1 * $E62</f>
        <v>0.15</v>
      </c>
      <c r="G62" s="65">
        <f t="shared" si="15"/>
        <v>0.3</v>
      </c>
      <c r="H62" s="65">
        <f t="shared" si="15"/>
        <v>0.6</v>
      </c>
      <c r="I62" s="65">
        <f t="shared" si="15"/>
        <v>0.9</v>
      </c>
      <c r="J62" s="65">
        <f t="shared" si="15"/>
        <v>1.2</v>
      </c>
      <c r="K62" s="65">
        <f t="shared" si="15"/>
        <v>1.8</v>
      </c>
      <c r="L62" s="65">
        <f t="shared" si="15"/>
        <v>3</v>
      </c>
      <c r="M62" s="65">
        <f t="shared" si="15"/>
        <v>4.5</v>
      </c>
      <c r="N62" s="65">
        <f t="shared" si="15"/>
        <v>6</v>
      </c>
      <c r="O62" s="65">
        <f t="shared" si="15"/>
        <v>7.5</v>
      </c>
      <c r="P62" s="65">
        <f t="shared" si="15"/>
        <v>9</v>
      </c>
      <c r="Q62" s="65">
        <f t="shared" si="15"/>
        <v>10.5</v>
      </c>
      <c r="R62" s="65">
        <f t="shared" si="15"/>
        <v>12</v>
      </c>
      <c r="S62" s="65">
        <f t="shared" si="15"/>
        <v>13.5</v>
      </c>
      <c r="T62" s="65">
        <f t="shared" si="15"/>
        <v>15</v>
      </c>
      <c r="U62" s="65">
        <f t="shared" si="15"/>
        <v>18</v>
      </c>
      <c r="V62" s="65">
        <f t="shared" si="15"/>
        <v>21</v>
      </c>
      <c r="W62" s="65">
        <f t="shared" si="15"/>
        <v>24</v>
      </c>
      <c r="X62" s="65">
        <f t="shared" si="15"/>
        <v>27</v>
      </c>
      <c r="Y62" s="65">
        <f t="shared" si="15"/>
        <v>30</v>
      </c>
      <c r="AA62" s="80"/>
    </row>
    <row r="63" ht="16.5" customHeight="1">
      <c r="A63" s="48" t="str">
        <f t="shared" ref="A63:E63" si="16">A13</f>
        <v>USD</v>
      </c>
      <c r="B63" s="48" t="str">
        <f t="shared" si="16"/>
        <v>$</v>
      </c>
      <c r="C63" s="48" t="str">
        <f t="shared" si="16"/>
        <v>美元</v>
      </c>
      <c r="D63" s="48" t="str">
        <f t="shared" si="16"/>
        <v/>
      </c>
      <c r="E63" s="64">
        <f t="shared" si="16"/>
        <v>0.001</v>
      </c>
      <c r="F63" s="65">
        <f t="shared" ref="F63:Y63" si="17">HLOOKUP(F13,$F$1:$AI$2,2) * $D$1 * $E63</f>
        <v>0.15</v>
      </c>
      <c r="G63" s="65">
        <f t="shared" si="17"/>
        <v>0.3</v>
      </c>
      <c r="H63" s="65">
        <f t="shared" si="17"/>
        <v>0.6</v>
      </c>
      <c r="I63" s="65">
        <f t="shared" si="17"/>
        <v>0.9</v>
      </c>
      <c r="J63" s="65">
        <f t="shared" si="17"/>
        <v>1.2</v>
      </c>
      <c r="K63" s="65">
        <f t="shared" si="17"/>
        <v>1.8</v>
      </c>
      <c r="L63" s="65">
        <f t="shared" si="17"/>
        <v>3</v>
      </c>
      <c r="M63" s="65">
        <f t="shared" si="17"/>
        <v>4.5</v>
      </c>
      <c r="N63" s="65">
        <f t="shared" si="17"/>
        <v>6</v>
      </c>
      <c r="O63" s="65">
        <f t="shared" si="17"/>
        <v>7.5</v>
      </c>
      <c r="P63" s="65">
        <f t="shared" si="17"/>
        <v>9</v>
      </c>
      <c r="Q63" s="65">
        <f t="shared" si="17"/>
        <v>10.5</v>
      </c>
      <c r="R63" s="65">
        <f t="shared" si="17"/>
        <v>12</v>
      </c>
      <c r="S63" s="65">
        <f t="shared" si="17"/>
        <v>13.5</v>
      </c>
      <c r="T63" s="65">
        <f t="shared" si="17"/>
        <v>15</v>
      </c>
      <c r="U63" s="65">
        <f t="shared" si="17"/>
        <v>18</v>
      </c>
      <c r="V63" s="65">
        <f t="shared" si="17"/>
        <v>21</v>
      </c>
      <c r="W63" s="65">
        <f t="shared" si="17"/>
        <v>24</v>
      </c>
      <c r="X63" s="65">
        <f t="shared" si="17"/>
        <v>27</v>
      </c>
      <c r="Y63" s="65">
        <f t="shared" si="17"/>
        <v>30</v>
      </c>
      <c r="AA63" s="80"/>
    </row>
    <row r="64" ht="16.5" customHeight="1">
      <c r="A64" s="48" t="str">
        <f t="shared" ref="A64:E64" si="18">A14</f>
        <v>BDT</v>
      </c>
      <c r="B64" s="48" t="str">
        <f t="shared" si="18"/>
        <v>৳</v>
      </c>
      <c r="C64" s="48" t="str">
        <f t="shared" si="18"/>
        <v>孟加拉塔卡</v>
      </c>
      <c r="D64" s="48" t="str">
        <f t="shared" si="18"/>
        <v/>
      </c>
      <c r="E64" s="64">
        <f t="shared" si="18"/>
        <v>0.01</v>
      </c>
      <c r="F64" s="65">
        <f t="shared" ref="F64:Y64" si="19">HLOOKUP(F14,$F$1:$AI$2,2) * $D$1 * $E64</f>
        <v>1.5</v>
      </c>
      <c r="G64" s="65">
        <f t="shared" si="19"/>
        <v>3</v>
      </c>
      <c r="H64" s="65">
        <f t="shared" si="19"/>
        <v>6</v>
      </c>
      <c r="I64" s="65">
        <f t="shared" si="19"/>
        <v>9</v>
      </c>
      <c r="J64" s="65">
        <f t="shared" si="19"/>
        <v>12</v>
      </c>
      <c r="K64" s="65">
        <f t="shared" si="19"/>
        <v>18</v>
      </c>
      <c r="L64" s="65">
        <f t="shared" si="19"/>
        <v>30</v>
      </c>
      <c r="M64" s="65">
        <f t="shared" si="19"/>
        <v>45</v>
      </c>
      <c r="N64" s="65">
        <f t="shared" si="19"/>
        <v>60</v>
      </c>
      <c r="O64" s="65">
        <f t="shared" si="19"/>
        <v>75</v>
      </c>
      <c r="P64" s="65">
        <f t="shared" si="19"/>
        <v>90</v>
      </c>
      <c r="Q64" s="65">
        <f t="shared" si="19"/>
        <v>120</v>
      </c>
      <c r="R64" s="65">
        <f t="shared" si="19"/>
        <v>150</v>
      </c>
      <c r="S64" s="65">
        <f t="shared" si="19"/>
        <v>180</v>
      </c>
      <c r="T64" s="65">
        <f t="shared" si="19"/>
        <v>210</v>
      </c>
      <c r="U64" s="65">
        <f t="shared" si="19"/>
        <v>240</v>
      </c>
      <c r="V64" s="65">
        <f t="shared" si="19"/>
        <v>300</v>
      </c>
      <c r="W64" s="65">
        <f t="shared" si="19"/>
        <v>360</v>
      </c>
      <c r="X64" s="65">
        <f t="shared" si="19"/>
        <v>480</v>
      </c>
      <c r="Y64" s="65">
        <f t="shared" si="19"/>
        <v>600</v>
      </c>
      <c r="AA64" s="80"/>
    </row>
    <row r="65" ht="16.5" customHeight="1">
      <c r="A65" s="48" t="str">
        <f t="shared" ref="A65:E65" si="20">A15</f>
        <v>PKR</v>
      </c>
      <c r="B65" s="48" t="str">
        <f t="shared" si="20"/>
        <v>₨</v>
      </c>
      <c r="C65" s="48" t="str">
        <f t="shared" si="20"/>
        <v>巴基斯坦盧比</v>
      </c>
      <c r="D65" s="48" t="str">
        <f t="shared" si="20"/>
        <v/>
      </c>
      <c r="E65" s="64">
        <f t="shared" si="20"/>
        <v>0.01</v>
      </c>
      <c r="F65" s="65">
        <f t="shared" ref="F65:Y65" si="21">HLOOKUP(F15,$F$1:$AI$2,2) * $D$1 * $E65</f>
        <v>1.5</v>
      </c>
      <c r="G65" s="65">
        <f t="shared" si="21"/>
        <v>3</v>
      </c>
      <c r="H65" s="65">
        <f t="shared" si="21"/>
        <v>6</v>
      </c>
      <c r="I65" s="65">
        <f t="shared" si="21"/>
        <v>9</v>
      </c>
      <c r="J65" s="65">
        <f t="shared" si="21"/>
        <v>12</v>
      </c>
      <c r="K65" s="65">
        <f t="shared" si="21"/>
        <v>18</v>
      </c>
      <c r="L65" s="65">
        <f t="shared" si="21"/>
        <v>30</v>
      </c>
      <c r="M65" s="65">
        <f t="shared" si="21"/>
        <v>45</v>
      </c>
      <c r="N65" s="65">
        <f t="shared" si="21"/>
        <v>60</v>
      </c>
      <c r="O65" s="65">
        <f t="shared" si="21"/>
        <v>75</v>
      </c>
      <c r="P65" s="65">
        <f t="shared" si="21"/>
        <v>90</v>
      </c>
      <c r="Q65" s="65">
        <f t="shared" si="21"/>
        <v>120</v>
      </c>
      <c r="R65" s="65">
        <f t="shared" si="21"/>
        <v>150</v>
      </c>
      <c r="S65" s="65">
        <f t="shared" si="21"/>
        <v>180</v>
      </c>
      <c r="T65" s="65">
        <f t="shared" si="21"/>
        <v>210</v>
      </c>
      <c r="U65" s="65">
        <f t="shared" si="21"/>
        <v>240</v>
      </c>
      <c r="V65" s="65">
        <f t="shared" si="21"/>
        <v>300</v>
      </c>
      <c r="W65" s="65">
        <f t="shared" si="21"/>
        <v>360</v>
      </c>
      <c r="X65" s="65">
        <f t="shared" si="21"/>
        <v>480</v>
      </c>
      <c r="Y65" s="65">
        <f t="shared" si="21"/>
        <v>600</v>
      </c>
      <c r="AA65" s="80"/>
    </row>
    <row r="66" ht="16.5" customHeight="1">
      <c r="A66" s="48" t="str">
        <f t="shared" ref="A66:E66" si="22">A16</f>
        <v>MMK</v>
      </c>
      <c r="B66" s="48" t="str">
        <f t="shared" si="22"/>
        <v>K</v>
      </c>
      <c r="C66" s="48" t="str">
        <f t="shared" si="22"/>
        <v>緬甸元(K)</v>
      </c>
      <c r="D66" s="48">
        <f t="shared" si="22"/>
        <v>1000</v>
      </c>
      <c r="E66" s="64">
        <f t="shared" si="22"/>
        <v>0.001</v>
      </c>
      <c r="F66" s="65">
        <f t="shared" ref="F66:Y66" si="23">HLOOKUP(F16,$F$1:$AI$2,2) * $D$1 * $E66</f>
        <v>0.15</v>
      </c>
      <c r="G66" s="65">
        <f t="shared" si="23"/>
        <v>0.3</v>
      </c>
      <c r="H66" s="65">
        <f t="shared" si="23"/>
        <v>0.6</v>
      </c>
      <c r="I66" s="65">
        <f t="shared" si="23"/>
        <v>0.9</v>
      </c>
      <c r="J66" s="65">
        <f t="shared" si="23"/>
        <v>1.2</v>
      </c>
      <c r="K66" s="65">
        <f t="shared" si="23"/>
        <v>1.8</v>
      </c>
      <c r="L66" s="65">
        <f t="shared" si="23"/>
        <v>3</v>
      </c>
      <c r="M66" s="65">
        <f t="shared" si="23"/>
        <v>4.5</v>
      </c>
      <c r="N66" s="65">
        <f t="shared" si="23"/>
        <v>6</v>
      </c>
      <c r="O66" s="65">
        <f t="shared" si="23"/>
        <v>7.5</v>
      </c>
      <c r="P66" s="65">
        <f t="shared" si="23"/>
        <v>9</v>
      </c>
      <c r="Q66" s="65">
        <f t="shared" si="23"/>
        <v>10.5</v>
      </c>
      <c r="R66" s="65">
        <f t="shared" si="23"/>
        <v>12</v>
      </c>
      <c r="S66" s="65">
        <f t="shared" si="23"/>
        <v>13.5</v>
      </c>
      <c r="T66" s="65">
        <f t="shared" si="23"/>
        <v>15</v>
      </c>
      <c r="U66" s="65">
        <f t="shared" si="23"/>
        <v>18</v>
      </c>
      <c r="V66" s="65">
        <f t="shared" si="23"/>
        <v>21</v>
      </c>
      <c r="W66" s="65">
        <f t="shared" si="23"/>
        <v>24</v>
      </c>
      <c r="X66" s="65">
        <f t="shared" si="23"/>
        <v>27</v>
      </c>
      <c r="Y66" s="65">
        <f t="shared" si="23"/>
        <v>30</v>
      </c>
      <c r="AA66" s="80"/>
    </row>
    <row r="67" ht="16.5" customHeight="1">
      <c r="A67" s="48" t="str">
        <f t="shared" ref="A67:E67" si="24">A17</f>
        <v>MMH</v>
      </c>
      <c r="B67" s="48" t="str">
        <f t="shared" si="24"/>
        <v>K</v>
      </c>
      <c r="C67" s="48" t="str">
        <f t="shared" si="24"/>
        <v>緬甸元(H)</v>
      </c>
      <c r="D67" s="48">
        <f t="shared" si="24"/>
        <v>100</v>
      </c>
      <c r="E67" s="64">
        <f t="shared" si="24"/>
        <v>0.01</v>
      </c>
      <c r="F67" s="65">
        <f t="shared" ref="F67:Y67" si="25">HLOOKUP(F17,$F$1:$AI$2,2) * $D$1 * $E67</f>
        <v>1.5</v>
      </c>
      <c r="G67" s="65">
        <f t="shared" si="25"/>
        <v>3</v>
      </c>
      <c r="H67" s="65">
        <f t="shared" si="25"/>
        <v>6</v>
      </c>
      <c r="I67" s="65">
        <f t="shared" si="25"/>
        <v>9</v>
      </c>
      <c r="J67" s="65">
        <f t="shared" si="25"/>
        <v>12</v>
      </c>
      <c r="K67" s="65">
        <f t="shared" si="25"/>
        <v>18</v>
      </c>
      <c r="L67" s="65">
        <f t="shared" si="25"/>
        <v>30</v>
      </c>
      <c r="M67" s="65">
        <f t="shared" si="25"/>
        <v>45</v>
      </c>
      <c r="N67" s="65">
        <f t="shared" si="25"/>
        <v>60</v>
      </c>
      <c r="O67" s="65">
        <f t="shared" si="25"/>
        <v>75</v>
      </c>
      <c r="P67" s="65">
        <f t="shared" si="25"/>
        <v>90</v>
      </c>
      <c r="Q67" s="65">
        <f t="shared" si="25"/>
        <v>120</v>
      </c>
      <c r="R67" s="65">
        <f t="shared" si="25"/>
        <v>150</v>
      </c>
      <c r="S67" s="65">
        <f t="shared" si="25"/>
        <v>180</v>
      </c>
      <c r="T67" s="65">
        <f t="shared" si="25"/>
        <v>210</v>
      </c>
      <c r="U67" s="65">
        <f t="shared" si="25"/>
        <v>240</v>
      </c>
      <c r="V67" s="65">
        <f t="shared" si="25"/>
        <v>300</v>
      </c>
      <c r="W67" s="65">
        <f t="shared" si="25"/>
        <v>360</v>
      </c>
      <c r="X67" s="65">
        <f t="shared" si="25"/>
        <v>480</v>
      </c>
      <c r="Y67" s="65">
        <f t="shared" si="25"/>
        <v>600</v>
      </c>
      <c r="AA67" s="80"/>
    </row>
    <row r="68" ht="16.5" customHeight="1">
      <c r="A68" s="48" t="str">
        <f t="shared" ref="A68:E68" si="26">A18</f>
        <v>PHP</v>
      </c>
      <c r="B68" s="48" t="str">
        <f t="shared" si="26"/>
        <v>₱</v>
      </c>
      <c r="C68" s="48" t="str">
        <f t="shared" si="26"/>
        <v>菲律賓披索</v>
      </c>
      <c r="D68" s="48" t="str">
        <f t="shared" si="26"/>
        <v/>
      </c>
      <c r="E68" s="64">
        <f t="shared" si="26"/>
        <v>0.01</v>
      </c>
      <c r="F68" s="65">
        <f t="shared" ref="F68:Y68" si="27">HLOOKUP(F18,$F$1:$AI$2,2) * $D$1 * $E68</f>
        <v>1.5</v>
      </c>
      <c r="G68" s="65">
        <f t="shared" si="27"/>
        <v>3</v>
      </c>
      <c r="H68" s="65">
        <f t="shared" si="27"/>
        <v>6</v>
      </c>
      <c r="I68" s="65">
        <f t="shared" si="27"/>
        <v>9</v>
      </c>
      <c r="J68" s="65">
        <f t="shared" si="27"/>
        <v>12</v>
      </c>
      <c r="K68" s="65">
        <f t="shared" si="27"/>
        <v>18</v>
      </c>
      <c r="L68" s="65">
        <f t="shared" si="27"/>
        <v>30</v>
      </c>
      <c r="M68" s="65">
        <f t="shared" si="27"/>
        <v>45</v>
      </c>
      <c r="N68" s="65">
        <f t="shared" si="27"/>
        <v>60</v>
      </c>
      <c r="O68" s="65">
        <f t="shared" si="27"/>
        <v>75</v>
      </c>
      <c r="P68" s="65">
        <f t="shared" si="27"/>
        <v>90</v>
      </c>
      <c r="Q68" s="65">
        <f t="shared" si="27"/>
        <v>120</v>
      </c>
      <c r="R68" s="65">
        <f t="shared" si="27"/>
        <v>150</v>
      </c>
      <c r="S68" s="65">
        <f t="shared" si="27"/>
        <v>180</v>
      </c>
      <c r="T68" s="65">
        <f t="shared" si="27"/>
        <v>210</v>
      </c>
      <c r="U68" s="65">
        <f t="shared" si="27"/>
        <v>240</v>
      </c>
      <c r="V68" s="65">
        <f t="shared" si="27"/>
        <v>300</v>
      </c>
      <c r="W68" s="65">
        <f t="shared" si="27"/>
        <v>360</v>
      </c>
      <c r="X68" s="65">
        <f t="shared" si="27"/>
        <v>480</v>
      </c>
      <c r="Y68" s="65">
        <f t="shared" si="27"/>
        <v>600</v>
      </c>
      <c r="AA68" s="80"/>
    </row>
    <row r="69" ht="16.5" customHeight="1">
      <c r="A69" s="48" t="str">
        <f t="shared" ref="A69:E69" si="28">A19</f>
        <v>CNY</v>
      </c>
      <c r="B69" s="48" t="str">
        <f t="shared" si="28"/>
        <v>￥</v>
      </c>
      <c r="C69" s="48" t="str">
        <f t="shared" si="28"/>
        <v>人民幣</v>
      </c>
      <c r="D69" s="48" t="str">
        <f t="shared" si="28"/>
        <v/>
      </c>
      <c r="E69" s="64">
        <f t="shared" si="28"/>
        <v>0.01</v>
      </c>
      <c r="F69" s="65">
        <f t="shared" ref="F69:Y69" si="29">HLOOKUP(F19,$F$1:$AI$2,2) * $D$1 * $E69</f>
        <v>1.5</v>
      </c>
      <c r="G69" s="65">
        <f t="shared" si="29"/>
        <v>3</v>
      </c>
      <c r="H69" s="65">
        <f t="shared" si="29"/>
        <v>6</v>
      </c>
      <c r="I69" s="65">
        <f t="shared" si="29"/>
        <v>9</v>
      </c>
      <c r="J69" s="65">
        <f t="shared" si="29"/>
        <v>12</v>
      </c>
      <c r="K69" s="65">
        <f t="shared" si="29"/>
        <v>18</v>
      </c>
      <c r="L69" s="65">
        <f t="shared" si="29"/>
        <v>30</v>
      </c>
      <c r="M69" s="65">
        <f t="shared" si="29"/>
        <v>45</v>
      </c>
      <c r="N69" s="65">
        <f t="shared" si="29"/>
        <v>60</v>
      </c>
      <c r="O69" s="65">
        <f t="shared" si="29"/>
        <v>75</v>
      </c>
      <c r="P69" s="65">
        <f t="shared" si="29"/>
        <v>90</v>
      </c>
      <c r="Q69" s="65">
        <f t="shared" si="29"/>
        <v>120</v>
      </c>
      <c r="R69" s="65">
        <f t="shared" si="29"/>
        <v>150</v>
      </c>
      <c r="S69" s="65">
        <f t="shared" si="29"/>
        <v>180</v>
      </c>
      <c r="T69" s="65">
        <f t="shared" si="29"/>
        <v>210</v>
      </c>
      <c r="U69" s="65">
        <f t="shared" si="29"/>
        <v>240</v>
      </c>
      <c r="V69" s="65">
        <f t="shared" si="29"/>
        <v>300</v>
      </c>
      <c r="W69" s="65">
        <f t="shared" si="29"/>
        <v>360</v>
      </c>
      <c r="X69" s="65">
        <f t="shared" si="29"/>
        <v>480</v>
      </c>
      <c r="Y69" s="65">
        <f t="shared" si="29"/>
        <v>600</v>
      </c>
      <c r="AA69" s="80"/>
    </row>
    <row r="70" ht="16.5" customHeight="1">
      <c r="A70" s="48" t="str">
        <f t="shared" ref="A70:E70" si="30">A20</f>
        <v>MXN</v>
      </c>
      <c r="B70" s="48" t="str">
        <f t="shared" si="30"/>
        <v>Mex$</v>
      </c>
      <c r="C70" s="48" t="str">
        <f t="shared" si="30"/>
        <v>墨⻄哥披索</v>
      </c>
      <c r="D70" s="48" t="str">
        <f t="shared" si="30"/>
        <v/>
      </c>
      <c r="E70" s="64">
        <f t="shared" si="30"/>
        <v>0.01</v>
      </c>
      <c r="F70" s="65">
        <f t="shared" ref="F70:Y70" si="31">HLOOKUP(F20,$F$1:$AI$2,2) * $D$1 * $E70</f>
        <v>1.5</v>
      </c>
      <c r="G70" s="65">
        <f t="shared" si="31"/>
        <v>3</v>
      </c>
      <c r="H70" s="65">
        <f t="shared" si="31"/>
        <v>6</v>
      </c>
      <c r="I70" s="65">
        <f t="shared" si="31"/>
        <v>9</v>
      </c>
      <c r="J70" s="65">
        <f t="shared" si="31"/>
        <v>12</v>
      </c>
      <c r="K70" s="65">
        <f t="shared" si="31"/>
        <v>18</v>
      </c>
      <c r="L70" s="65">
        <f t="shared" si="31"/>
        <v>30</v>
      </c>
      <c r="M70" s="65">
        <f t="shared" si="31"/>
        <v>45</v>
      </c>
      <c r="N70" s="65">
        <f t="shared" si="31"/>
        <v>60</v>
      </c>
      <c r="O70" s="65">
        <f t="shared" si="31"/>
        <v>75</v>
      </c>
      <c r="P70" s="65">
        <f t="shared" si="31"/>
        <v>90</v>
      </c>
      <c r="Q70" s="65">
        <f t="shared" si="31"/>
        <v>120</v>
      </c>
      <c r="R70" s="65">
        <f t="shared" si="31"/>
        <v>150</v>
      </c>
      <c r="S70" s="65">
        <f t="shared" si="31"/>
        <v>180</v>
      </c>
      <c r="T70" s="65">
        <f t="shared" si="31"/>
        <v>210</v>
      </c>
      <c r="U70" s="65">
        <f t="shared" si="31"/>
        <v>240</v>
      </c>
      <c r="V70" s="65">
        <f t="shared" si="31"/>
        <v>300</v>
      </c>
      <c r="W70" s="65">
        <f t="shared" si="31"/>
        <v>360</v>
      </c>
      <c r="X70" s="65">
        <f t="shared" si="31"/>
        <v>480</v>
      </c>
      <c r="Y70" s="65">
        <f t="shared" si="31"/>
        <v>600</v>
      </c>
      <c r="AA70" s="80"/>
    </row>
    <row r="71" ht="16.5" customHeight="1">
      <c r="A71" s="48" t="str">
        <f t="shared" ref="A71:E71" si="32">A21</f>
        <v>BRL</v>
      </c>
      <c r="B71" s="48" t="str">
        <f t="shared" si="32"/>
        <v>R$</v>
      </c>
      <c r="C71" s="48" t="str">
        <f t="shared" si="32"/>
        <v>巴西雷亞爾</v>
      </c>
      <c r="D71" s="48" t="str">
        <f t="shared" si="32"/>
        <v/>
      </c>
      <c r="E71" s="64">
        <f t="shared" si="32"/>
        <v>0.01</v>
      </c>
      <c r="F71" s="65">
        <f t="shared" ref="F71:Y71" si="33">HLOOKUP(F21,$F$1:$AI$2,2) * $D$1 * $E71</f>
        <v>1.5</v>
      </c>
      <c r="G71" s="65">
        <f t="shared" si="33"/>
        <v>3</v>
      </c>
      <c r="H71" s="65">
        <f t="shared" si="33"/>
        <v>6</v>
      </c>
      <c r="I71" s="65">
        <f t="shared" si="33"/>
        <v>9</v>
      </c>
      <c r="J71" s="65">
        <f t="shared" si="33"/>
        <v>12</v>
      </c>
      <c r="K71" s="65">
        <f t="shared" si="33"/>
        <v>18</v>
      </c>
      <c r="L71" s="65">
        <f t="shared" si="33"/>
        <v>30</v>
      </c>
      <c r="M71" s="65">
        <f t="shared" si="33"/>
        <v>45</v>
      </c>
      <c r="N71" s="65">
        <f t="shared" si="33"/>
        <v>60</v>
      </c>
      <c r="O71" s="65">
        <f t="shared" si="33"/>
        <v>75</v>
      </c>
      <c r="P71" s="65">
        <f t="shared" si="33"/>
        <v>90</v>
      </c>
      <c r="Q71" s="65">
        <f t="shared" si="33"/>
        <v>120</v>
      </c>
      <c r="R71" s="65">
        <f t="shared" si="33"/>
        <v>150</v>
      </c>
      <c r="S71" s="65">
        <f t="shared" si="33"/>
        <v>180</v>
      </c>
      <c r="T71" s="65">
        <f t="shared" si="33"/>
        <v>210</v>
      </c>
      <c r="U71" s="65">
        <f t="shared" si="33"/>
        <v>240</v>
      </c>
      <c r="V71" s="65">
        <f t="shared" si="33"/>
        <v>300</v>
      </c>
      <c r="W71" s="65">
        <f t="shared" si="33"/>
        <v>360</v>
      </c>
      <c r="X71" s="65">
        <f t="shared" si="33"/>
        <v>480</v>
      </c>
      <c r="Y71" s="65">
        <f t="shared" si="33"/>
        <v>600</v>
      </c>
      <c r="AA71" s="80"/>
    </row>
    <row r="72" ht="16.5" customHeight="1">
      <c r="A72" s="48" t="str">
        <f t="shared" ref="A72:E72" si="34">A22</f>
        <v>AUD</v>
      </c>
      <c r="B72" s="48" t="str">
        <f t="shared" si="34"/>
        <v>A$</v>
      </c>
      <c r="C72" s="48" t="str">
        <f t="shared" si="34"/>
        <v>澳洲元</v>
      </c>
      <c r="D72" s="48" t="str">
        <f t="shared" si="34"/>
        <v/>
      </c>
      <c r="E72" s="64">
        <f t="shared" si="34"/>
        <v>0.001</v>
      </c>
      <c r="F72" s="65">
        <f t="shared" ref="F72:Y72" si="35">HLOOKUP(F22,$F$1:$AI$2,2) * $D$1 * $E72</f>
        <v>0.15</v>
      </c>
      <c r="G72" s="65">
        <f t="shared" si="35"/>
        <v>0.3</v>
      </c>
      <c r="H72" s="65">
        <f t="shared" si="35"/>
        <v>0.6</v>
      </c>
      <c r="I72" s="65">
        <f t="shared" si="35"/>
        <v>0.9</v>
      </c>
      <c r="J72" s="65">
        <f t="shared" si="35"/>
        <v>1.2</v>
      </c>
      <c r="K72" s="65">
        <f t="shared" si="35"/>
        <v>1.8</v>
      </c>
      <c r="L72" s="65">
        <f t="shared" si="35"/>
        <v>3</v>
      </c>
      <c r="M72" s="65">
        <f t="shared" si="35"/>
        <v>4.5</v>
      </c>
      <c r="N72" s="65">
        <f t="shared" si="35"/>
        <v>6</v>
      </c>
      <c r="O72" s="65">
        <f t="shared" si="35"/>
        <v>7.5</v>
      </c>
      <c r="P72" s="65">
        <f t="shared" si="35"/>
        <v>9</v>
      </c>
      <c r="Q72" s="65">
        <f t="shared" si="35"/>
        <v>10.5</v>
      </c>
      <c r="R72" s="65">
        <f t="shared" si="35"/>
        <v>12</v>
      </c>
      <c r="S72" s="65">
        <f t="shared" si="35"/>
        <v>13.5</v>
      </c>
      <c r="T72" s="65">
        <f t="shared" si="35"/>
        <v>15</v>
      </c>
      <c r="U72" s="65">
        <f t="shared" si="35"/>
        <v>18</v>
      </c>
      <c r="V72" s="65">
        <f t="shared" si="35"/>
        <v>21</v>
      </c>
      <c r="W72" s="65">
        <f t="shared" si="35"/>
        <v>24</v>
      </c>
      <c r="X72" s="65">
        <f t="shared" si="35"/>
        <v>27</v>
      </c>
      <c r="Y72" s="65">
        <f t="shared" si="35"/>
        <v>30</v>
      </c>
      <c r="AA72" s="80"/>
    </row>
    <row r="73" ht="16.5" customHeight="1">
      <c r="A73" s="48" t="str">
        <f t="shared" ref="A73:E73" si="36">A23</f>
        <v>JPY</v>
      </c>
      <c r="B73" s="48" t="str">
        <f t="shared" si="36"/>
        <v>￥</v>
      </c>
      <c r="C73" s="48" t="str">
        <f t="shared" si="36"/>
        <v>日圓</v>
      </c>
      <c r="D73" s="48" t="str">
        <f t="shared" si="36"/>
        <v/>
      </c>
      <c r="E73" s="64">
        <f t="shared" si="36"/>
        <v>0.02</v>
      </c>
      <c r="F73" s="65">
        <f t="shared" ref="F73:Y73" si="37">HLOOKUP(F23,$F$1:$AI$2,2) * $D$1 * $E73</f>
        <v>3</v>
      </c>
      <c r="G73" s="65">
        <f t="shared" si="37"/>
        <v>6</v>
      </c>
      <c r="H73" s="65">
        <f t="shared" si="37"/>
        <v>12</v>
      </c>
      <c r="I73" s="65">
        <f t="shared" si="37"/>
        <v>18</v>
      </c>
      <c r="J73" s="65">
        <f t="shared" si="37"/>
        <v>24</v>
      </c>
      <c r="K73" s="65">
        <f t="shared" si="37"/>
        <v>36</v>
      </c>
      <c r="L73" s="65">
        <f t="shared" si="37"/>
        <v>60</v>
      </c>
      <c r="M73" s="65">
        <f t="shared" si="37"/>
        <v>90</v>
      </c>
      <c r="N73" s="65">
        <f t="shared" si="37"/>
        <v>120</v>
      </c>
      <c r="O73" s="65">
        <f t="shared" si="37"/>
        <v>150</v>
      </c>
      <c r="P73" s="65">
        <f t="shared" si="37"/>
        <v>180</v>
      </c>
      <c r="Q73" s="65">
        <f t="shared" si="37"/>
        <v>240</v>
      </c>
      <c r="R73" s="65">
        <f t="shared" si="37"/>
        <v>300</v>
      </c>
      <c r="S73" s="65">
        <f t="shared" si="37"/>
        <v>360</v>
      </c>
      <c r="T73" s="65">
        <f t="shared" si="37"/>
        <v>420</v>
      </c>
      <c r="U73" s="65">
        <f t="shared" si="37"/>
        <v>480</v>
      </c>
      <c r="V73" s="65">
        <f t="shared" si="37"/>
        <v>600</v>
      </c>
      <c r="W73" s="65">
        <f t="shared" si="37"/>
        <v>720</v>
      </c>
      <c r="X73" s="65">
        <f t="shared" si="37"/>
        <v>960</v>
      </c>
      <c r="Y73" s="65">
        <f t="shared" si="37"/>
        <v>1200</v>
      </c>
      <c r="AA73" s="80"/>
    </row>
    <row r="74" ht="16.5" customHeight="1">
      <c r="A74" s="48" t="str">
        <f t="shared" ref="A74:E74" si="38">A24</f>
        <v>KRW</v>
      </c>
      <c r="B74" s="48" t="str">
        <f t="shared" si="38"/>
        <v>₩</v>
      </c>
      <c r="C74" s="48" t="str">
        <f t="shared" si="38"/>
        <v>韓圓</v>
      </c>
      <c r="D74" s="48" t="str">
        <f t="shared" si="38"/>
        <v/>
      </c>
      <c r="E74" s="64">
        <f t="shared" si="38"/>
        <v>0.2</v>
      </c>
      <c r="F74" s="65">
        <f t="shared" ref="F74:Y74" si="39">HLOOKUP(F24,$F$1:$AI$2,2) * $D$1 * $E74</f>
        <v>30</v>
      </c>
      <c r="G74" s="65">
        <f t="shared" si="39"/>
        <v>60</v>
      </c>
      <c r="H74" s="65">
        <f t="shared" si="39"/>
        <v>120</v>
      </c>
      <c r="I74" s="65">
        <f t="shared" si="39"/>
        <v>180</v>
      </c>
      <c r="J74" s="65">
        <f t="shared" si="39"/>
        <v>240</v>
      </c>
      <c r="K74" s="65">
        <f t="shared" si="39"/>
        <v>360</v>
      </c>
      <c r="L74" s="65">
        <f t="shared" si="39"/>
        <v>600</v>
      </c>
      <c r="M74" s="65">
        <f t="shared" si="39"/>
        <v>900</v>
      </c>
      <c r="N74" s="65">
        <f t="shared" si="39"/>
        <v>1200</v>
      </c>
      <c r="O74" s="65">
        <f t="shared" si="39"/>
        <v>1500</v>
      </c>
      <c r="P74" s="65">
        <f t="shared" si="39"/>
        <v>1800</v>
      </c>
      <c r="Q74" s="65">
        <f t="shared" si="39"/>
        <v>2400</v>
      </c>
      <c r="R74" s="65">
        <f t="shared" si="39"/>
        <v>3000</v>
      </c>
      <c r="S74" s="65">
        <f t="shared" si="39"/>
        <v>3600</v>
      </c>
      <c r="T74" s="65">
        <f t="shared" si="39"/>
        <v>4200</v>
      </c>
      <c r="U74" s="65">
        <f t="shared" si="39"/>
        <v>4800</v>
      </c>
      <c r="V74" s="65">
        <f t="shared" si="39"/>
        <v>6000</v>
      </c>
      <c r="W74" s="65">
        <f t="shared" si="39"/>
        <v>7200</v>
      </c>
      <c r="X74" s="65">
        <f t="shared" si="39"/>
        <v>9600</v>
      </c>
      <c r="Y74" s="65">
        <f t="shared" si="39"/>
        <v>12000</v>
      </c>
      <c r="AA74" s="80"/>
    </row>
    <row r="75" ht="16.5" customHeight="1">
      <c r="A75" s="48" t="str">
        <f t="shared" ref="A75:E75" si="40">A25</f>
        <v>CLP</v>
      </c>
      <c r="B75" s="48" t="str">
        <f t="shared" si="40"/>
        <v>$</v>
      </c>
      <c r="C75" s="48" t="str">
        <f t="shared" si="40"/>
        <v>智利披索</v>
      </c>
      <c r="D75" s="48" t="str">
        <f t="shared" si="40"/>
        <v/>
      </c>
      <c r="E75" s="64">
        <f t="shared" si="40"/>
        <v>0.2</v>
      </c>
      <c r="F75" s="65">
        <f t="shared" ref="F75:Y75" si="41">HLOOKUP(F25,$F$1:$AI$2,2) * $D$1 * $E75</f>
        <v>30</v>
      </c>
      <c r="G75" s="65">
        <f t="shared" si="41"/>
        <v>60</v>
      </c>
      <c r="H75" s="65">
        <f t="shared" si="41"/>
        <v>120</v>
      </c>
      <c r="I75" s="65">
        <f t="shared" si="41"/>
        <v>180</v>
      </c>
      <c r="J75" s="65">
        <f t="shared" si="41"/>
        <v>240</v>
      </c>
      <c r="K75" s="65">
        <f t="shared" si="41"/>
        <v>360</v>
      </c>
      <c r="L75" s="65">
        <f t="shared" si="41"/>
        <v>600</v>
      </c>
      <c r="M75" s="65">
        <f t="shared" si="41"/>
        <v>900</v>
      </c>
      <c r="N75" s="65">
        <f t="shared" si="41"/>
        <v>1200</v>
      </c>
      <c r="O75" s="65">
        <f t="shared" si="41"/>
        <v>1500</v>
      </c>
      <c r="P75" s="65">
        <f t="shared" si="41"/>
        <v>1800</v>
      </c>
      <c r="Q75" s="65">
        <f t="shared" si="41"/>
        <v>2400</v>
      </c>
      <c r="R75" s="65">
        <f t="shared" si="41"/>
        <v>3000</v>
      </c>
      <c r="S75" s="65">
        <f t="shared" si="41"/>
        <v>3600</v>
      </c>
      <c r="T75" s="65">
        <f t="shared" si="41"/>
        <v>4200</v>
      </c>
      <c r="U75" s="65">
        <f t="shared" si="41"/>
        <v>4800</v>
      </c>
      <c r="V75" s="65">
        <f t="shared" si="41"/>
        <v>6000</v>
      </c>
      <c r="W75" s="65">
        <f t="shared" si="41"/>
        <v>7200</v>
      </c>
      <c r="X75" s="65">
        <f t="shared" si="41"/>
        <v>9600</v>
      </c>
      <c r="Y75" s="65">
        <f t="shared" si="41"/>
        <v>12000</v>
      </c>
      <c r="AA75" s="80"/>
    </row>
    <row r="76" ht="16.5" customHeight="1">
      <c r="A76" s="48" t="str">
        <f t="shared" ref="A76:E76" si="42">A26</f>
        <v>MMKO</v>
      </c>
      <c r="B76" s="48" t="str">
        <f t="shared" si="42"/>
        <v>K</v>
      </c>
      <c r="C76" s="48" t="str">
        <f t="shared" si="42"/>
        <v>緬甸元</v>
      </c>
      <c r="D76" s="48" t="str">
        <f t="shared" si="42"/>
        <v/>
      </c>
      <c r="E76" s="64">
        <f t="shared" si="42"/>
        <v>0.2</v>
      </c>
      <c r="F76" s="65">
        <f t="shared" ref="F76:Y76" si="43">HLOOKUP(F26,$F$1:$AI$2,2) * $D$1 * $E76</f>
        <v>30</v>
      </c>
      <c r="G76" s="65">
        <f t="shared" si="43"/>
        <v>60</v>
      </c>
      <c r="H76" s="65">
        <f t="shared" si="43"/>
        <v>120</v>
      </c>
      <c r="I76" s="65">
        <f t="shared" si="43"/>
        <v>180</v>
      </c>
      <c r="J76" s="65">
        <f t="shared" si="43"/>
        <v>240</v>
      </c>
      <c r="K76" s="65">
        <f t="shared" si="43"/>
        <v>360</v>
      </c>
      <c r="L76" s="65">
        <f t="shared" si="43"/>
        <v>600</v>
      </c>
      <c r="M76" s="65">
        <f t="shared" si="43"/>
        <v>900</v>
      </c>
      <c r="N76" s="65">
        <f t="shared" si="43"/>
        <v>1200</v>
      </c>
      <c r="O76" s="65">
        <f t="shared" si="43"/>
        <v>1500</v>
      </c>
      <c r="P76" s="65">
        <f t="shared" si="43"/>
        <v>1800</v>
      </c>
      <c r="Q76" s="65">
        <f t="shared" si="43"/>
        <v>2400</v>
      </c>
      <c r="R76" s="65">
        <f t="shared" si="43"/>
        <v>3000</v>
      </c>
      <c r="S76" s="65">
        <f t="shared" si="43"/>
        <v>3600</v>
      </c>
      <c r="T76" s="65">
        <f t="shared" si="43"/>
        <v>4200</v>
      </c>
      <c r="U76" s="65">
        <f t="shared" si="43"/>
        <v>4800</v>
      </c>
      <c r="V76" s="65">
        <f t="shared" si="43"/>
        <v>6000</v>
      </c>
      <c r="W76" s="65">
        <f t="shared" si="43"/>
        <v>7200</v>
      </c>
      <c r="X76" s="65">
        <f t="shared" si="43"/>
        <v>9600</v>
      </c>
      <c r="Y76" s="65">
        <f t="shared" si="43"/>
        <v>12000</v>
      </c>
      <c r="AA76" s="80"/>
    </row>
    <row r="77" ht="16.5" customHeight="1">
      <c r="A77" s="48" t="str">
        <f t="shared" ref="A77:E77" si="44">A27</f>
        <v>IDRO</v>
      </c>
      <c r="B77" s="48" t="str">
        <f t="shared" si="44"/>
        <v>Rp</v>
      </c>
      <c r="C77" s="48" t="str">
        <f t="shared" si="44"/>
        <v>印尼盧比</v>
      </c>
      <c r="D77" s="48" t="str">
        <f t="shared" si="44"/>
        <v/>
      </c>
      <c r="E77" s="64">
        <f t="shared" si="44"/>
        <v>0.2</v>
      </c>
      <c r="F77" s="65">
        <f t="shared" ref="F77:Y77" si="45">HLOOKUP(F27,$F$1:$AI$2,2) * $D$1 * $E77</f>
        <v>30</v>
      </c>
      <c r="G77" s="65">
        <f t="shared" si="45"/>
        <v>60</v>
      </c>
      <c r="H77" s="65">
        <f t="shared" si="45"/>
        <v>120</v>
      </c>
      <c r="I77" s="65">
        <f t="shared" si="45"/>
        <v>180</v>
      </c>
      <c r="J77" s="65">
        <f t="shared" si="45"/>
        <v>240</v>
      </c>
      <c r="K77" s="65">
        <f t="shared" si="45"/>
        <v>360</v>
      </c>
      <c r="L77" s="65">
        <f t="shared" si="45"/>
        <v>600</v>
      </c>
      <c r="M77" s="65">
        <f t="shared" si="45"/>
        <v>900</v>
      </c>
      <c r="N77" s="65">
        <f t="shared" si="45"/>
        <v>1200</v>
      </c>
      <c r="O77" s="65">
        <f t="shared" si="45"/>
        <v>1500</v>
      </c>
      <c r="P77" s="65">
        <f t="shared" si="45"/>
        <v>1800</v>
      </c>
      <c r="Q77" s="65">
        <f t="shared" si="45"/>
        <v>2400</v>
      </c>
      <c r="R77" s="65">
        <f t="shared" si="45"/>
        <v>3000</v>
      </c>
      <c r="S77" s="65">
        <f t="shared" si="45"/>
        <v>3600</v>
      </c>
      <c r="T77" s="65">
        <f t="shared" si="45"/>
        <v>4200</v>
      </c>
      <c r="U77" s="65">
        <f t="shared" si="45"/>
        <v>4800</v>
      </c>
      <c r="V77" s="65">
        <f t="shared" si="45"/>
        <v>6000</v>
      </c>
      <c r="W77" s="65">
        <f t="shared" si="45"/>
        <v>7200</v>
      </c>
      <c r="X77" s="65">
        <f t="shared" si="45"/>
        <v>9600</v>
      </c>
      <c r="Y77" s="65">
        <f t="shared" si="45"/>
        <v>12000</v>
      </c>
      <c r="AA77" s="80"/>
    </row>
    <row r="78" ht="16.5" customHeight="1">
      <c r="A78" s="48" t="str">
        <f t="shared" ref="A78:E78" si="46">A28</f>
        <v>RUB</v>
      </c>
      <c r="B78" s="48" t="str">
        <f t="shared" si="46"/>
        <v>₽</v>
      </c>
      <c r="C78" s="48" t="str">
        <f t="shared" si="46"/>
        <v>盧布</v>
      </c>
      <c r="D78" s="48" t="str">
        <f t="shared" si="46"/>
        <v/>
      </c>
      <c r="E78" s="64">
        <f t="shared" si="46"/>
        <v>0.01</v>
      </c>
      <c r="F78" s="65">
        <f t="shared" ref="F78:Y78" si="47">HLOOKUP(F28,$F$1:$AI$2,2) * $D$1 * $E78</f>
        <v>1.5</v>
      </c>
      <c r="G78" s="65">
        <f t="shared" si="47"/>
        <v>3</v>
      </c>
      <c r="H78" s="65">
        <f t="shared" si="47"/>
        <v>6</v>
      </c>
      <c r="I78" s="65">
        <f t="shared" si="47"/>
        <v>9</v>
      </c>
      <c r="J78" s="65">
        <f t="shared" si="47"/>
        <v>12</v>
      </c>
      <c r="K78" s="65">
        <f t="shared" si="47"/>
        <v>18</v>
      </c>
      <c r="L78" s="65">
        <f t="shared" si="47"/>
        <v>30</v>
      </c>
      <c r="M78" s="65">
        <f t="shared" si="47"/>
        <v>45</v>
      </c>
      <c r="N78" s="65">
        <f t="shared" si="47"/>
        <v>60</v>
      </c>
      <c r="O78" s="65">
        <f t="shared" si="47"/>
        <v>75</v>
      </c>
      <c r="P78" s="65">
        <f t="shared" si="47"/>
        <v>90</v>
      </c>
      <c r="Q78" s="65">
        <f t="shared" si="47"/>
        <v>120</v>
      </c>
      <c r="R78" s="65">
        <f t="shared" si="47"/>
        <v>150</v>
      </c>
      <c r="S78" s="65">
        <f t="shared" si="47"/>
        <v>180</v>
      </c>
      <c r="T78" s="65">
        <f t="shared" si="47"/>
        <v>210</v>
      </c>
      <c r="U78" s="65">
        <f t="shared" si="47"/>
        <v>240</v>
      </c>
      <c r="V78" s="65">
        <f t="shared" si="47"/>
        <v>300</v>
      </c>
      <c r="W78" s="65">
        <f t="shared" si="47"/>
        <v>360</v>
      </c>
      <c r="X78" s="65">
        <f t="shared" si="47"/>
        <v>480</v>
      </c>
      <c r="Y78" s="65">
        <f t="shared" si="47"/>
        <v>600</v>
      </c>
      <c r="AA78" s="80"/>
    </row>
    <row r="79" ht="16.5" customHeight="1">
      <c r="A79" s="48" t="str">
        <f t="shared" ref="A79:E79" si="48">A29</f>
        <v>LKR</v>
      </c>
      <c r="B79" s="48" t="str">
        <f t="shared" si="48"/>
        <v>₨</v>
      </c>
      <c r="C79" s="48" t="str">
        <f t="shared" si="48"/>
        <v>斯里蘭卡盧比</v>
      </c>
      <c r="D79" s="48" t="str">
        <f t="shared" si="48"/>
        <v/>
      </c>
      <c r="E79" s="64">
        <f t="shared" si="48"/>
        <v>0.01</v>
      </c>
      <c r="F79" s="65">
        <f t="shared" ref="F79:Y79" si="49">HLOOKUP(F29,$F$1:$AI$2,2) * $D$1 * $E79</f>
        <v>1.5</v>
      </c>
      <c r="G79" s="65">
        <f t="shared" si="49"/>
        <v>3</v>
      </c>
      <c r="H79" s="65">
        <f t="shared" si="49"/>
        <v>6</v>
      </c>
      <c r="I79" s="65">
        <f t="shared" si="49"/>
        <v>9</v>
      </c>
      <c r="J79" s="65">
        <f t="shared" si="49"/>
        <v>12</v>
      </c>
      <c r="K79" s="65">
        <f t="shared" si="49"/>
        <v>18</v>
      </c>
      <c r="L79" s="65">
        <f t="shared" si="49"/>
        <v>30</v>
      </c>
      <c r="M79" s="65">
        <f t="shared" si="49"/>
        <v>45</v>
      </c>
      <c r="N79" s="65">
        <f t="shared" si="49"/>
        <v>60</v>
      </c>
      <c r="O79" s="65">
        <f t="shared" si="49"/>
        <v>75</v>
      </c>
      <c r="P79" s="65">
        <f t="shared" si="49"/>
        <v>90</v>
      </c>
      <c r="Q79" s="65">
        <f t="shared" si="49"/>
        <v>120</v>
      </c>
      <c r="R79" s="65">
        <f t="shared" si="49"/>
        <v>150</v>
      </c>
      <c r="S79" s="65">
        <f t="shared" si="49"/>
        <v>180</v>
      </c>
      <c r="T79" s="65">
        <f t="shared" si="49"/>
        <v>210</v>
      </c>
      <c r="U79" s="65">
        <f t="shared" si="49"/>
        <v>240</v>
      </c>
      <c r="V79" s="65">
        <f t="shared" si="49"/>
        <v>300</v>
      </c>
      <c r="W79" s="65">
        <f t="shared" si="49"/>
        <v>360</v>
      </c>
      <c r="X79" s="65">
        <f t="shared" si="49"/>
        <v>480</v>
      </c>
      <c r="Y79" s="65">
        <f t="shared" si="49"/>
        <v>600</v>
      </c>
      <c r="AA79" s="80"/>
    </row>
    <row r="80" ht="16.5" customHeight="1">
      <c r="A80" s="48" t="str">
        <f t="shared" ref="A80:E80" si="50">A30</f>
        <v>ETB</v>
      </c>
      <c r="B80" s="48" t="str">
        <f t="shared" si="50"/>
        <v>Br‎</v>
      </c>
      <c r="C80" s="48" t="str">
        <f t="shared" si="50"/>
        <v>衣索比亞比爾</v>
      </c>
      <c r="D80" s="48" t="str">
        <f t="shared" si="50"/>
        <v/>
      </c>
      <c r="E80" s="64">
        <f t="shared" si="50"/>
        <v>0.01</v>
      </c>
      <c r="F80" s="65">
        <f t="shared" ref="F80:Y80" si="51">HLOOKUP(F30,$F$1:$AI$2,2) * $D$1 * $E80</f>
        <v>1.5</v>
      </c>
      <c r="G80" s="65">
        <f t="shared" si="51"/>
        <v>3</v>
      </c>
      <c r="H80" s="65">
        <f t="shared" si="51"/>
        <v>6</v>
      </c>
      <c r="I80" s="65">
        <f t="shared" si="51"/>
        <v>9</v>
      </c>
      <c r="J80" s="65">
        <f t="shared" si="51"/>
        <v>12</v>
      </c>
      <c r="K80" s="65">
        <f t="shared" si="51"/>
        <v>18</v>
      </c>
      <c r="L80" s="65">
        <f t="shared" si="51"/>
        <v>30</v>
      </c>
      <c r="M80" s="65">
        <f t="shared" si="51"/>
        <v>45</v>
      </c>
      <c r="N80" s="65">
        <f t="shared" si="51"/>
        <v>60</v>
      </c>
      <c r="O80" s="65">
        <f t="shared" si="51"/>
        <v>75</v>
      </c>
      <c r="P80" s="65">
        <f t="shared" si="51"/>
        <v>90</v>
      </c>
      <c r="Q80" s="65">
        <f t="shared" si="51"/>
        <v>120</v>
      </c>
      <c r="R80" s="65">
        <f t="shared" si="51"/>
        <v>150</v>
      </c>
      <c r="S80" s="65">
        <f t="shared" si="51"/>
        <v>180</v>
      </c>
      <c r="T80" s="65">
        <f t="shared" si="51"/>
        <v>210</v>
      </c>
      <c r="U80" s="65">
        <f t="shared" si="51"/>
        <v>240</v>
      </c>
      <c r="V80" s="65">
        <f t="shared" si="51"/>
        <v>300</v>
      </c>
      <c r="W80" s="65">
        <f t="shared" si="51"/>
        <v>360</v>
      </c>
      <c r="X80" s="65">
        <f t="shared" si="51"/>
        <v>480</v>
      </c>
      <c r="Y80" s="65">
        <f t="shared" si="51"/>
        <v>600</v>
      </c>
      <c r="AA80" s="80"/>
    </row>
    <row r="81" ht="16.5" customHeight="1">
      <c r="A81" s="48" t="str">
        <f t="shared" ref="A81:E81" si="52">A31</f>
        <v>UGX</v>
      </c>
      <c r="B81" s="48" t="str">
        <f t="shared" si="52"/>
        <v>USh</v>
      </c>
      <c r="C81" s="48" t="str">
        <f t="shared" si="52"/>
        <v>烏干達先令</v>
      </c>
      <c r="D81" s="48" t="str">
        <f t="shared" si="52"/>
        <v/>
      </c>
      <c r="E81" s="64">
        <f t="shared" si="52"/>
        <v>0.2</v>
      </c>
      <c r="F81" s="65">
        <f t="shared" ref="F81:Y81" si="53">HLOOKUP(F31,$F$1:$AI$2,2) * $D$1 * $E81</f>
        <v>30</v>
      </c>
      <c r="G81" s="65">
        <f t="shared" si="53"/>
        <v>60</v>
      </c>
      <c r="H81" s="65">
        <f t="shared" si="53"/>
        <v>120</v>
      </c>
      <c r="I81" s="65">
        <f t="shared" si="53"/>
        <v>180</v>
      </c>
      <c r="J81" s="65">
        <f t="shared" si="53"/>
        <v>240</v>
      </c>
      <c r="K81" s="65">
        <f t="shared" si="53"/>
        <v>360</v>
      </c>
      <c r="L81" s="65">
        <f t="shared" si="53"/>
        <v>600</v>
      </c>
      <c r="M81" s="65">
        <f t="shared" si="53"/>
        <v>900</v>
      </c>
      <c r="N81" s="65">
        <f t="shared" si="53"/>
        <v>1200</v>
      </c>
      <c r="O81" s="65">
        <f t="shared" si="53"/>
        <v>1500</v>
      </c>
      <c r="P81" s="65">
        <f t="shared" si="53"/>
        <v>1800</v>
      </c>
      <c r="Q81" s="65">
        <f t="shared" si="53"/>
        <v>2400</v>
      </c>
      <c r="R81" s="65">
        <f t="shared" si="53"/>
        <v>3000</v>
      </c>
      <c r="S81" s="65">
        <f t="shared" si="53"/>
        <v>3600</v>
      </c>
      <c r="T81" s="65">
        <f t="shared" si="53"/>
        <v>4200</v>
      </c>
      <c r="U81" s="65">
        <f t="shared" si="53"/>
        <v>4800</v>
      </c>
      <c r="V81" s="65">
        <f t="shared" si="53"/>
        <v>6000</v>
      </c>
      <c r="W81" s="65">
        <f t="shared" si="53"/>
        <v>7200</v>
      </c>
      <c r="X81" s="65">
        <f t="shared" si="53"/>
        <v>9600</v>
      </c>
      <c r="Y81" s="65">
        <f t="shared" si="53"/>
        <v>12000</v>
      </c>
      <c r="AA81" s="80"/>
    </row>
    <row r="82" ht="16.5" customHeight="1">
      <c r="A82" s="48" t="str">
        <f t="shared" ref="A82:E82" si="54">A32</f>
        <v>EUR</v>
      </c>
      <c r="B82" s="48" t="str">
        <f t="shared" si="54"/>
        <v>€</v>
      </c>
      <c r="C82" s="48" t="str">
        <f t="shared" si="54"/>
        <v>歐元</v>
      </c>
      <c r="D82" s="48" t="str">
        <f t="shared" si="54"/>
        <v/>
      </c>
      <c r="E82" s="64">
        <f t="shared" si="54"/>
        <v>0.001</v>
      </c>
      <c r="F82" s="65">
        <f t="shared" ref="F82:Y82" si="55">HLOOKUP(F32,$F$1:$AI$2,2) * $D$1 * $E82</f>
        <v>0.15</v>
      </c>
      <c r="G82" s="65">
        <f t="shared" si="55"/>
        <v>0.3</v>
      </c>
      <c r="H82" s="65">
        <f t="shared" si="55"/>
        <v>0.6</v>
      </c>
      <c r="I82" s="65">
        <f t="shared" si="55"/>
        <v>0.9</v>
      </c>
      <c r="J82" s="65">
        <f t="shared" si="55"/>
        <v>1.2</v>
      </c>
      <c r="K82" s="65">
        <f t="shared" si="55"/>
        <v>1.8</v>
      </c>
      <c r="L82" s="65">
        <f t="shared" si="55"/>
        <v>3</v>
      </c>
      <c r="M82" s="65">
        <f t="shared" si="55"/>
        <v>4.5</v>
      </c>
      <c r="N82" s="65">
        <f t="shared" si="55"/>
        <v>6</v>
      </c>
      <c r="O82" s="65">
        <f t="shared" si="55"/>
        <v>7.5</v>
      </c>
      <c r="P82" s="65">
        <f t="shared" si="55"/>
        <v>9</v>
      </c>
      <c r="Q82" s="65">
        <f t="shared" si="55"/>
        <v>10.5</v>
      </c>
      <c r="R82" s="65">
        <f t="shared" si="55"/>
        <v>12</v>
      </c>
      <c r="S82" s="65">
        <f t="shared" si="55"/>
        <v>13.5</v>
      </c>
      <c r="T82" s="65">
        <f t="shared" si="55"/>
        <v>15</v>
      </c>
      <c r="U82" s="65">
        <f t="shared" si="55"/>
        <v>18</v>
      </c>
      <c r="V82" s="65">
        <f t="shared" si="55"/>
        <v>21</v>
      </c>
      <c r="W82" s="65">
        <f t="shared" si="55"/>
        <v>24</v>
      </c>
      <c r="X82" s="65">
        <f t="shared" si="55"/>
        <v>27</v>
      </c>
      <c r="Y82" s="65">
        <f t="shared" si="55"/>
        <v>30</v>
      </c>
      <c r="AA82" s="80"/>
    </row>
    <row r="83" ht="16.5" customHeight="1">
      <c r="A83" s="48" t="str">
        <f t="shared" ref="A83:E83" si="56">A33</f>
        <v>ARS</v>
      </c>
      <c r="B83" s="48" t="str">
        <f t="shared" si="56"/>
        <v>$</v>
      </c>
      <c r="C83" s="48" t="str">
        <f t="shared" si="56"/>
        <v>阿根廷披索</v>
      </c>
      <c r="D83" s="48" t="str">
        <f t="shared" si="56"/>
        <v/>
      </c>
      <c r="E83" s="64">
        <f t="shared" si="56"/>
        <v>0.01</v>
      </c>
      <c r="F83" s="65">
        <f t="shared" ref="F83:Y83" si="57">HLOOKUP(F33,$F$1:$AI$2,2) * $D$1 * $E83</f>
        <v>1.5</v>
      </c>
      <c r="G83" s="65">
        <f t="shared" si="57"/>
        <v>3</v>
      </c>
      <c r="H83" s="65">
        <f t="shared" si="57"/>
        <v>6</v>
      </c>
      <c r="I83" s="65">
        <f t="shared" si="57"/>
        <v>9</v>
      </c>
      <c r="J83" s="65">
        <f t="shared" si="57"/>
        <v>12</v>
      </c>
      <c r="K83" s="65">
        <f t="shared" si="57"/>
        <v>18</v>
      </c>
      <c r="L83" s="65">
        <f t="shared" si="57"/>
        <v>30</v>
      </c>
      <c r="M83" s="65">
        <f t="shared" si="57"/>
        <v>45</v>
      </c>
      <c r="N83" s="65">
        <f t="shared" si="57"/>
        <v>60</v>
      </c>
      <c r="O83" s="65">
        <f t="shared" si="57"/>
        <v>75</v>
      </c>
      <c r="P83" s="65">
        <f t="shared" si="57"/>
        <v>90</v>
      </c>
      <c r="Q83" s="65">
        <f t="shared" si="57"/>
        <v>120</v>
      </c>
      <c r="R83" s="65">
        <f t="shared" si="57"/>
        <v>150</v>
      </c>
      <c r="S83" s="65">
        <f t="shared" si="57"/>
        <v>180</v>
      </c>
      <c r="T83" s="65">
        <f t="shared" si="57"/>
        <v>210</v>
      </c>
      <c r="U83" s="65">
        <f t="shared" si="57"/>
        <v>240</v>
      </c>
      <c r="V83" s="65">
        <f t="shared" si="57"/>
        <v>300</v>
      </c>
      <c r="W83" s="65">
        <f t="shared" si="57"/>
        <v>360</v>
      </c>
      <c r="X83" s="65">
        <f t="shared" si="57"/>
        <v>480</v>
      </c>
      <c r="Y83" s="65">
        <f t="shared" si="57"/>
        <v>600</v>
      </c>
      <c r="AA83" s="80"/>
    </row>
    <row r="84" ht="16.5" customHeight="1">
      <c r="A84" s="48" t="str">
        <f t="shared" ref="A84:E84" si="58">A34</f>
        <v>NGN</v>
      </c>
      <c r="B84" s="48" t="str">
        <f t="shared" si="58"/>
        <v>₦</v>
      </c>
      <c r="C84" s="48" t="str">
        <f t="shared" si="58"/>
        <v>奈及利亞奈拉</v>
      </c>
      <c r="D84" s="48" t="str">
        <f t="shared" si="58"/>
        <v/>
      </c>
      <c r="E84" s="64">
        <f t="shared" si="58"/>
        <v>0.2</v>
      </c>
      <c r="F84" s="65">
        <f t="shared" ref="F84:Y84" si="59">HLOOKUP(F34,$F$1:$AI$2,2) * $D$1 * $E84</f>
        <v>30</v>
      </c>
      <c r="G84" s="65">
        <f t="shared" si="59"/>
        <v>60</v>
      </c>
      <c r="H84" s="65">
        <f t="shared" si="59"/>
        <v>120</v>
      </c>
      <c r="I84" s="65">
        <f t="shared" si="59"/>
        <v>180</v>
      </c>
      <c r="J84" s="65">
        <f t="shared" si="59"/>
        <v>240</v>
      </c>
      <c r="K84" s="65">
        <f t="shared" si="59"/>
        <v>360</v>
      </c>
      <c r="L84" s="65">
        <f t="shared" si="59"/>
        <v>600</v>
      </c>
      <c r="M84" s="65">
        <f t="shared" si="59"/>
        <v>900</v>
      </c>
      <c r="N84" s="65">
        <f t="shared" si="59"/>
        <v>1200</v>
      </c>
      <c r="O84" s="65">
        <f t="shared" si="59"/>
        <v>1500</v>
      </c>
      <c r="P84" s="65">
        <f t="shared" si="59"/>
        <v>1800</v>
      </c>
      <c r="Q84" s="65">
        <f t="shared" si="59"/>
        <v>2400</v>
      </c>
      <c r="R84" s="65">
        <f t="shared" si="59"/>
        <v>3000</v>
      </c>
      <c r="S84" s="65">
        <f t="shared" si="59"/>
        <v>3600</v>
      </c>
      <c r="T84" s="65">
        <f t="shared" si="59"/>
        <v>4200</v>
      </c>
      <c r="U84" s="65">
        <f t="shared" si="59"/>
        <v>4800</v>
      </c>
      <c r="V84" s="65">
        <f t="shared" si="59"/>
        <v>6000</v>
      </c>
      <c r="W84" s="65">
        <f t="shared" si="59"/>
        <v>7200</v>
      </c>
      <c r="X84" s="65">
        <f t="shared" si="59"/>
        <v>9600</v>
      </c>
      <c r="Y84" s="65">
        <f t="shared" si="59"/>
        <v>12000</v>
      </c>
      <c r="AA84" s="80"/>
    </row>
    <row r="85" ht="16.5" customHeight="1">
      <c r="A85" s="48" t="str">
        <f t="shared" ref="A85:E85" si="60">A35</f>
        <v>KES</v>
      </c>
      <c r="B85" s="48" t="str">
        <f t="shared" si="60"/>
        <v>KSh</v>
      </c>
      <c r="C85" s="48" t="str">
        <f t="shared" si="60"/>
        <v>肯亞先令</v>
      </c>
      <c r="D85" s="48" t="str">
        <f t="shared" si="60"/>
        <v/>
      </c>
      <c r="E85" s="64">
        <f t="shared" si="60"/>
        <v>0.02</v>
      </c>
      <c r="F85" s="65">
        <f t="shared" ref="F85:Y85" si="61">HLOOKUP(F35,$F$1:$AI$2,2) * $D$1 * $E85</f>
        <v>3</v>
      </c>
      <c r="G85" s="65">
        <f t="shared" si="61"/>
        <v>6</v>
      </c>
      <c r="H85" s="65">
        <f t="shared" si="61"/>
        <v>12</v>
      </c>
      <c r="I85" s="65">
        <f t="shared" si="61"/>
        <v>18</v>
      </c>
      <c r="J85" s="65">
        <f t="shared" si="61"/>
        <v>24</v>
      </c>
      <c r="K85" s="65">
        <f t="shared" si="61"/>
        <v>36</v>
      </c>
      <c r="L85" s="65">
        <f t="shared" si="61"/>
        <v>60</v>
      </c>
      <c r="M85" s="65">
        <f t="shared" si="61"/>
        <v>90</v>
      </c>
      <c r="N85" s="65">
        <f t="shared" si="61"/>
        <v>120</v>
      </c>
      <c r="O85" s="65">
        <f t="shared" si="61"/>
        <v>150</v>
      </c>
      <c r="P85" s="65">
        <f t="shared" si="61"/>
        <v>180</v>
      </c>
      <c r="Q85" s="65">
        <f t="shared" si="61"/>
        <v>240</v>
      </c>
      <c r="R85" s="65">
        <f t="shared" si="61"/>
        <v>300</v>
      </c>
      <c r="S85" s="65">
        <f t="shared" si="61"/>
        <v>360</v>
      </c>
      <c r="T85" s="65">
        <f t="shared" si="61"/>
        <v>420</v>
      </c>
      <c r="U85" s="65">
        <f t="shared" si="61"/>
        <v>480</v>
      </c>
      <c r="V85" s="65">
        <f t="shared" si="61"/>
        <v>600</v>
      </c>
      <c r="W85" s="65">
        <f t="shared" si="61"/>
        <v>720</v>
      </c>
      <c r="X85" s="65">
        <f t="shared" si="61"/>
        <v>960</v>
      </c>
      <c r="Y85" s="65">
        <f t="shared" si="61"/>
        <v>1200</v>
      </c>
      <c r="AA85" s="80"/>
    </row>
    <row r="86" ht="16.5" customHeight="1">
      <c r="A86" s="48" t="str">
        <f t="shared" ref="A86:E86" si="62">A36</f>
        <v>ZAR</v>
      </c>
      <c r="B86" s="48" t="str">
        <f t="shared" si="62"/>
        <v>R</v>
      </c>
      <c r="C86" s="48" t="str">
        <f t="shared" si="62"/>
        <v>南非鍰</v>
      </c>
      <c r="D86" s="48" t="str">
        <f t="shared" si="62"/>
        <v/>
      </c>
      <c r="E86" s="64">
        <f t="shared" si="62"/>
        <v>0.01</v>
      </c>
      <c r="F86" s="65">
        <f t="shared" ref="F86:Y86" si="63">HLOOKUP(F36,$F$1:$AI$2,2) * $D$1 * $E86</f>
        <v>1.5</v>
      </c>
      <c r="G86" s="65">
        <f t="shared" si="63"/>
        <v>3</v>
      </c>
      <c r="H86" s="65">
        <f t="shared" si="63"/>
        <v>6</v>
      </c>
      <c r="I86" s="65">
        <f t="shared" si="63"/>
        <v>9</v>
      </c>
      <c r="J86" s="65">
        <f t="shared" si="63"/>
        <v>12</v>
      </c>
      <c r="K86" s="65">
        <f t="shared" si="63"/>
        <v>18</v>
      </c>
      <c r="L86" s="65">
        <f t="shared" si="63"/>
        <v>30</v>
      </c>
      <c r="M86" s="65">
        <f t="shared" si="63"/>
        <v>45</v>
      </c>
      <c r="N86" s="65">
        <f t="shared" si="63"/>
        <v>60</v>
      </c>
      <c r="O86" s="65">
        <f t="shared" si="63"/>
        <v>75</v>
      </c>
      <c r="P86" s="65">
        <f t="shared" si="63"/>
        <v>90</v>
      </c>
      <c r="Q86" s="65">
        <f t="shared" si="63"/>
        <v>120</v>
      </c>
      <c r="R86" s="65">
        <f t="shared" si="63"/>
        <v>150</v>
      </c>
      <c r="S86" s="65">
        <f t="shared" si="63"/>
        <v>180</v>
      </c>
      <c r="T86" s="65">
        <f t="shared" si="63"/>
        <v>210</v>
      </c>
      <c r="U86" s="65">
        <f t="shared" si="63"/>
        <v>240</v>
      </c>
      <c r="V86" s="65">
        <f t="shared" si="63"/>
        <v>300</v>
      </c>
      <c r="W86" s="65">
        <f t="shared" si="63"/>
        <v>360</v>
      </c>
      <c r="X86" s="65">
        <f t="shared" si="63"/>
        <v>480</v>
      </c>
      <c r="Y86" s="65">
        <f t="shared" si="63"/>
        <v>600</v>
      </c>
      <c r="AA86" s="80"/>
    </row>
    <row r="87" ht="16.5" customHeight="1">
      <c r="A87" s="48" t="str">
        <f t="shared" ref="A87:E87" si="64">A37</f>
        <v>TRY</v>
      </c>
      <c r="B87" s="48" t="str">
        <f t="shared" si="64"/>
        <v>₺</v>
      </c>
      <c r="C87" s="48" t="str">
        <f t="shared" si="64"/>
        <v>土耳其里拉</v>
      </c>
      <c r="D87" s="48" t="str">
        <f t="shared" si="64"/>
        <v/>
      </c>
      <c r="E87" s="64">
        <f t="shared" si="64"/>
        <v>0.01</v>
      </c>
      <c r="F87" s="65">
        <f t="shared" ref="F87:Y87" si="65">HLOOKUP(F37,$F$1:$AI$2,2) * $D$1 * $E87</f>
        <v>1.5</v>
      </c>
      <c r="G87" s="65">
        <f t="shared" si="65"/>
        <v>3</v>
      </c>
      <c r="H87" s="65">
        <f t="shared" si="65"/>
        <v>6</v>
      </c>
      <c r="I87" s="65">
        <f t="shared" si="65"/>
        <v>9</v>
      </c>
      <c r="J87" s="65">
        <f t="shared" si="65"/>
        <v>12</v>
      </c>
      <c r="K87" s="65">
        <f t="shared" si="65"/>
        <v>18</v>
      </c>
      <c r="L87" s="65">
        <f t="shared" si="65"/>
        <v>30</v>
      </c>
      <c r="M87" s="65">
        <f t="shared" si="65"/>
        <v>45</v>
      </c>
      <c r="N87" s="65">
        <f t="shared" si="65"/>
        <v>60</v>
      </c>
      <c r="O87" s="65">
        <f t="shared" si="65"/>
        <v>75</v>
      </c>
      <c r="P87" s="65">
        <f t="shared" si="65"/>
        <v>90</v>
      </c>
      <c r="Q87" s="65">
        <f t="shared" si="65"/>
        <v>120</v>
      </c>
      <c r="R87" s="65">
        <f t="shared" si="65"/>
        <v>150</v>
      </c>
      <c r="S87" s="65">
        <f t="shared" si="65"/>
        <v>180</v>
      </c>
      <c r="T87" s="65">
        <f t="shared" si="65"/>
        <v>210</v>
      </c>
      <c r="U87" s="65">
        <f t="shared" si="65"/>
        <v>240</v>
      </c>
      <c r="V87" s="65">
        <f t="shared" si="65"/>
        <v>300</v>
      </c>
      <c r="W87" s="65">
        <f t="shared" si="65"/>
        <v>360</v>
      </c>
      <c r="X87" s="65">
        <f t="shared" si="65"/>
        <v>480</v>
      </c>
      <c r="Y87" s="65">
        <f t="shared" si="65"/>
        <v>600</v>
      </c>
      <c r="AA87" s="80"/>
    </row>
    <row r="88" ht="16.5" customHeight="1">
      <c r="A88" s="48" t="str">
        <f t="shared" ref="A88:E88" si="66">A38</f>
        <v>GBP</v>
      </c>
      <c r="B88" s="48" t="str">
        <f t="shared" si="66"/>
        <v>£</v>
      </c>
      <c r="C88" s="48" t="str">
        <f t="shared" si="66"/>
        <v>英鎊</v>
      </c>
      <c r="D88" s="48" t="str">
        <f t="shared" si="66"/>
        <v/>
      </c>
      <c r="E88" s="64">
        <f t="shared" si="66"/>
        <v>0.001</v>
      </c>
      <c r="F88" s="65">
        <f t="shared" ref="F88:Y88" si="67">HLOOKUP(F38,$F$1:$AI$2,2) * $D$1 * $E88</f>
        <v>0.15</v>
      </c>
      <c r="G88" s="65">
        <f t="shared" si="67"/>
        <v>0.3</v>
      </c>
      <c r="H88" s="65">
        <f t="shared" si="67"/>
        <v>0.6</v>
      </c>
      <c r="I88" s="65">
        <f t="shared" si="67"/>
        <v>0.9</v>
      </c>
      <c r="J88" s="65">
        <f t="shared" si="67"/>
        <v>1.2</v>
      </c>
      <c r="K88" s="65">
        <f t="shared" si="67"/>
        <v>1.8</v>
      </c>
      <c r="L88" s="65">
        <f t="shared" si="67"/>
        <v>3</v>
      </c>
      <c r="M88" s="65">
        <f t="shared" si="67"/>
        <v>4.5</v>
      </c>
      <c r="N88" s="65">
        <f t="shared" si="67"/>
        <v>6</v>
      </c>
      <c r="O88" s="65">
        <f t="shared" si="67"/>
        <v>7.5</v>
      </c>
      <c r="P88" s="65">
        <f t="shared" si="67"/>
        <v>9</v>
      </c>
      <c r="Q88" s="65">
        <f t="shared" si="67"/>
        <v>10.5</v>
      </c>
      <c r="R88" s="65">
        <f t="shared" si="67"/>
        <v>12</v>
      </c>
      <c r="S88" s="65">
        <f t="shared" si="67"/>
        <v>13.5</v>
      </c>
      <c r="T88" s="65">
        <f t="shared" si="67"/>
        <v>15</v>
      </c>
      <c r="U88" s="65">
        <f t="shared" si="67"/>
        <v>18</v>
      </c>
      <c r="V88" s="65">
        <f t="shared" si="67"/>
        <v>21</v>
      </c>
      <c r="W88" s="65">
        <f t="shared" si="67"/>
        <v>24</v>
      </c>
      <c r="X88" s="65">
        <f t="shared" si="67"/>
        <v>27</v>
      </c>
      <c r="Y88" s="65">
        <f t="shared" si="67"/>
        <v>30</v>
      </c>
      <c r="AA88" s="80"/>
    </row>
    <row r="89" ht="16.5" customHeight="1">
      <c r="A89" s="48" t="str">
        <f t="shared" ref="A89:E89" si="68">A39</f>
        <v>NPR</v>
      </c>
      <c r="B89" s="48" t="str">
        <f t="shared" si="68"/>
        <v>रू</v>
      </c>
      <c r="C89" s="48" t="str">
        <f t="shared" si="68"/>
        <v>尼泊爾盧比</v>
      </c>
      <c r="D89" s="48" t="str">
        <f t="shared" si="68"/>
        <v/>
      </c>
      <c r="E89" s="64">
        <f t="shared" si="68"/>
        <v>0.02</v>
      </c>
      <c r="F89" s="65">
        <f t="shared" ref="F89:Y89" si="69">HLOOKUP(F39,$F$1:$AI$2,2) * $D$1 * $E89</f>
        <v>3</v>
      </c>
      <c r="G89" s="65">
        <f t="shared" si="69"/>
        <v>6</v>
      </c>
      <c r="H89" s="65">
        <f t="shared" si="69"/>
        <v>12</v>
      </c>
      <c r="I89" s="65">
        <f t="shared" si="69"/>
        <v>18</v>
      </c>
      <c r="J89" s="65">
        <f t="shared" si="69"/>
        <v>24</v>
      </c>
      <c r="K89" s="65">
        <f t="shared" si="69"/>
        <v>36</v>
      </c>
      <c r="L89" s="65">
        <f t="shared" si="69"/>
        <v>60</v>
      </c>
      <c r="M89" s="65">
        <f t="shared" si="69"/>
        <v>90</v>
      </c>
      <c r="N89" s="65">
        <f t="shared" si="69"/>
        <v>120</v>
      </c>
      <c r="O89" s="65">
        <f t="shared" si="69"/>
        <v>150</v>
      </c>
      <c r="P89" s="65">
        <f t="shared" si="69"/>
        <v>180</v>
      </c>
      <c r="Q89" s="65">
        <f t="shared" si="69"/>
        <v>240</v>
      </c>
      <c r="R89" s="65">
        <f t="shared" si="69"/>
        <v>300</v>
      </c>
      <c r="S89" s="65">
        <f t="shared" si="69"/>
        <v>360</v>
      </c>
      <c r="T89" s="65">
        <f t="shared" si="69"/>
        <v>420</v>
      </c>
      <c r="U89" s="65">
        <f t="shared" si="69"/>
        <v>480</v>
      </c>
      <c r="V89" s="65">
        <f t="shared" si="69"/>
        <v>600</v>
      </c>
      <c r="W89" s="65">
        <f t="shared" si="69"/>
        <v>720</v>
      </c>
      <c r="X89" s="65">
        <f t="shared" si="69"/>
        <v>960</v>
      </c>
      <c r="Y89" s="65">
        <f t="shared" si="69"/>
        <v>1200</v>
      </c>
      <c r="AA89" s="80"/>
    </row>
    <row r="90" ht="16.5" customHeight="1">
      <c r="A90" s="48" t="str">
        <f t="shared" ref="A90:E90" si="70">A40</f>
        <v>CHF</v>
      </c>
      <c r="B90" s="48" t="str">
        <f t="shared" si="70"/>
        <v>CHF</v>
      </c>
      <c r="C90" s="48" t="str">
        <f t="shared" si="70"/>
        <v>瑞士法郎</v>
      </c>
      <c r="D90" s="48" t="str">
        <f t="shared" si="70"/>
        <v/>
      </c>
      <c r="E90" s="64">
        <f t="shared" si="70"/>
        <v>0.001</v>
      </c>
      <c r="F90" s="65">
        <f t="shared" ref="F90:Y90" si="71">HLOOKUP(F40,$F$1:$AI$2,2) * $D$1 * $E90</f>
        <v>0.15</v>
      </c>
      <c r="G90" s="65">
        <f t="shared" si="71"/>
        <v>0.3</v>
      </c>
      <c r="H90" s="65">
        <f t="shared" si="71"/>
        <v>0.6</v>
      </c>
      <c r="I90" s="65">
        <f t="shared" si="71"/>
        <v>0.9</v>
      </c>
      <c r="J90" s="65">
        <f t="shared" si="71"/>
        <v>1.2</v>
      </c>
      <c r="K90" s="65">
        <f t="shared" si="71"/>
        <v>1.8</v>
      </c>
      <c r="L90" s="65">
        <f t="shared" si="71"/>
        <v>3</v>
      </c>
      <c r="M90" s="65">
        <f t="shared" si="71"/>
        <v>4.5</v>
      </c>
      <c r="N90" s="65">
        <f t="shared" si="71"/>
        <v>6</v>
      </c>
      <c r="O90" s="65">
        <f t="shared" si="71"/>
        <v>7.5</v>
      </c>
      <c r="P90" s="65">
        <f t="shared" si="71"/>
        <v>9</v>
      </c>
      <c r="Q90" s="65">
        <f t="shared" si="71"/>
        <v>10.5</v>
      </c>
      <c r="R90" s="65">
        <f t="shared" si="71"/>
        <v>12</v>
      </c>
      <c r="S90" s="65">
        <f t="shared" si="71"/>
        <v>13.5</v>
      </c>
      <c r="T90" s="65">
        <f t="shared" si="71"/>
        <v>15</v>
      </c>
      <c r="U90" s="65">
        <f t="shared" si="71"/>
        <v>18</v>
      </c>
      <c r="V90" s="65">
        <f t="shared" si="71"/>
        <v>21</v>
      </c>
      <c r="W90" s="65">
        <f t="shared" si="71"/>
        <v>24</v>
      </c>
      <c r="X90" s="65">
        <f t="shared" si="71"/>
        <v>27</v>
      </c>
      <c r="Y90" s="65">
        <f t="shared" si="71"/>
        <v>30</v>
      </c>
      <c r="AA90" s="80"/>
    </row>
    <row r="91" ht="16.5" customHeight="1">
      <c r="A91" s="48" t="str">
        <f t="shared" ref="A91:E91" si="72">A41</f>
        <v>CAD</v>
      </c>
      <c r="B91" s="48" t="str">
        <f t="shared" si="72"/>
        <v>$</v>
      </c>
      <c r="C91" s="48" t="str">
        <f t="shared" si="72"/>
        <v>加幣</v>
      </c>
      <c r="D91" s="48" t="str">
        <f t="shared" si="72"/>
        <v/>
      </c>
      <c r="E91" s="64">
        <f t="shared" si="72"/>
        <v>0.001</v>
      </c>
      <c r="F91" s="65">
        <f t="shared" ref="F91:Y91" si="73">HLOOKUP(F41,$F$1:$AI$2,2) * $D$1 * $E91</f>
        <v>0.15</v>
      </c>
      <c r="G91" s="65">
        <f t="shared" si="73"/>
        <v>0.3</v>
      </c>
      <c r="H91" s="65">
        <f t="shared" si="73"/>
        <v>0.6</v>
      </c>
      <c r="I91" s="65">
        <f t="shared" si="73"/>
        <v>0.9</v>
      </c>
      <c r="J91" s="65">
        <f t="shared" si="73"/>
        <v>1.2</v>
      </c>
      <c r="K91" s="65">
        <f t="shared" si="73"/>
        <v>1.8</v>
      </c>
      <c r="L91" s="65">
        <f t="shared" si="73"/>
        <v>3</v>
      </c>
      <c r="M91" s="65">
        <f t="shared" si="73"/>
        <v>4.5</v>
      </c>
      <c r="N91" s="65">
        <f t="shared" si="73"/>
        <v>6</v>
      </c>
      <c r="O91" s="65">
        <f t="shared" si="73"/>
        <v>7.5</v>
      </c>
      <c r="P91" s="65">
        <f t="shared" si="73"/>
        <v>9</v>
      </c>
      <c r="Q91" s="65">
        <f t="shared" si="73"/>
        <v>10.5</v>
      </c>
      <c r="R91" s="65">
        <f t="shared" si="73"/>
        <v>12</v>
      </c>
      <c r="S91" s="65">
        <f t="shared" si="73"/>
        <v>13.5</v>
      </c>
      <c r="T91" s="65">
        <f t="shared" si="73"/>
        <v>15</v>
      </c>
      <c r="U91" s="65">
        <f t="shared" si="73"/>
        <v>18</v>
      </c>
      <c r="V91" s="65">
        <f t="shared" si="73"/>
        <v>21</v>
      </c>
      <c r="W91" s="65">
        <f t="shared" si="73"/>
        <v>24</v>
      </c>
      <c r="X91" s="65">
        <f t="shared" si="73"/>
        <v>27</v>
      </c>
      <c r="Y91" s="65">
        <f t="shared" si="73"/>
        <v>30</v>
      </c>
      <c r="AA91" s="80"/>
    </row>
    <row r="92" ht="16.5" customHeight="1">
      <c r="A92" s="48" t="str">
        <f t="shared" ref="A92:E92" si="74">A42</f>
        <v>PEN</v>
      </c>
      <c r="B92" s="48" t="str">
        <f t="shared" si="74"/>
        <v>PEN</v>
      </c>
      <c r="C92" s="48" t="str">
        <f t="shared" si="74"/>
        <v>秘魯新索爾</v>
      </c>
      <c r="D92" s="48" t="str">
        <f t="shared" si="74"/>
        <v/>
      </c>
      <c r="E92" s="64">
        <f t="shared" si="74"/>
        <v>0.01</v>
      </c>
      <c r="F92" s="65">
        <f t="shared" ref="F92:Y92" si="75">HLOOKUP(F42,$F$1:$AI$2,2) * $D$1 * $E92</f>
        <v>1.5</v>
      </c>
      <c r="G92" s="65">
        <f t="shared" si="75"/>
        <v>3</v>
      </c>
      <c r="H92" s="65">
        <f t="shared" si="75"/>
        <v>6</v>
      </c>
      <c r="I92" s="65">
        <f t="shared" si="75"/>
        <v>9</v>
      </c>
      <c r="J92" s="65">
        <f t="shared" si="75"/>
        <v>12</v>
      </c>
      <c r="K92" s="65">
        <f t="shared" si="75"/>
        <v>18</v>
      </c>
      <c r="L92" s="65">
        <f t="shared" si="75"/>
        <v>30</v>
      </c>
      <c r="M92" s="65">
        <f t="shared" si="75"/>
        <v>45</v>
      </c>
      <c r="N92" s="65">
        <f t="shared" si="75"/>
        <v>60</v>
      </c>
      <c r="O92" s="65">
        <f t="shared" si="75"/>
        <v>75</v>
      </c>
      <c r="P92" s="65">
        <f t="shared" si="75"/>
        <v>90</v>
      </c>
      <c r="Q92" s="65">
        <f t="shared" si="75"/>
        <v>120</v>
      </c>
      <c r="R92" s="65">
        <f t="shared" si="75"/>
        <v>150</v>
      </c>
      <c r="S92" s="65">
        <f t="shared" si="75"/>
        <v>180</v>
      </c>
      <c r="T92" s="65">
        <f t="shared" si="75"/>
        <v>210</v>
      </c>
      <c r="U92" s="65">
        <f t="shared" si="75"/>
        <v>240</v>
      </c>
      <c r="V92" s="65">
        <f t="shared" si="75"/>
        <v>300</v>
      </c>
      <c r="W92" s="65">
        <f t="shared" si="75"/>
        <v>360</v>
      </c>
      <c r="X92" s="65">
        <f t="shared" si="75"/>
        <v>480</v>
      </c>
      <c r="Y92" s="65">
        <f t="shared" si="75"/>
        <v>600</v>
      </c>
      <c r="AA92" s="80"/>
    </row>
    <row r="93" ht="16.5" customHeight="1">
      <c r="A93" s="48" t="str">
        <f t="shared" ref="A93:E93" si="76">A43</f>
        <v>AED</v>
      </c>
      <c r="B93" s="48" t="str">
        <f t="shared" si="76"/>
        <v>AED</v>
      </c>
      <c r="C93" s="48" t="str">
        <f t="shared" si="76"/>
        <v>阿聯迪拉姆</v>
      </c>
      <c r="D93" s="48" t="str">
        <f t="shared" si="76"/>
        <v/>
      </c>
      <c r="E93" s="64">
        <f t="shared" si="76"/>
        <v>0.01</v>
      </c>
      <c r="F93" s="65">
        <f t="shared" ref="F93:Y93" si="77">HLOOKUP(F43,$F$1:$AI$2,2) * $D$1 * $E93</f>
        <v>1.5</v>
      </c>
      <c r="G93" s="65">
        <f t="shared" si="77"/>
        <v>3</v>
      </c>
      <c r="H93" s="65">
        <f t="shared" si="77"/>
        <v>6</v>
      </c>
      <c r="I93" s="65">
        <f t="shared" si="77"/>
        <v>9</v>
      </c>
      <c r="J93" s="65">
        <f t="shared" si="77"/>
        <v>12</v>
      </c>
      <c r="K93" s="65">
        <f t="shared" si="77"/>
        <v>18</v>
      </c>
      <c r="L93" s="65">
        <f t="shared" si="77"/>
        <v>30</v>
      </c>
      <c r="M93" s="65">
        <f t="shared" si="77"/>
        <v>45</v>
      </c>
      <c r="N93" s="65">
        <f t="shared" si="77"/>
        <v>60</v>
      </c>
      <c r="O93" s="65">
        <f t="shared" si="77"/>
        <v>75</v>
      </c>
      <c r="P93" s="65">
        <f t="shared" si="77"/>
        <v>90</v>
      </c>
      <c r="Q93" s="65">
        <f t="shared" si="77"/>
        <v>120</v>
      </c>
      <c r="R93" s="65">
        <f t="shared" si="77"/>
        <v>150</v>
      </c>
      <c r="S93" s="65">
        <f t="shared" si="77"/>
        <v>180</v>
      </c>
      <c r="T93" s="65">
        <f t="shared" si="77"/>
        <v>210</v>
      </c>
      <c r="U93" s="65">
        <f t="shared" si="77"/>
        <v>240</v>
      </c>
      <c r="V93" s="65">
        <f t="shared" si="77"/>
        <v>300</v>
      </c>
      <c r="W93" s="65">
        <f t="shared" si="77"/>
        <v>360</v>
      </c>
      <c r="X93" s="65">
        <f t="shared" si="77"/>
        <v>480</v>
      </c>
      <c r="Y93" s="65">
        <f t="shared" si="77"/>
        <v>600</v>
      </c>
      <c r="AA93" s="80"/>
    </row>
    <row r="94" ht="16.5" customHeight="1">
      <c r="A94" s="48" t="str">
        <f t="shared" ref="A94:E94" si="78">A44</f>
        <v>BND</v>
      </c>
      <c r="B94" s="48" t="str">
        <f t="shared" si="78"/>
        <v>B$</v>
      </c>
      <c r="C94" s="48" t="str">
        <f t="shared" si="78"/>
        <v>汶萊幣</v>
      </c>
      <c r="D94" s="48" t="str">
        <f t="shared" si="78"/>
        <v/>
      </c>
      <c r="E94" s="64">
        <f t="shared" si="78"/>
        <v>0.001</v>
      </c>
      <c r="F94" s="65">
        <f t="shared" ref="F94:Y94" si="79">HLOOKUP(F44,$F$1:$AI$2,2) * $D$1 * $E94</f>
        <v>0.15</v>
      </c>
      <c r="G94" s="65">
        <f t="shared" si="79"/>
        <v>0.3</v>
      </c>
      <c r="H94" s="65">
        <f t="shared" si="79"/>
        <v>0.6</v>
      </c>
      <c r="I94" s="65">
        <f t="shared" si="79"/>
        <v>0.9</v>
      </c>
      <c r="J94" s="65">
        <f t="shared" si="79"/>
        <v>1.2</v>
      </c>
      <c r="K94" s="65">
        <f t="shared" si="79"/>
        <v>1.8</v>
      </c>
      <c r="L94" s="65">
        <f t="shared" si="79"/>
        <v>3</v>
      </c>
      <c r="M94" s="65">
        <f t="shared" si="79"/>
        <v>4.5</v>
      </c>
      <c r="N94" s="65">
        <f t="shared" si="79"/>
        <v>6</v>
      </c>
      <c r="O94" s="65">
        <f t="shared" si="79"/>
        <v>7.5</v>
      </c>
      <c r="P94" s="65">
        <f t="shared" si="79"/>
        <v>9</v>
      </c>
      <c r="Q94" s="65">
        <f t="shared" si="79"/>
        <v>10.5</v>
      </c>
      <c r="R94" s="65">
        <f t="shared" si="79"/>
        <v>12</v>
      </c>
      <c r="S94" s="65">
        <f t="shared" si="79"/>
        <v>13.5</v>
      </c>
      <c r="T94" s="65">
        <f t="shared" si="79"/>
        <v>15</v>
      </c>
      <c r="U94" s="65">
        <f t="shared" si="79"/>
        <v>18</v>
      </c>
      <c r="V94" s="65">
        <f t="shared" si="79"/>
        <v>21</v>
      </c>
      <c r="W94" s="65">
        <f t="shared" si="79"/>
        <v>24</v>
      </c>
      <c r="X94" s="65">
        <f t="shared" si="79"/>
        <v>27</v>
      </c>
      <c r="Y94" s="65">
        <f t="shared" si="79"/>
        <v>30</v>
      </c>
      <c r="AA94" s="80"/>
    </row>
    <row r="95" ht="16.5" customHeight="1">
      <c r="A95" s="48" t="str">
        <f t="shared" ref="A95:E95" si="80">A45</f>
        <v>COP</v>
      </c>
      <c r="B95" s="48" t="str">
        <f t="shared" si="80"/>
        <v>$</v>
      </c>
      <c r="C95" s="48" t="str">
        <f t="shared" si="80"/>
        <v>哥倫比亞披索</v>
      </c>
      <c r="D95" s="48" t="str">
        <f t="shared" si="80"/>
        <v/>
      </c>
      <c r="E95" s="64">
        <f t="shared" si="80"/>
        <v>0.2</v>
      </c>
      <c r="F95" s="65">
        <f t="shared" ref="F95:Y95" si="81">HLOOKUP(F45,$F$1:$AI$2,2) * $D$1 * $E95</f>
        <v>30</v>
      </c>
      <c r="G95" s="65">
        <f t="shared" si="81"/>
        <v>60</v>
      </c>
      <c r="H95" s="65">
        <f t="shared" si="81"/>
        <v>120</v>
      </c>
      <c r="I95" s="65">
        <f t="shared" si="81"/>
        <v>180</v>
      </c>
      <c r="J95" s="65">
        <f t="shared" si="81"/>
        <v>240</v>
      </c>
      <c r="K95" s="65">
        <f t="shared" si="81"/>
        <v>360</v>
      </c>
      <c r="L95" s="65">
        <f t="shared" si="81"/>
        <v>600</v>
      </c>
      <c r="M95" s="65">
        <f t="shared" si="81"/>
        <v>900</v>
      </c>
      <c r="N95" s="65">
        <f t="shared" si="81"/>
        <v>1200</v>
      </c>
      <c r="O95" s="65">
        <f t="shared" si="81"/>
        <v>1500</v>
      </c>
      <c r="P95" s="65">
        <f t="shared" si="81"/>
        <v>1800</v>
      </c>
      <c r="Q95" s="65">
        <f t="shared" si="81"/>
        <v>2400</v>
      </c>
      <c r="R95" s="65">
        <f t="shared" si="81"/>
        <v>3000</v>
      </c>
      <c r="S95" s="65">
        <f t="shared" si="81"/>
        <v>3600</v>
      </c>
      <c r="T95" s="65">
        <f t="shared" si="81"/>
        <v>4200</v>
      </c>
      <c r="U95" s="65">
        <f t="shared" si="81"/>
        <v>4800</v>
      </c>
      <c r="V95" s="65">
        <f t="shared" si="81"/>
        <v>6000</v>
      </c>
      <c r="W95" s="65">
        <f t="shared" si="81"/>
        <v>7200</v>
      </c>
      <c r="X95" s="65">
        <f t="shared" si="81"/>
        <v>9600</v>
      </c>
      <c r="Y95" s="65">
        <f t="shared" si="81"/>
        <v>12000</v>
      </c>
      <c r="AA95" s="80"/>
    </row>
    <row r="96" ht="16.5" customHeight="1">
      <c r="A96" s="48" t="str">
        <f t="shared" ref="A96:E96" si="82">A46</f>
        <v>VNDO</v>
      </c>
      <c r="B96" s="48" t="str">
        <f t="shared" si="82"/>
        <v>₫</v>
      </c>
      <c r="C96" s="48" t="str">
        <f t="shared" si="82"/>
        <v>越南盾</v>
      </c>
      <c r="D96" s="48" t="str">
        <f t="shared" si="82"/>
        <v/>
      </c>
      <c r="E96" s="64">
        <f t="shared" si="82"/>
        <v>0.2</v>
      </c>
      <c r="F96" s="65">
        <f t="shared" ref="F96:Y96" si="83">HLOOKUP(F46,$F$1:$AI$2,2) * $D$1 * $E96</f>
        <v>30</v>
      </c>
      <c r="G96" s="65">
        <f t="shared" si="83"/>
        <v>60</v>
      </c>
      <c r="H96" s="65">
        <f t="shared" si="83"/>
        <v>120</v>
      </c>
      <c r="I96" s="65">
        <f t="shared" si="83"/>
        <v>180</v>
      </c>
      <c r="J96" s="65">
        <f t="shared" si="83"/>
        <v>240</v>
      </c>
      <c r="K96" s="65">
        <f t="shared" si="83"/>
        <v>360</v>
      </c>
      <c r="L96" s="65">
        <f t="shared" si="83"/>
        <v>600</v>
      </c>
      <c r="M96" s="65">
        <f t="shared" si="83"/>
        <v>900</v>
      </c>
      <c r="N96" s="65">
        <f t="shared" si="83"/>
        <v>1200</v>
      </c>
      <c r="O96" s="65">
        <f t="shared" si="83"/>
        <v>1500</v>
      </c>
      <c r="P96" s="65">
        <f t="shared" si="83"/>
        <v>1800</v>
      </c>
      <c r="Q96" s="65">
        <f t="shared" si="83"/>
        <v>2400</v>
      </c>
      <c r="R96" s="65">
        <f t="shared" si="83"/>
        <v>3000</v>
      </c>
      <c r="S96" s="65">
        <f t="shared" si="83"/>
        <v>3600</v>
      </c>
      <c r="T96" s="65">
        <f t="shared" si="83"/>
        <v>4200</v>
      </c>
      <c r="U96" s="65">
        <f t="shared" si="83"/>
        <v>4800</v>
      </c>
      <c r="V96" s="65">
        <f t="shared" si="83"/>
        <v>6000</v>
      </c>
      <c r="W96" s="65">
        <f t="shared" si="83"/>
        <v>7200</v>
      </c>
      <c r="X96" s="65">
        <f t="shared" si="83"/>
        <v>9600</v>
      </c>
      <c r="Y96" s="65">
        <f t="shared" si="83"/>
        <v>12000</v>
      </c>
      <c r="AA96" s="80"/>
    </row>
    <row r="97" ht="16.5" customHeight="1">
      <c r="A97" s="48" t="str">
        <f t="shared" ref="A97:E97" si="84">A47</f>
        <v>MYRC</v>
      </c>
      <c r="B97" s="48" t="str">
        <f t="shared" si="84"/>
        <v>RM</v>
      </c>
      <c r="C97" s="48" t="str">
        <f t="shared" si="84"/>
        <v>馬來西亞令吉</v>
      </c>
      <c r="D97" s="48">
        <f t="shared" si="84"/>
        <v>0.01</v>
      </c>
      <c r="E97" s="64">
        <f t="shared" si="84"/>
        <v>0.01</v>
      </c>
      <c r="F97" s="65">
        <f t="shared" ref="F97:Y97" si="85">HLOOKUP(F47,$F$1:$AI$2,2) * $D$1 * $E97</f>
        <v>1.5</v>
      </c>
      <c r="G97" s="65">
        <f t="shared" si="85"/>
        <v>3</v>
      </c>
      <c r="H97" s="65">
        <f t="shared" si="85"/>
        <v>6</v>
      </c>
      <c r="I97" s="65">
        <f t="shared" si="85"/>
        <v>9</v>
      </c>
      <c r="J97" s="65">
        <f t="shared" si="85"/>
        <v>12</v>
      </c>
      <c r="K97" s="65">
        <f t="shared" si="85"/>
        <v>18</v>
      </c>
      <c r="L97" s="65">
        <f t="shared" si="85"/>
        <v>30</v>
      </c>
      <c r="M97" s="65">
        <f t="shared" si="85"/>
        <v>45</v>
      </c>
      <c r="N97" s="65">
        <f t="shared" si="85"/>
        <v>60</v>
      </c>
      <c r="O97" s="65">
        <f t="shared" si="85"/>
        <v>75</v>
      </c>
      <c r="P97" s="65">
        <f t="shared" si="85"/>
        <v>90</v>
      </c>
      <c r="Q97" s="65">
        <f t="shared" si="85"/>
        <v>120</v>
      </c>
      <c r="R97" s="65">
        <f t="shared" si="85"/>
        <v>150</v>
      </c>
      <c r="S97" s="65">
        <f t="shared" si="85"/>
        <v>180</v>
      </c>
      <c r="T97" s="65">
        <f t="shared" si="85"/>
        <v>210</v>
      </c>
      <c r="U97" s="65">
        <f t="shared" si="85"/>
        <v>240</v>
      </c>
      <c r="V97" s="65">
        <f t="shared" si="85"/>
        <v>300</v>
      </c>
      <c r="W97" s="65">
        <f t="shared" si="85"/>
        <v>360</v>
      </c>
      <c r="X97" s="65">
        <f t="shared" si="85"/>
        <v>480</v>
      </c>
      <c r="Y97" s="65">
        <f t="shared" si="85"/>
        <v>600</v>
      </c>
      <c r="AA97" s="81"/>
    </row>
    <row r="98" ht="16.5" customHeight="1">
      <c r="A98" s="48" t="str">
        <f t="shared" ref="A98:E98" si="86">A48</f>
        <v>XSD</v>
      </c>
      <c r="B98" s="48" t="str">
        <f t="shared" si="86"/>
        <v/>
      </c>
      <c r="C98" s="48" t="str">
        <f t="shared" si="86"/>
        <v>星幣</v>
      </c>
      <c r="D98" s="48" t="str">
        <f t="shared" si="86"/>
        <v/>
      </c>
      <c r="E98" s="64">
        <f t="shared" si="86"/>
        <v>1</v>
      </c>
      <c r="F98" s="65">
        <f t="shared" ref="F98:Y98" si="87">HLOOKUP(F48,$F$1:$AI$2,2) * $D$1 * $E98</f>
        <v>300</v>
      </c>
      <c r="G98" s="65">
        <f t="shared" si="87"/>
        <v>600</v>
      </c>
      <c r="H98" s="65">
        <f t="shared" si="87"/>
        <v>900</v>
      </c>
      <c r="I98" s="65">
        <f t="shared" si="87"/>
        <v>1200</v>
      </c>
      <c r="J98" s="65">
        <f t="shared" si="87"/>
        <v>1800</v>
      </c>
      <c r="K98" s="65">
        <f t="shared" si="87"/>
        <v>3000</v>
      </c>
      <c r="L98" s="65">
        <f t="shared" si="87"/>
        <v>4500</v>
      </c>
      <c r="M98" s="65">
        <f t="shared" si="87"/>
        <v>6000</v>
      </c>
      <c r="N98" s="65">
        <f t="shared" si="87"/>
        <v>7500</v>
      </c>
      <c r="O98" s="65">
        <f t="shared" si="87"/>
        <v>9000</v>
      </c>
      <c r="P98" s="65">
        <f t="shared" si="87"/>
        <v>10500</v>
      </c>
      <c r="Q98" s="65">
        <f t="shared" si="87"/>
        <v>12000</v>
      </c>
      <c r="R98" s="65">
        <f t="shared" si="87"/>
        <v>15000</v>
      </c>
      <c r="S98" s="65">
        <f t="shared" si="87"/>
        <v>18000</v>
      </c>
      <c r="T98" s="65">
        <f t="shared" si="87"/>
        <v>21000</v>
      </c>
      <c r="U98" s="65">
        <f t="shared" si="87"/>
        <v>27000</v>
      </c>
      <c r="V98" s="65">
        <f t="shared" si="87"/>
        <v>30000</v>
      </c>
      <c r="W98" s="65">
        <f t="shared" si="87"/>
        <v>36000</v>
      </c>
      <c r="X98" s="65">
        <f t="shared" si="87"/>
        <v>42000</v>
      </c>
      <c r="Y98" s="65">
        <f t="shared" si="87"/>
        <v>48000</v>
      </c>
    </row>
    <row r="99" ht="16.5" customHeight="1">
      <c r="A99" s="48" t="str">
        <f t="shared" ref="A99:E99" si="88">A49</f>
        <v>DZD</v>
      </c>
      <c r="B99" s="48" t="str">
        <f t="shared" si="88"/>
        <v>دج</v>
      </c>
      <c r="C99" s="48" t="str">
        <f t="shared" si="88"/>
        <v>阿爾及利亞第納爾</v>
      </c>
      <c r="D99" s="48" t="str">
        <f t="shared" si="88"/>
        <v/>
      </c>
      <c r="E99" s="64">
        <f t="shared" si="88"/>
        <v>0.01</v>
      </c>
      <c r="F99" s="65">
        <f t="shared" ref="F99:Y99" si="89">HLOOKUP(F49,$F$1:$AI$2,2) * $D$1 * $E99</f>
        <v>1.5</v>
      </c>
      <c r="G99" s="65">
        <f t="shared" si="89"/>
        <v>3</v>
      </c>
      <c r="H99" s="65">
        <f t="shared" si="89"/>
        <v>6</v>
      </c>
      <c r="I99" s="65">
        <f t="shared" si="89"/>
        <v>9</v>
      </c>
      <c r="J99" s="65">
        <f t="shared" si="89"/>
        <v>12</v>
      </c>
      <c r="K99" s="65">
        <f t="shared" si="89"/>
        <v>18</v>
      </c>
      <c r="L99" s="65">
        <f t="shared" si="89"/>
        <v>30</v>
      </c>
      <c r="M99" s="65">
        <f t="shared" si="89"/>
        <v>45</v>
      </c>
      <c r="N99" s="65">
        <f t="shared" si="89"/>
        <v>60</v>
      </c>
      <c r="O99" s="65">
        <f t="shared" si="89"/>
        <v>75</v>
      </c>
      <c r="P99" s="65">
        <f t="shared" si="89"/>
        <v>90</v>
      </c>
      <c r="Q99" s="65">
        <f t="shared" si="89"/>
        <v>120</v>
      </c>
      <c r="R99" s="65">
        <f t="shared" si="89"/>
        <v>150</v>
      </c>
      <c r="S99" s="65">
        <f t="shared" si="89"/>
        <v>180</v>
      </c>
      <c r="T99" s="65">
        <f t="shared" si="89"/>
        <v>210</v>
      </c>
      <c r="U99" s="65">
        <f t="shared" si="89"/>
        <v>240</v>
      </c>
      <c r="V99" s="65">
        <f t="shared" si="89"/>
        <v>300</v>
      </c>
      <c r="W99" s="65">
        <f t="shared" si="89"/>
        <v>360</v>
      </c>
      <c r="X99" s="65">
        <f t="shared" si="89"/>
        <v>480</v>
      </c>
      <c r="Y99" s="65">
        <f t="shared" si="89"/>
        <v>600</v>
      </c>
    </row>
    <row r="100" ht="16.5" customHeight="1">
      <c r="A100" s="48" t="str">
        <f t="shared" ref="A100:E100" si="90">A50</f>
        <v>MAD</v>
      </c>
      <c r="B100" s="48" t="str">
        <f t="shared" si="90"/>
        <v>DH</v>
      </c>
      <c r="C100" s="48" t="str">
        <f t="shared" si="90"/>
        <v>摩洛哥迪拉姆</v>
      </c>
      <c r="D100" s="48" t="str">
        <f t="shared" si="90"/>
        <v/>
      </c>
      <c r="E100" s="64">
        <f t="shared" si="90"/>
        <v>0.01</v>
      </c>
      <c r="F100" s="65">
        <f t="shared" ref="F100:Y100" si="91">HLOOKUP(F50,$F$1:$AI$2,2) * $D$1 * $E100</f>
        <v>1.5</v>
      </c>
      <c r="G100" s="65">
        <f t="shared" si="91"/>
        <v>3</v>
      </c>
      <c r="H100" s="65">
        <f t="shared" si="91"/>
        <v>6</v>
      </c>
      <c r="I100" s="65">
        <f t="shared" si="91"/>
        <v>9</v>
      </c>
      <c r="J100" s="65">
        <f t="shared" si="91"/>
        <v>12</v>
      </c>
      <c r="K100" s="65">
        <f t="shared" si="91"/>
        <v>18</v>
      </c>
      <c r="L100" s="65">
        <f t="shared" si="91"/>
        <v>30</v>
      </c>
      <c r="M100" s="65">
        <f t="shared" si="91"/>
        <v>45</v>
      </c>
      <c r="N100" s="65">
        <f t="shared" si="91"/>
        <v>60</v>
      </c>
      <c r="O100" s="65">
        <f t="shared" si="91"/>
        <v>75</v>
      </c>
      <c r="P100" s="65">
        <f t="shared" si="91"/>
        <v>90</v>
      </c>
      <c r="Q100" s="65">
        <f t="shared" si="91"/>
        <v>120</v>
      </c>
      <c r="R100" s="65">
        <f t="shared" si="91"/>
        <v>150</v>
      </c>
      <c r="S100" s="65">
        <f t="shared" si="91"/>
        <v>180</v>
      </c>
      <c r="T100" s="65">
        <f t="shared" si="91"/>
        <v>210</v>
      </c>
      <c r="U100" s="65">
        <f t="shared" si="91"/>
        <v>240</v>
      </c>
      <c r="V100" s="65">
        <f t="shared" si="91"/>
        <v>300</v>
      </c>
      <c r="W100" s="65">
        <f t="shared" si="91"/>
        <v>360</v>
      </c>
      <c r="X100" s="65">
        <f t="shared" si="91"/>
        <v>480</v>
      </c>
      <c r="Y100" s="65">
        <f t="shared" si="91"/>
        <v>600</v>
      </c>
    </row>
    <row r="101" ht="16.5" customHeight="1">
      <c r="A101" s="48" t="str">
        <f t="shared" ref="A101:E101" si="92">A51</f>
        <v>FRF</v>
      </c>
      <c r="B101" s="48" t="str">
        <f t="shared" si="92"/>
        <v>₣</v>
      </c>
      <c r="C101" s="48" t="str">
        <f t="shared" si="92"/>
        <v>法國法郎</v>
      </c>
      <c r="D101" s="48" t="str">
        <f t="shared" si="92"/>
        <v/>
      </c>
      <c r="E101" s="64">
        <f t="shared" si="92"/>
        <v>0.01</v>
      </c>
      <c r="F101" s="65">
        <f t="shared" ref="F101:Y101" si="93">HLOOKUP(F51,$F$1:$AI$2,2) * $D$1 * $E101</f>
        <v>1.5</v>
      </c>
      <c r="G101" s="65">
        <f t="shared" si="93"/>
        <v>3</v>
      </c>
      <c r="H101" s="65">
        <f t="shared" si="93"/>
        <v>6</v>
      </c>
      <c r="I101" s="65">
        <f t="shared" si="93"/>
        <v>9</v>
      </c>
      <c r="J101" s="65">
        <f t="shared" si="93"/>
        <v>12</v>
      </c>
      <c r="K101" s="65">
        <f t="shared" si="93"/>
        <v>18</v>
      </c>
      <c r="L101" s="65">
        <f t="shared" si="93"/>
        <v>30</v>
      </c>
      <c r="M101" s="65">
        <f t="shared" si="93"/>
        <v>45</v>
      </c>
      <c r="N101" s="65">
        <f t="shared" si="93"/>
        <v>60</v>
      </c>
      <c r="O101" s="65">
        <f t="shared" si="93"/>
        <v>75</v>
      </c>
      <c r="P101" s="65">
        <f t="shared" si="93"/>
        <v>90</v>
      </c>
      <c r="Q101" s="65">
        <f t="shared" si="93"/>
        <v>120</v>
      </c>
      <c r="R101" s="65">
        <f t="shared" si="93"/>
        <v>150</v>
      </c>
      <c r="S101" s="65">
        <f t="shared" si="93"/>
        <v>180</v>
      </c>
      <c r="T101" s="65">
        <f t="shared" si="93"/>
        <v>210</v>
      </c>
      <c r="U101" s="65">
        <f t="shared" si="93"/>
        <v>240</v>
      </c>
      <c r="V101" s="65">
        <f t="shared" si="93"/>
        <v>300</v>
      </c>
      <c r="W101" s="65">
        <f t="shared" si="93"/>
        <v>360</v>
      </c>
      <c r="X101" s="65">
        <f t="shared" si="93"/>
        <v>480</v>
      </c>
      <c r="Y101" s="65">
        <f t="shared" si="93"/>
        <v>600</v>
      </c>
    </row>
    <row r="102" ht="16.5" customHeight="1">
      <c r="A102" s="48" t="str">
        <f t="shared" ref="A102:E102" si="94">A52</f>
        <v>GHS</v>
      </c>
      <c r="B102" s="48" t="str">
        <f t="shared" si="94"/>
        <v>Gp</v>
      </c>
      <c r="C102" s="48" t="str">
        <f t="shared" si="94"/>
        <v>迦納塞地</v>
      </c>
      <c r="D102" s="48" t="str">
        <f t="shared" si="94"/>
        <v/>
      </c>
      <c r="E102" s="64">
        <f t="shared" si="94"/>
        <v>0.01</v>
      </c>
      <c r="F102" s="65">
        <f t="shared" ref="F102:Y102" si="95">HLOOKUP(F52,$F$1:$AI$2,2) * $D$1 * $E102</f>
        <v>1.5</v>
      </c>
      <c r="G102" s="65">
        <f t="shared" si="95"/>
        <v>3</v>
      </c>
      <c r="H102" s="65">
        <f t="shared" si="95"/>
        <v>6</v>
      </c>
      <c r="I102" s="65">
        <f t="shared" si="95"/>
        <v>9</v>
      </c>
      <c r="J102" s="65">
        <f t="shared" si="95"/>
        <v>12</v>
      </c>
      <c r="K102" s="65">
        <f t="shared" si="95"/>
        <v>18</v>
      </c>
      <c r="L102" s="65">
        <f t="shared" si="95"/>
        <v>30</v>
      </c>
      <c r="M102" s="65">
        <f t="shared" si="95"/>
        <v>45</v>
      </c>
      <c r="N102" s="65">
        <f t="shared" si="95"/>
        <v>60</v>
      </c>
      <c r="O102" s="65">
        <f t="shared" si="95"/>
        <v>75</v>
      </c>
      <c r="P102" s="65">
        <f t="shared" si="95"/>
        <v>90</v>
      </c>
      <c r="Q102" s="65">
        <f t="shared" si="95"/>
        <v>120</v>
      </c>
      <c r="R102" s="65">
        <f t="shared" si="95"/>
        <v>150</v>
      </c>
      <c r="S102" s="65">
        <f t="shared" si="95"/>
        <v>180</v>
      </c>
      <c r="T102" s="65">
        <f t="shared" si="95"/>
        <v>210</v>
      </c>
      <c r="U102" s="65">
        <f t="shared" si="95"/>
        <v>240</v>
      </c>
      <c r="V102" s="65">
        <f t="shared" si="95"/>
        <v>300</v>
      </c>
      <c r="W102" s="65">
        <f t="shared" si="95"/>
        <v>360</v>
      </c>
      <c r="X102" s="65">
        <f t="shared" si="95"/>
        <v>480</v>
      </c>
      <c r="Y102" s="65">
        <f t="shared" si="95"/>
        <v>600</v>
      </c>
    </row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16.5" customHeight="1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mergeCells count="9">
    <mergeCell ref="AA5:AA47"/>
    <mergeCell ref="AA55:AA97"/>
    <mergeCell ref="A1:A2"/>
    <mergeCell ref="B1:B2"/>
    <mergeCell ref="C1:C2"/>
    <mergeCell ref="D1:D2"/>
    <mergeCell ref="E1:E2"/>
    <mergeCell ref="A4:AA4"/>
    <mergeCell ref="A54:AA5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3" width="6.89"/>
    <col customWidth="1" min="4" max="4" width="9.89"/>
    <col customWidth="1" min="5" max="5" width="6.89"/>
    <col customWidth="1" min="6" max="6" width="6.0"/>
    <col customWidth="1" min="7" max="8" width="6.89"/>
    <col customWidth="1" min="9" max="9" width="7.22"/>
    <col customWidth="1" min="10" max="10" width="8.89"/>
    <col customWidth="1" min="11" max="11" width="3.44"/>
    <col customWidth="1" min="12" max="16" width="4.33"/>
    <col customWidth="1" min="17" max="20" width="2.67"/>
    <col customWidth="1" min="21" max="21" width="3.44"/>
    <col customWidth="1" min="22" max="26" width="10.44"/>
  </cols>
  <sheetData>
    <row r="1" ht="16.5" customHeight="1"/>
    <row r="2" ht="16.5" customHeight="1">
      <c r="A2" s="118" t="s">
        <v>219</v>
      </c>
      <c r="B2" s="119" t="s">
        <v>220</v>
      </c>
      <c r="C2" s="120" t="s">
        <v>221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2"/>
    </row>
    <row r="3" ht="16.5" customHeight="1">
      <c r="A3" s="123"/>
      <c r="B3" s="50" t="s">
        <v>222</v>
      </c>
      <c r="C3" s="124">
        <v>1.0</v>
      </c>
      <c r="D3" s="124">
        <v>2.0</v>
      </c>
      <c r="E3" s="124">
        <v>3.0</v>
      </c>
      <c r="F3" s="124">
        <v>4.0</v>
      </c>
      <c r="G3" s="124">
        <v>5.0</v>
      </c>
      <c r="H3" s="124">
        <v>6.0</v>
      </c>
      <c r="I3" s="124">
        <v>7.0</v>
      </c>
      <c r="J3" s="125">
        <v>8.0</v>
      </c>
      <c r="K3" s="125">
        <v>9.0</v>
      </c>
      <c r="L3" s="125">
        <v>10.0</v>
      </c>
      <c r="M3" s="125">
        <v>20.0</v>
      </c>
      <c r="N3" s="125">
        <v>30.0</v>
      </c>
      <c r="O3" s="125">
        <v>40.0</v>
      </c>
      <c r="P3" s="126">
        <v>50.0</v>
      </c>
      <c r="Q3" s="126">
        <v>60.0</v>
      </c>
      <c r="R3" s="126">
        <v>70.0</v>
      </c>
      <c r="S3" s="126">
        <v>80.0</v>
      </c>
      <c r="T3" s="126">
        <v>90.0</v>
      </c>
      <c r="U3" s="126">
        <v>100.0</v>
      </c>
    </row>
    <row r="4" ht="16.5" customHeight="1">
      <c r="A4" s="123"/>
      <c r="B4" s="50" t="s">
        <v>223</v>
      </c>
      <c r="C4" s="124">
        <v>10.0</v>
      </c>
      <c r="D4" s="124">
        <v>20.0</v>
      </c>
      <c r="E4" s="124">
        <v>30.0</v>
      </c>
      <c r="F4" s="124">
        <v>40.0</v>
      </c>
      <c r="G4" s="124">
        <v>50.0</v>
      </c>
      <c r="H4" s="125">
        <v>60.0</v>
      </c>
      <c r="I4" s="125">
        <v>70.0</v>
      </c>
      <c r="J4" s="125">
        <v>80.0</v>
      </c>
      <c r="K4" s="125">
        <v>90.0</v>
      </c>
      <c r="L4" s="125">
        <v>100.0</v>
      </c>
      <c r="M4" s="126">
        <v>200.0</v>
      </c>
      <c r="N4" s="126">
        <v>300.0</v>
      </c>
      <c r="O4" s="126">
        <v>400.0</v>
      </c>
      <c r="P4" s="126">
        <v>500.0</v>
      </c>
      <c r="Q4" s="127"/>
      <c r="R4" s="127"/>
      <c r="S4" s="127"/>
      <c r="T4" s="127"/>
      <c r="U4" s="127"/>
    </row>
    <row r="5" ht="16.5" customHeight="1">
      <c r="A5" s="123"/>
      <c r="B5" s="50" t="s">
        <v>224</v>
      </c>
      <c r="C5" s="124">
        <v>100.0</v>
      </c>
      <c r="D5" s="124">
        <v>200.0</v>
      </c>
      <c r="E5" s="124">
        <v>300.0</v>
      </c>
      <c r="F5" s="124">
        <v>400.0</v>
      </c>
      <c r="G5" s="125">
        <v>500.0</v>
      </c>
      <c r="H5" s="125">
        <v>600.0</v>
      </c>
      <c r="I5" s="125">
        <v>700.0</v>
      </c>
      <c r="J5" s="126">
        <v>800.0</v>
      </c>
      <c r="K5" s="126">
        <v>900.0</v>
      </c>
      <c r="L5" s="126">
        <v>1000.0</v>
      </c>
      <c r="M5" s="127"/>
      <c r="N5" s="127"/>
      <c r="O5" s="127"/>
      <c r="P5" s="127"/>
      <c r="Q5" s="127"/>
      <c r="R5" s="127"/>
      <c r="S5" s="127"/>
      <c r="T5" s="127"/>
      <c r="U5" s="127"/>
    </row>
    <row r="6" ht="16.5" customHeight="1">
      <c r="A6" s="123"/>
    </row>
    <row r="7" ht="16.5" customHeight="1">
      <c r="A7" s="123"/>
      <c r="B7" s="119" t="s">
        <v>225</v>
      </c>
      <c r="C7" s="120" t="s">
        <v>221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2"/>
    </row>
    <row r="8" ht="16.5" customHeight="1">
      <c r="A8" s="123"/>
      <c r="B8" s="50" t="s">
        <v>222</v>
      </c>
      <c r="C8" s="124">
        <v>1.0</v>
      </c>
      <c r="D8" s="124">
        <v>2.0</v>
      </c>
      <c r="E8" s="124">
        <v>3.0</v>
      </c>
      <c r="F8" s="124">
        <v>4.0</v>
      </c>
      <c r="G8" s="124">
        <v>5.0</v>
      </c>
      <c r="H8" s="124">
        <v>6.0</v>
      </c>
      <c r="I8" s="124">
        <v>7.0</v>
      </c>
      <c r="J8" s="125">
        <v>8.0</v>
      </c>
      <c r="K8" s="125">
        <v>9.0</v>
      </c>
      <c r="L8" s="125">
        <v>10.0</v>
      </c>
      <c r="M8" s="125">
        <v>20.0</v>
      </c>
      <c r="N8" s="125">
        <v>30.0</v>
      </c>
      <c r="O8" s="125">
        <v>40.0</v>
      </c>
      <c r="P8" s="126">
        <v>50.0</v>
      </c>
      <c r="Q8" s="126">
        <v>60.0</v>
      </c>
      <c r="R8" s="126">
        <v>70.0</v>
      </c>
      <c r="S8" s="126">
        <v>80.0</v>
      </c>
      <c r="T8" s="126">
        <v>90.0</v>
      </c>
      <c r="U8" s="126">
        <v>100.0</v>
      </c>
    </row>
    <row r="9" ht="16.5" customHeight="1">
      <c r="A9" s="123"/>
      <c r="B9" s="50" t="s">
        <v>223</v>
      </c>
      <c r="C9" s="124">
        <v>10.0</v>
      </c>
      <c r="D9" s="124">
        <v>20.0</v>
      </c>
      <c r="E9" s="124">
        <v>30.0</v>
      </c>
      <c r="F9" s="124">
        <v>40.0</v>
      </c>
      <c r="G9" s="124">
        <v>50.0</v>
      </c>
      <c r="H9" s="125">
        <v>60.0</v>
      </c>
      <c r="I9" s="125">
        <v>70.0</v>
      </c>
      <c r="J9" s="125">
        <v>80.0</v>
      </c>
      <c r="K9" s="125">
        <v>90.0</v>
      </c>
      <c r="L9" s="125">
        <v>100.0</v>
      </c>
      <c r="M9" s="126">
        <v>200.0</v>
      </c>
      <c r="N9" s="126">
        <v>300.0</v>
      </c>
      <c r="O9" s="126">
        <v>400.0</v>
      </c>
      <c r="P9" s="126">
        <v>500.0</v>
      </c>
      <c r="Q9" s="50"/>
      <c r="R9" s="50"/>
      <c r="S9" s="50"/>
      <c r="T9" s="50"/>
      <c r="U9" s="50"/>
    </row>
    <row r="10" ht="16.5" customHeight="1">
      <c r="A10" s="123"/>
      <c r="B10" s="50" t="s">
        <v>224</v>
      </c>
      <c r="C10" s="124">
        <v>100.0</v>
      </c>
      <c r="D10" s="124">
        <v>200.0</v>
      </c>
      <c r="E10" s="124">
        <v>300.0</v>
      </c>
      <c r="F10" s="124">
        <v>400.0</v>
      </c>
      <c r="G10" s="125">
        <v>500.0</v>
      </c>
      <c r="H10" s="125">
        <v>600.0</v>
      </c>
      <c r="I10" s="125">
        <v>700.0</v>
      </c>
      <c r="J10" s="125">
        <v>800.0</v>
      </c>
      <c r="K10" s="126">
        <v>900.0</v>
      </c>
      <c r="L10" s="126">
        <v>1000.0</v>
      </c>
      <c r="M10" s="126">
        <v>2000.0</v>
      </c>
      <c r="N10" s="127"/>
      <c r="O10" s="127"/>
      <c r="P10" s="127"/>
      <c r="Q10" s="127"/>
      <c r="R10" s="127"/>
      <c r="S10" s="127"/>
      <c r="T10" s="127"/>
      <c r="U10" s="127"/>
    </row>
    <row r="11" ht="16.5" customHeight="1">
      <c r="A11" s="123"/>
    </row>
    <row r="12" ht="16.5" customHeight="1">
      <c r="A12" s="123"/>
      <c r="B12" s="119" t="s">
        <v>226</v>
      </c>
      <c r="C12" s="120" t="s">
        <v>221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2"/>
    </row>
    <row r="13" ht="16.5" customHeight="1">
      <c r="A13" s="123"/>
      <c r="B13" s="50" t="s">
        <v>222</v>
      </c>
      <c r="C13" s="124">
        <v>1.0</v>
      </c>
      <c r="D13" s="124">
        <v>2.0</v>
      </c>
      <c r="E13" s="124">
        <v>3.0</v>
      </c>
      <c r="F13" s="124">
        <v>4.0</v>
      </c>
      <c r="G13" s="124">
        <v>5.0</v>
      </c>
      <c r="H13" s="125">
        <v>6.0</v>
      </c>
      <c r="I13" s="125">
        <v>7.0</v>
      </c>
      <c r="J13" s="125">
        <v>8.0</v>
      </c>
      <c r="K13" s="125">
        <v>9.0</v>
      </c>
      <c r="L13" s="125">
        <v>10.0</v>
      </c>
      <c r="M13" s="126">
        <v>20.0</v>
      </c>
      <c r="N13" s="126">
        <v>30.0</v>
      </c>
      <c r="O13" s="126">
        <v>40.0</v>
      </c>
      <c r="P13" s="126">
        <v>50.0</v>
      </c>
      <c r="Q13" s="50"/>
      <c r="R13" s="50"/>
      <c r="S13" s="50"/>
      <c r="T13" s="50"/>
      <c r="U13" s="50"/>
    </row>
    <row r="14" ht="16.5" customHeight="1">
      <c r="A14" s="123"/>
      <c r="B14" s="50" t="s">
        <v>223</v>
      </c>
      <c r="C14" s="124">
        <v>10.0</v>
      </c>
      <c r="D14" s="124">
        <v>20.0</v>
      </c>
      <c r="E14" s="124">
        <v>30.0</v>
      </c>
      <c r="F14" s="124">
        <v>40.0</v>
      </c>
      <c r="G14" s="124">
        <v>50.0</v>
      </c>
      <c r="H14" s="125">
        <v>60.0</v>
      </c>
      <c r="I14" s="125">
        <v>70.0</v>
      </c>
      <c r="J14" s="125">
        <v>80.0</v>
      </c>
      <c r="K14" s="125">
        <v>90.0</v>
      </c>
      <c r="L14" s="125">
        <v>100.0</v>
      </c>
      <c r="M14" s="126">
        <v>200.0</v>
      </c>
      <c r="N14" s="126">
        <v>300.0</v>
      </c>
      <c r="O14" s="126">
        <v>400.0</v>
      </c>
      <c r="P14" s="126">
        <v>500.0</v>
      </c>
      <c r="Q14" s="50"/>
      <c r="R14" s="50"/>
      <c r="S14" s="50"/>
      <c r="T14" s="50"/>
      <c r="U14" s="50"/>
    </row>
    <row r="15" ht="16.5" customHeight="1">
      <c r="A15" s="128"/>
      <c r="B15" s="50" t="s">
        <v>224</v>
      </c>
      <c r="C15" s="124">
        <v>100.0</v>
      </c>
      <c r="D15" s="124">
        <v>200.0</v>
      </c>
      <c r="E15" s="124">
        <v>300.0</v>
      </c>
      <c r="F15" s="124">
        <v>400.0</v>
      </c>
      <c r="G15" s="124">
        <v>500.0</v>
      </c>
      <c r="H15" s="125">
        <v>600.0</v>
      </c>
      <c r="I15" s="125">
        <v>700.0</v>
      </c>
      <c r="J15" s="125">
        <v>800.0</v>
      </c>
      <c r="K15" s="125">
        <v>900.0</v>
      </c>
      <c r="L15" s="125">
        <v>1000.0</v>
      </c>
      <c r="M15" s="126">
        <v>2000.0</v>
      </c>
      <c r="N15" s="126">
        <v>3000.0</v>
      </c>
      <c r="O15" s="126">
        <v>4000.0</v>
      </c>
      <c r="P15" s="126">
        <v>5000.0</v>
      </c>
      <c r="Q15" s="127"/>
      <c r="R15" s="127"/>
      <c r="S15" s="127"/>
      <c r="T15" s="127"/>
      <c r="U15" s="127"/>
    </row>
    <row r="16" ht="16.5" customHeight="1"/>
    <row r="17" ht="16.5" customHeight="1">
      <c r="A17" s="129" t="s">
        <v>227</v>
      </c>
      <c r="B17" s="130"/>
      <c r="C17" s="130"/>
      <c r="D17" s="131"/>
    </row>
    <row r="18" ht="16.5" customHeight="1">
      <c r="A18" s="132" t="s">
        <v>228</v>
      </c>
      <c r="B18" s="133" t="s">
        <v>45</v>
      </c>
      <c r="C18" s="133" t="s">
        <v>46</v>
      </c>
      <c r="D18" s="133" t="s">
        <v>47</v>
      </c>
      <c r="E18" s="134" t="s">
        <v>229</v>
      </c>
      <c r="F18" s="134" t="s">
        <v>49</v>
      </c>
      <c r="G18" s="134" t="s">
        <v>230</v>
      </c>
      <c r="H18" s="134" t="s">
        <v>222</v>
      </c>
      <c r="I18" s="134" t="s">
        <v>223</v>
      </c>
      <c r="J18" s="134" t="s">
        <v>224</v>
      </c>
    </row>
    <row r="19" ht="16.5" customHeight="1">
      <c r="A19" s="52"/>
      <c r="B19" s="135" t="str">
        <f>'試算-SLOT'!A6</f>
        <v>THB</v>
      </c>
      <c r="C19" s="135" t="str">
        <f>'試算-SLOT'!B6</f>
        <v>฿</v>
      </c>
      <c r="D19" s="135" t="str">
        <f>'試算-SLOT'!C6</f>
        <v>泰銖</v>
      </c>
      <c r="E19" s="135" t="s">
        <v>225</v>
      </c>
      <c r="F19" s="135">
        <v>0.1</v>
      </c>
      <c r="G19" s="136"/>
      <c r="H19" s="135" t="s">
        <v>231</v>
      </c>
      <c r="I19" s="135" t="s">
        <v>232</v>
      </c>
      <c r="J19" s="137" t="s">
        <v>233</v>
      </c>
    </row>
    <row r="20" ht="16.5" customHeight="1">
      <c r="A20" s="52"/>
      <c r="B20" s="125" t="str">
        <f>'試算-SLOT'!A7</f>
        <v>HKD</v>
      </c>
      <c r="C20" s="125" t="str">
        <f>'試算-SLOT'!B7</f>
        <v>HK$</v>
      </c>
      <c r="D20" s="125" t="str">
        <f>'試算-SLOT'!C7</f>
        <v>港幣</v>
      </c>
      <c r="E20" s="125" t="s">
        <v>225</v>
      </c>
      <c r="F20" s="125">
        <v>0.1</v>
      </c>
      <c r="G20" s="127"/>
      <c r="H20" s="125" t="s">
        <v>231</v>
      </c>
      <c r="I20" s="125" t="s">
        <v>232</v>
      </c>
      <c r="J20" s="138" t="s">
        <v>233</v>
      </c>
    </row>
    <row r="21" ht="16.5" customHeight="1">
      <c r="A21" s="52"/>
      <c r="B21" s="125" t="str">
        <f>'試算-SLOT'!A8</f>
        <v>INR</v>
      </c>
      <c r="C21" s="125" t="str">
        <f>'試算-SLOT'!B8</f>
        <v>₹</v>
      </c>
      <c r="D21" s="125" t="str">
        <f>'試算-SLOT'!C8</f>
        <v>印度盧比</v>
      </c>
      <c r="E21" s="125" t="s">
        <v>225</v>
      </c>
      <c r="F21" s="125">
        <v>0.1</v>
      </c>
      <c r="G21" s="127"/>
      <c r="H21" s="125" t="s">
        <v>231</v>
      </c>
      <c r="I21" s="125" t="s">
        <v>232</v>
      </c>
      <c r="J21" s="138" t="s">
        <v>233</v>
      </c>
    </row>
    <row r="22" ht="16.5" customHeight="1">
      <c r="A22" s="52"/>
      <c r="B22" s="125" t="str">
        <f>'試算-SLOT'!A9</f>
        <v>IDR</v>
      </c>
      <c r="C22" s="125" t="str">
        <f>'試算-SLOT'!B9</f>
        <v>Rp</v>
      </c>
      <c r="D22" s="125" t="str">
        <f>'試算-SLOT'!C9</f>
        <v>印尼盧比(K)</v>
      </c>
      <c r="E22" s="125" t="s">
        <v>225</v>
      </c>
      <c r="F22" s="125">
        <v>0.1</v>
      </c>
      <c r="G22" s="139">
        <v>1000.0</v>
      </c>
      <c r="H22" s="125" t="s">
        <v>231</v>
      </c>
      <c r="I22" s="125" t="s">
        <v>232</v>
      </c>
      <c r="J22" s="138" t="s">
        <v>233</v>
      </c>
    </row>
    <row r="23" ht="16.5" customHeight="1">
      <c r="A23" s="52"/>
      <c r="B23" s="125" t="str">
        <f>'試算-SLOT'!A10</f>
        <v>VND</v>
      </c>
      <c r="C23" s="125" t="str">
        <f>'試算-SLOT'!B10</f>
        <v>₫</v>
      </c>
      <c r="D23" s="125" t="str">
        <f>'試算-SLOT'!C10</f>
        <v>越南盾(K)</v>
      </c>
      <c r="E23" s="125" t="s">
        <v>225</v>
      </c>
      <c r="F23" s="125">
        <v>0.1</v>
      </c>
      <c r="G23" s="139">
        <v>1000.0</v>
      </c>
      <c r="H23" s="125" t="s">
        <v>231</v>
      </c>
      <c r="I23" s="125" t="s">
        <v>232</v>
      </c>
      <c r="J23" s="138" t="s">
        <v>233</v>
      </c>
    </row>
    <row r="24" ht="16.5" customHeight="1">
      <c r="A24" s="52"/>
      <c r="B24" s="125" t="str">
        <f>'試算-SLOT'!A11</f>
        <v>MYR</v>
      </c>
      <c r="C24" s="125" t="str">
        <f>'試算-SLOT'!B11</f>
        <v>RM</v>
      </c>
      <c r="D24" s="125" t="str">
        <f>'試算-SLOT'!C11</f>
        <v>馬來西亞令吉</v>
      </c>
      <c r="E24" s="125" t="s">
        <v>225</v>
      </c>
      <c r="F24" s="125">
        <v>0.1</v>
      </c>
      <c r="G24" s="127"/>
      <c r="H24" s="125" t="s">
        <v>231</v>
      </c>
      <c r="I24" s="125" t="s">
        <v>232</v>
      </c>
      <c r="J24" s="138" t="s">
        <v>233</v>
      </c>
    </row>
    <row r="25" ht="16.5" customHeight="1">
      <c r="A25" s="52"/>
      <c r="B25" s="125" t="str">
        <f>'試算-SLOT'!A12</f>
        <v>SGD</v>
      </c>
      <c r="C25" s="125" t="str">
        <f>'試算-SLOT'!B12</f>
        <v>S$</v>
      </c>
      <c r="D25" s="125" t="str">
        <f>'試算-SLOT'!C12</f>
        <v>新加坡幣</v>
      </c>
      <c r="E25" s="125" t="s">
        <v>220</v>
      </c>
      <c r="F25" s="125">
        <v>0.01</v>
      </c>
      <c r="G25" s="127"/>
      <c r="H25" s="125" t="s">
        <v>234</v>
      </c>
      <c r="I25" s="125" t="s">
        <v>235</v>
      </c>
      <c r="J25" s="138" t="s">
        <v>236</v>
      </c>
    </row>
    <row r="26" ht="16.5" customHeight="1">
      <c r="A26" s="52"/>
      <c r="B26" s="140" t="str">
        <f>'試算-SLOT'!A13</f>
        <v>USD</v>
      </c>
      <c r="C26" s="140" t="str">
        <f>'試算-SLOT'!B13</f>
        <v>$</v>
      </c>
      <c r="D26" s="140" t="str">
        <f>'試算-SLOT'!C13</f>
        <v>美元</v>
      </c>
      <c r="E26" s="140" t="s">
        <v>225</v>
      </c>
      <c r="F26" s="140">
        <v>0.01</v>
      </c>
      <c r="G26" s="141"/>
      <c r="H26" s="140" t="s">
        <v>234</v>
      </c>
      <c r="I26" s="140" t="s">
        <v>235</v>
      </c>
      <c r="J26" s="142" t="s">
        <v>237</v>
      </c>
    </row>
    <row r="27" ht="16.5" customHeight="1">
      <c r="A27" s="52"/>
      <c r="B27" s="125" t="str">
        <f>'試算-SLOT'!A14</f>
        <v>BDT</v>
      </c>
      <c r="C27" s="125" t="str">
        <f>'試算-SLOT'!B14</f>
        <v>৳</v>
      </c>
      <c r="D27" s="125" t="str">
        <f>'試算-SLOT'!C14</f>
        <v>孟加拉塔卡</v>
      </c>
      <c r="E27" s="125" t="s">
        <v>225</v>
      </c>
      <c r="F27" s="125">
        <v>0.1</v>
      </c>
      <c r="G27" s="127"/>
      <c r="H27" s="125" t="s">
        <v>231</v>
      </c>
      <c r="I27" s="125" t="s">
        <v>232</v>
      </c>
      <c r="J27" s="138" t="s">
        <v>233</v>
      </c>
    </row>
    <row r="28" ht="16.5" customHeight="1">
      <c r="A28" s="52"/>
      <c r="B28" s="125" t="str">
        <f>'試算-SLOT'!A15</f>
        <v>PKR</v>
      </c>
      <c r="C28" s="125" t="str">
        <f>'試算-SLOT'!B15</f>
        <v>₨</v>
      </c>
      <c r="D28" s="125" t="str">
        <f>'試算-SLOT'!C15</f>
        <v>巴基斯坦盧比</v>
      </c>
      <c r="E28" s="125" t="s">
        <v>225</v>
      </c>
      <c r="F28" s="125">
        <v>0.1</v>
      </c>
      <c r="G28" s="127"/>
      <c r="H28" s="125" t="s">
        <v>231</v>
      </c>
      <c r="I28" s="125" t="s">
        <v>232</v>
      </c>
      <c r="J28" s="138" t="s">
        <v>233</v>
      </c>
    </row>
    <row r="29" ht="16.5" customHeight="1">
      <c r="A29" s="52"/>
      <c r="B29" s="125" t="str">
        <f>'試算-SLOT'!A16</f>
        <v>MMK</v>
      </c>
      <c r="C29" s="125" t="str">
        <f>'試算-SLOT'!B16</f>
        <v>K</v>
      </c>
      <c r="D29" s="125" t="str">
        <f>'試算-SLOT'!C16</f>
        <v>緬甸元(K)</v>
      </c>
      <c r="E29" s="125" t="s">
        <v>220</v>
      </c>
      <c r="F29" s="125">
        <v>0.01</v>
      </c>
      <c r="G29" s="139">
        <v>1000.0</v>
      </c>
      <c r="H29" s="125" t="s">
        <v>234</v>
      </c>
      <c r="I29" s="125" t="s">
        <v>235</v>
      </c>
      <c r="J29" s="138" t="s">
        <v>236</v>
      </c>
    </row>
    <row r="30" ht="16.5" customHeight="1">
      <c r="A30" s="52"/>
      <c r="B30" s="125" t="str">
        <f>'試算-SLOT'!A17</f>
        <v>MMH</v>
      </c>
      <c r="C30" s="125" t="str">
        <f>'試算-SLOT'!B17</f>
        <v>K</v>
      </c>
      <c r="D30" s="125" t="str">
        <f>'試算-SLOT'!C17</f>
        <v>緬甸元(H)</v>
      </c>
      <c r="E30" s="125" t="s">
        <v>225</v>
      </c>
      <c r="F30" s="125">
        <v>0.1</v>
      </c>
      <c r="G30" s="127">
        <v>100.0</v>
      </c>
      <c r="H30" s="125" t="s">
        <v>231</v>
      </c>
      <c r="I30" s="125" t="s">
        <v>232</v>
      </c>
      <c r="J30" s="138" t="s">
        <v>233</v>
      </c>
    </row>
    <row r="31" ht="16.5" customHeight="1">
      <c r="A31" s="52"/>
      <c r="B31" s="125" t="str">
        <f>'試算-SLOT'!A18</f>
        <v>PHP</v>
      </c>
      <c r="C31" s="125" t="str">
        <f>'試算-SLOT'!B18</f>
        <v>₱</v>
      </c>
      <c r="D31" s="125" t="str">
        <f>'試算-SLOT'!C18</f>
        <v>菲律賓披索</v>
      </c>
      <c r="E31" s="125" t="s">
        <v>225</v>
      </c>
      <c r="F31" s="125">
        <v>0.1</v>
      </c>
      <c r="G31" s="127"/>
      <c r="H31" s="125" t="s">
        <v>231</v>
      </c>
      <c r="I31" s="125" t="s">
        <v>232</v>
      </c>
      <c r="J31" s="138" t="s">
        <v>233</v>
      </c>
    </row>
    <row r="32" ht="16.5" customHeight="1">
      <c r="A32" s="36"/>
      <c r="B32" s="125" t="str">
        <f>'試算-SLOT'!A19</f>
        <v>CNY</v>
      </c>
      <c r="C32" s="125" t="str">
        <f>'試算-SLOT'!B19</f>
        <v>￥</v>
      </c>
      <c r="D32" s="125" t="str">
        <f>'試算-SLOT'!C19</f>
        <v>人民幣</v>
      </c>
      <c r="E32" s="125" t="s">
        <v>225</v>
      </c>
      <c r="F32" s="125">
        <v>0.1</v>
      </c>
      <c r="G32" s="127"/>
      <c r="H32" s="125" t="s">
        <v>231</v>
      </c>
      <c r="I32" s="125" t="s">
        <v>232</v>
      </c>
      <c r="J32" s="138" t="s">
        <v>233</v>
      </c>
    </row>
    <row r="33" ht="16.5" customHeight="1">
      <c r="B33" s="143" t="str">
        <f>'試算-SLOT'!A20</f>
        <v>MXN</v>
      </c>
      <c r="C33" s="125" t="str">
        <f>'試算-SLOT'!B20</f>
        <v>Mex$</v>
      </c>
      <c r="D33" s="125" t="str">
        <f>'試算-SLOT'!C20</f>
        <v>墨⻄哥披索</v>
      </c>
      <c r="E33" s="125" t="s">
        <v>225</v>
      </c>
      <c r="F33" s="125">
        <v>0.1</v>
      </c>
      <c r="G33" s="127"/>
      <c r="H33" s="125" t="s">
        <v>231</v>
      </c>
      <c r="I33" s="125" t="s">
        <v>232</v>
      </c>
      <c r="J33" s="138" t="s">
        <v>233</v>
      </c>
    </row>
    <row r="34" ht="16.5" customHeight="1">
      <c r="B34" s="143" t="str">
        <f>'試算-SLOT'!A21</f>
        <v>BRL</v>
      </c>
      <c r="C34" s="125" t="str">
        <f>'試算-SLOT'!B21</f>
        <v>R$</v>
      </c>
      <c r="D34" s="125" t="str">
        <f>'試算-SLOT'!C21</f>
        <v>巴西雷亞爾</v>
      </c>
      <c r="E34" s="125" t="s">
        <v>225</v>
      </c>
      <c r="F34" s="125">
        <v>0.1</v>
      </c>
      <c r="G34" s="127"/>
      <c r="H34" s="125" t="s">
        <v>231</v>
      </c>
      <c r="I34" s="125" t="s">
        <v>232</v>
      </c>
      <c r="J34" s="138" t="s">
        <v>233</v>
      </c>
    </row>
    <row r="35" ht="16.5" customHeight="1">
      <c r="B35" s="143" t="str">
        <f>'試算-SLOT'!A22</f>
        <v>AUD</v>
      </c>
      <c r="C35" s="125" t="str">
        <f>'試算-SLOT'!B22</f>
        <v>A$</v>
      </c>
      <c r="D35" s="125" t="str">
        <f>'試算-SLOT'!C22</f>
        <v>澳洲元</v>
      </c>
      <c r="E35" s="125" t="s">
        <v>220</v>
      </c>
      <c r="F35" s="125">
        <v>0.1</v>
      </c>
      <c r="G35" s="127"/>
      <c r="H35" s="125" t="s">
        <v>231</v>
      </c>
      <c r="I35" s="125" t="s">
        <v>232</v>
      </c>
      <c r="J35" s="138" t="s">
        <v>238</v>
      </c>
    </row>
    <row r="36" ht="16.5" customHeight="1">
      <c r="B36" s="143" t="str">
        <f>'試算-SLOT'!A23</f>
        <v>JPY</v>
      </c>
      <c r="C36" s="125" t="str">
        <f>'試算-SLOT'!B23</f>
        <v>￥</v>
      </c>
      <c r="D36" s="125" t="str">
        <f>'試算-SLOT'!C23</f>
        <v>日圓</v>
      </c>
      <c r="E36" s="125" t="s">
        <v>226</v>
      </c>
      <c r="F36" s="125">
        <v>1.0</v>
      </c>
      <c r="G36" s="127"/>
      <c r="H36" s="125" t="s">
        <v>232</v>
      </c>
      <c r="I36" s="125" t="s">
        <v>239</v>
      </c>
      <c r="J36" s="138" t="s">
        <v>240</v>
      </c>
    </row>
    <row r="37" ht="16.5" customHeight="1">
      <c r="B37" s="143" t="str">
        <f>'試算-SLOT'!A24</f>
        <v>KRW</v>
      </c>
      <c r="C37" s="125" t="str">
        <f>'試算-SLOT'!B24</f>
        <v>₩</v>
      </c>
      <c r="D37" s="125" t="str">
        <f>'試算-SLOT'!C24</f>
        <v>韓圓</v>
      </c>
      <c r="E37" s="125" t="s">
        <v>226</v>
      </c>
      <c r="F37" s="125">
        <v>10.0</v>
      </c>
      <c r="G37" s="127"/>
      <c r="H37" s="125" t="s">
        <v>239</v>
      </c>
      <c r="I37" s="125" t="s">
        <v>240</v>
      </c>
      <c r="J37" s="138" t="s">
        <v>241</v>
      </c>
    </row>
    <row r="38" ht="16.5" customHeight="1">
      <c r="B38" s="143" t="str">
        <f>'試算-SLOT'!A25</f>
        <v>CLP</v>
      </c>
      <c r="C38" s="125" t="str">
        <f>'試算-SLOT'!B25</f>
        <v>$</v>
      </c>
      <c r="D38" s="125" t="str">
        <f>'試算-SLOT'!C25</f>
        <v>智利披索</v>
      </c>
      <c r="E38" s="125" t="s">
        <v>226</v>
      </c>
      <c r="F38" s="125">
        <v>10.0</v>
      </c>
      <c r="G38" s="127"/>
      <c r="H38" s="125" t="s">
        <v>239</v>
      </c>
      <c r="I38" s="125" t="s">
        <v>240</v>
      </c>
      <c r="J38" s="138" t="s">
        <v>241</v>
      </c>
    </row>
    <row r="39" ht="16.5" customHeight="1">
      <c r="B39" s="143" t="str">
        <f>'試算-SLOT'!A26</f>
        <v>MMKO</v>
      </c>
      <c r="C39" s="125" t="str">
        <f>'試算-SLOT'!B26</f>
        <v>K</v>
      </c>
      <c r="D39" s="125" t="str">
        <f>'試算-SLOT'!C26</f>
        <v>緬甸元</v>
      </c>
      <c r="E39" s="125" t="s">
        <v>226</v>
      </c>
      <c r="F39" s="125">
        <v>10.0</v>
      </c>
      <c r="G39" s="127"/>
      <c r="H39" s="125" t="s">
        <v>239</v>
      </c>
      <c r="I39" s="125" t="s">
        <v>240</v>
      </c>
      <c r="J39" s="138" t="s">
        <v>241</v>
      </c>
    </row>
    <row r="40" ht="16.5" customHeight="1">
      <c r="B40" s="143" t="str">
        <f>'試算-SLOT'!A27</f>
        <v>IDRO</v>
      </c>
      <c r="C40" s="125" t="str">
        <f>'試算-SLOT'!B27</f>
        <v>Rp</v>
      </c>
      <c r="D40" s="125" t="str">
        <f>'試算-SLOT'!C27</f>
        <v>印尼盧比</v>
      </c>
      <c r="E40" s="125" t="s">
        <v>226</v>
      </c>
      <c r="F40" s="125">
        <v>10.0</v>
      </c>
      <c r="G40" s="127"/>
      <c r="H40" s="125" t="s">
        <v>239</v>
      </c>
      <c r="I40" s="125" t="s">
        <v>240</v>
      </c>
      <c r="J40" s="138" t="s">
        <v>241</v>
      </c>
    </row>
    <row r="41" ht="16.5" customHeight="1">
      <c r="B41" s="143" t="str">
        <f>'試算-SLOT'!A28</f>
        <v>RUB</v>
      </c>
      <c r="C41" s="125" t="str">
        <f>'試算-SLOT'!B28</f>
        <v>₽</v>
      </c>
      <c r="D41" s="125" t="str">
        <f>'試算-SLOT'!C28</f>
        <v>盧布</v>
      </c>
      <c r="E41" s="125" t="s">
        <v>225</v>
      </c>
      <c r="F41" s="125">
        <v>0.1</v>
      </c>
      <c r="G41" s="127"/>
      <c r="H41" s="125" t="s">
        <v>231</v>
      </c>
      <c r="I41" s="125" t="s">
        <v>232</v>
      </c>
      <c r="J41" s="138" t="s">
        <v>233</v>
      </c>
    </row>
    <row r="42" ht="16.5" customHeight="1">
      <c r="B42" s="143" t="str">
        <f>'試算-SLOT'!A29</f>
        <v>LKR</v>
      </c>
      <c r="C42" s="125" t="str">
        <f>'試算-SLOT'!B29</f>
        <v>₨</v>
      </c>
      <c r="D42" s="125" t="str">
        <f>'試算-SLOT'!C29</f>
        <v>斯里蘭卡盧比</v>
      </c>
      <c r="E42" s="125" t="s">
        <v>225</v>
      </c>
      <c r="F42" s="125">
        <v>0.1</v>
      </c>
      <c r="G42" s="127"/>
      <c r="H42" s="125" t="s">
        <v>231</v>
      </c>
      <c r="I42" s="125" t="s">
        <v>232</v>
      </c>
      <c r="J42" s="138" t="s">
        <v>233</v>
      </c>
    </row>
    <row r="43" ht="16.5" customHeight="1">
      <c r="B43" s="143" t="str">
        <f>'試算-SLOT'!A30</f>
        <v>ETB</v>
      </c>
      <c r="C43" s="125" t="str">
        <f>'試算-SLOT'!B30</f>
        <v>Br‎</v>
      </c>
      <c r="D43" s="125" t="str">
        <f>'試算-SLOT'!C30</f>
        <v>衣索比亞比爾</v>
      </c>
      <c r="E43" s="125" t="s">
        <v>225</v>
      </c>
      <c r="F43" s="125">
        <v>0.1</v>
      </c>
      <c r="G43" s="127"/>
      <c r="H43" s="125" t="s">
        <v>231</v>
      </c>
      <c r="I43" s="125" t="s">
        <v>232</v>
      </c>
      <c r="J43" s="138" t="s">
        <v>233</v>
      </c>
    </row>
    <row r="44" ht="16.5" customHeight="1">
      <c r="B44" s="143" t="str">
        <f>'試算-SLOT'!A31</f>
        <v>UGX</v>
      </c>
      <c r="C44" s="125" t="str">
        <f>'試算-SLOT'!B31</f>
        <v>USh</v>
      </c>
      <c r="D44" s="125" t="str">
        <f>'試算-SLOT'!C31</f>
        <v>烏干達先令</v>
      </c>
      <c r="E44" s="125" t="s">
        <v>226</v>
      </c>
      <c r="F44" s="125">
        <v>10.0</v>
      </c>
      <c r="G44" s="127"/>
      <c r="H44" s="125" t="s">
        <v>239</v>
      </c>
      <c r="I44" s="125" t="s">
        <v>240</v>
      </c>
      <c r="J44" s="138" t="s">
        <v>241</v>
      </c>
    </row>
    <row r="45" ht="16.5" customHeight="1">
      <c r="B45" s="143" t="str">
        <f>'試算-SLOT'!A32</f>
        <v>EUR</v>
      </c>
      <c r="C45" s="125" t="str">
        <f>'試算-SLOT'!B32</f>
        <v>€</v>
      </c>
      <c r="D45" s="125" t="str">
        <f>'試算-SLOT'!C32</f>
        <v>歐元</v>
      </c>
      <c r="E45" s="125" t="s">
        <v>225</v>
      </c>
      <c r="F45" s="125">
        <v>0.01</v>
      </c>
      <c r="G45" s="127"/>
      <c r="H45" s="125" t="s">
        <v>234</v>
      </c>
      <c r="I45" s="125" t="s">
        <v>235</v>
      </c>
      <c r="J45" s="138" t="s">
        <v>237</v>
      </c>
    </row>
    <row r="46" ht="16.5" customHeight="1">
      <c r="B46" s="143" t="str">
        <f>'試算-SLOT'!A33</f>
        <v>ARS</v>
      </c>
      <c r="C46" s="125" t="str">
        <f>'試算-SLOT'!B33</f>
        <v>$</v>
      </c>
      <c r="D46" s="125" t="str">
        <f>'試算-SLOT'!C33</f>
        <v>阿根廷披索</v>
      </c>
      <c r="E46" s="125" t="s">
        <v>225</v>
      </c>
      <c r="F46" s="125">
        <v>0.1</v>
      </c>
      <c r="G46" s="127"/>
      <c r="H46" s="125" t="s">
        <v>231</v>
      </c>
      <c r="I46" s="125" t="s">
        <v>232</v>
      </c>
      <c r="J46" s="138" t="s">
        <v>233</v>
      </c>
    </row>
    <row r="47" ht="16.5" customHeight="1">
      <c r="B47" s="143" t="str">
        <f>'試算-SLOT'!A34</f>
        <v>NGN</v>
      </c>
      <c r="C47" s="125" t="str">
        <f>'試算-SLOT'!B34</f>
        <v>₦</v>
      </c>
      <c r="D47" s="125" t="str">
        <f>'試算-SLOT'!C34</f>
        <v>奈及利亞奈拉</v>
      </c>
      <c r="E47" s="125" t="s">
        <v>226</v>
      </c>
      <c r="F47" s="125">
        <v>10.0</v>
      </c>
      <c r="G47" s="127"/>
      <c r="H47" s="125" t="s">
        <v>239</v>
      </c>
      <c r="I47" s="125" t="s">
        <v>240</v>
      </c>
      <c r="J47" s="138" t="s">
        <v>241</v>
      </c>
    </row>
    <row r="48" ht="16.5" customHeight="1">
      <c r="B48" s="143" t="str">
        <f>'試算-SLOT'!A35</f>
        <v>KES</v>
      </c>
      <c r="C48" s="125" t="str">
        <f>'試算-SLOT'!B35</f>
        <v>KSh</v>
      </c>
      <c r="D48" s="125" t="str">
        <f>'試算-SLOT'!C35</f>
        <v>肯亞先令</v>
      </c>
      <c r="E48" s="125" t="s">
        <v>226</v>
      </c>
      <c r="F48" s="125">
        <v>1.0</v>
      </c>
      <c r="G48" s="127"/>
      <c r="H48" s="125" t="s">
        <v>232</v>
      </c>
      <c r="I48" s="125" t="s">
        <v>239</v>
      </c>
      <c r="J48" s="138" t="s">
        <v>240</v>
      </c>
    </row>
    <row r="49" ht="16.5" customHeight="1">
      <c r="B49" s="143" t="str">
        <f>'試算-SLOT'!A36</f>
        <v>ZAR</v>
      </c>
      <c r="C49" s="125" t="str">
        <f>'試算-SLOT'!B36</f>
        <v>R</v>
      </c>
      <c r="D49" s="125" t="str">
        <f>'試算-SLOT'!C36</f>
        <v>南非鍰</v>
      </c>
      <c r="E49" s="125" t="s">
        <v>225</v>
      </c>
      <c r="F49" s="125">
        <v>0.1</v>
      </c>
      <c r="G49" s="127"/>
      <c r="H49" s="125" t="s">
        <v>231</v>
      </c>
      <c r="I49" s="125" t="s">
        <v>232</v>
      </c>
      <c r="J49" s="138" t="s">
        <v>233</v>
      </c>
    </row>
    <row r="50" ht="16.5" customHeight="1">
      <c r="B50" s="143" t="str">
        <f>'試算-SLOT'!A37</f>
        <v>TRY</v>
      </c>
      <c r="C50" s="125" t="str">
        <f>'試算-SLOT'!B37</f>
        <v>₺</v>
      </c>
      <c r="D50" s="125" t="str">
        <f>'試算-SLOT'!C37</f>
        <v>土耳其里拉</v>
      </c>
      <c r="E50" s="125" t="s">
        <v>225</v>
      </c>
      <c r="F50" s="125">
        <v>0.1</v>
      </c>
      <c r="G50" s="127"/>
      <c r="H50" s="125" t="s">
        <v>231</v>
      </c>
      <c r="I50" s="125" t="s">
        <v>232</v>
      </c>
      <c r="J50" s="138" t="s">
        <v>233</v>
      </c>
    </row>
    <row r="51" ht="16.5" customHeight="1">
      <c r="B51" s="143" t="str">
        <f>'試算-SLOT'!A38</f>
        <v>GBP</v>
      </c>
      <c r="C51" s="125" t="str">
        <f>'試算-SLOT'!B38</f>
        <v>£</v>
      </c>
      <c r="D51" s="125" t="str">
        <f>'試算-SLOT'!C38</f>
        <v>英鎊</v>
      </c>
      <c r="E51" s="125" t="s">
        <v>225</v>
      </c>
      <c r="F51" s="125">
        <v>0.01</v>
      </c>
      <c r="G51" s="127"/>
      <c r="H51" s="125" t="s">
        <v>234</v>
      </c>
      <c r="I51" s="125" t="s">
        <v>235</v>
      </c>
      <c r="J51" s="138" t="s">
        <v>237</v>
      </c>
    </row>
    <row r="52" ht="21.0" customHeight="1">
      <c r="B52" s="143" t="str">
        <f>'試算-SLOT'!A39</f>
        <v>NPR</v>
      </c>
      <c r="C52" s="125" t="str">
        <f>'試算-SLOT'!B39</f>
        <v>रू</v>
      </c>
      <c r="D52" s="125" t="str">
        <f>'試算-SLOT'!C39</f>
        <v>尼泊爾盧比</v>
      </c>
      <c r="E52" s="125" t="s">
        <v>226</v>
      </c>
      <c r="F52" s="125">
        <v>1.0</v>
      </c>
      <c r="G52" s="127"/>
      <c r="H52" s="125" t="s">
        <v>232</v>
      </c>
      <c r="I52" s="125" t="s">
        <v>239</v>
      </c>
      <c r="J52" s="138" t="s">
        <v>240</v>
      </c>
    </row>
    <row r="53" ht="16.5" customHeight="1">
      <c r="B53" s="143" t="str">
        <f>'試算-SLOT'!A40</f>
        <v>CHF</v>
      </c>
      <c r="C53" s="125" t="str">
        <f>'試算-SLOT'!B40</f>
        <v>CHF</v>
      </c>
      <c r="D53" s="125" t="str">
        <f>'試算-SLOT'!C40</f>
        <v>瑞士法郎</v>
      </c>
      <c r="E53" s="125" t="s">
        <v>225</v>
      </c>
      <c r="F53" s="125">
        <v>0.01</v>
      </c>
      <c r="G53" s="127"/>
      <c r="H53" s="125" t="s">
        <v>234</v>
      </c>
      <c r="I53" s="125" t="s">
        <v>235</v>
      </c>
      <c r="J53" s="138" t="s">
        <v>237</v>
      </c>
    </row>
    <row r="54" ht="16.5" customHeight="1">
      <c r="B54" s="143" t="str">
        <f>'試算-SLOT'!A41</f>
        <v>CAD</v>
      </c>
      <c r="C54" s="125" t="str">
        <f>'試算-SLOT'!B41</f>
        <v>$</v>
      </c>
      <c r="D54" s="125" t="str">
        <f>'試算-SLOT'!C41</f>
        <v>加幣</v>
      </c>
      <c r="E54" s="125" t="s">
        <v>220</v>
      </c>
      <c r="F54" s="125">
        <v>0.01</v>
      </c>
      <c r="G54" s="127"/>
      <c r="H54" s="125" t="s">
        <v>234</v>
      </c>
      <c r="I54" s="125" t="s">
        <v>235</v>
      </c>
      <c r="J54" s="138" t="s">
        <v>236</v>
      </c>
    </row>
    <row r="55" ht="16.5" customHeight="1">
      <c r="B55" s="143" t="str">
        <f>'試算-SLOT'!A42</f>
        <v>PEN</v>
      </c>
      <c r="C55" s="125" t="str">
        <f>'試算-SLOT'!B42</f>
        <v>PEN</v>
      </c>
      <c r="D55" s="125" t="str">
        <f>'試算-SLOT'!C42</f>
        <v>秘魯新索爾</v>
      </c>
      <c r="E55" s="125" t="s">
        <v>225</v>
      </c>
      <c r="F55" s="125">
        <v>0.1</v>
      </c>
      <c r="G55" s="127"/>
      <c r="H55" s="125" t="s">
        <v>231</v>
      </c>
      <c r="I55" s="125" t="s">
        <v>232</v>
      </c>
      <c r="J55" s="138" t="s">
        <v>233</v>
      </c>
    </row>
    <row r="56" ht="16.5" customHeight="1">
      <c r="B56" s="143" t="str">
        <f>'試算-SLOT'!A43</f>
        <v>AED</v>
      </c>
      <c r="C56" s="125" t="str">
        <f>'試算-SLOT'!B43</f>
        <v>AED</v>
      </c>
      <c r="D56" s="125" t="str">
        <f>'試算-SLOT'!C43</f>
        <v>阿聯迪拉姆</v>
      </c>
      <c r="E56" s="125" t="s">
        <v>225</v>
      </c>
      <c r="F56" s="125">
        <v>0.1</v>
      </c>
      <c r="G56" s="127"/>
      <c r="H56" s="125" t="s">
        <v>231</v>
      </c>
      <c r="I56" s="125" t="s">
        <v>232</v>
      </c>
      <c r="J56" s="138" t="s">
        <v>233</v>
      </c>
    </row>
    <row r="57" ht="16.5" customHeight="1">
      <c r="B57" s="143" t="str">
        <f>'試算-SLOT'!A44</f>
        <v>BND</v>
      </c>
      <c r="C57" s="125" t="str">
        <f>'試算-SLOT'!B44</f>
        <v>B$</v>
      </c>
      <c r="D57" s="125" t="str">
        <f>'試算-SLOT'!C44</f>
        <v>汶萊幣</v>
      </c>
      <c r="E57" s="125" t="s">
        <v>220</v>
      </c>
      <c r="F57" s="125">
        <v>0.01</v>
      </c>
      <c r="G57" s="127"/>
      <c r="H57" s="125" t="s">
        <v>234</v>
      </c>
      <c r="I57" s="125" t="s">
        <v>235</v>
      </c>
      <c r="J57" s="138" t="s">
        <v>236</v>
      </c>
    </row>
    <row r="58" ht="16.5" customHeight="1">
      <c r="B58" s="143" t="str">
        <f>'試算-SLOT'!A45</f>
        <v>COP</v>
      </c>
      <c r="C58" s="125" t="str">
        <f>'試算-SLOT'!B45</f>
        <v>$</v>
      </c>
      <c r="D58" s="125" t="str">
        <f>'試算-SLOT'!C45</f>
        <v>哥倫比亞披索</v>
      </c>
      <c r="E58" s="125" t="s">
        <v>226</v>
      </c>
      <c r="F58" s="125">
        <v>10.0</v>
      </c>
      <c r="G58" s="127"/>
      <c r="H58" s="125" t="s">
        <v>239</v>
      </c>
      <c r="I58" s="125" t="s">
        <v>240</v>
      </c>
      <c r="J58" s="138" t="s">
        <v>241</v>
      </c>
    </row>
    <row r="59" ht="16.5" customHeight="1">
      <c r="B59" s="143" t="str">
        <f>'試算-SLOT'!A46</f>
        <v>VNDO</v>
      </c>
      <c r="C59" s="125" t="str">
        <f>'試算-SLOT'!B46</f>
        <v>₫</v>
      </c>
      <c r="D59" s="125" t="str">
        <f>'試算-SLOT'!C46</f>
        <v>越南盾</v>
      </c>
      <c r="E59" s="125" t="s">
        <v>226</v>
      </c>
      <c r="F59" s="125">
        <v>10.0</v>
      </c>
      <c r="G59" s="127"/>
      <c r="H59" s="125" t="s">
        <v>239</v>
      </c>
      <c r="I59" s="125" t="s">
        <v>240</v>
      </c>
      <c r="J59" s="138" t="s">
        <v>241</v>
      </c>
    </row>
    <row r="60" ht="16.5" customHeight="1">
      <c r="B60" s="143" t="str">
        <f>'試算-SLOT'!A47</f>
        <v>MYRC</v>
      </c>
      <c r="C60" s="125" t="str">
        <f>'試算-SLOT'!B47</f>
        <v>RM</v>
      </c>
      <c r="D60" s="125" t="str">
        <f>'試算-SLOT'!C47</f>
        <v>馬來西亞令吉</v>
      </c>
      <c r="E60" s="125" t="s">
        <v>225</v>
      </c>
      <c r="F60" s="125">
        <v>0.1</v>
      </c>
      <c r="G60" s="127"/>
      <c r="H60" s="125" t="s">
        <v>231</v>
      </c>
      <c r="I60" s="125" t="s">
        <v>232</v>
      </c>
      <c r="J60" s="138" t="s">
        <v>233</v>
      </c>
    </row>
    <row r="61" ht="16.5" customHeight="1">
      <c r="B61" s="143" t="str">
        <f>'試算-SLOT'!A48</f>
        <v>XSD</v>
      </c>
      <c r="C61" s="125" t="str">
        <f>'試算-SLOT'!B48</f>
        <v/>
      </c>
      <c r="D61" s="125" t="str">
        <f>'試算-SLOT'!C48</f>
        <v>星幣</v>
      </c>
      <c r="E61" s="125" t="s">
        <v>226</v>
      </c>
      <c r="F61" s="125">
        <v>10.0</v>
      </c>
      <c r="G61" s="127"/>
      <c r="H61" s="125" t="s">
        <v>239</v>
      </c>
      <c r="I61" s="125" t="s">
        <v>240</v>
      </c>
      <c r="J61" s="138" t="s">
        <v>241</v>
      </c>
    </row>
    <row r="62" ht="16.5" customHeight="1">
      <c r="B62" s="143" t="str">
        <f>'試算-SLOT'!A49</f>
        <v>DZD</v>
      </c>
      <c r="C62" s="125" t="str">
        <f>'試算-SLOT'!B49</f>
        <v>دج</v>
      </c>
      <c r="D62" s="125" t="str">
        <f>'試算-SLOT'!C49</f>
        <v>阿爾及利亞第納爾</v>
      </c>
      <c r="E62" s="125" t="s">
        <v>225</v>
      </c>
      <c r="F62" s="125">
        <v>0.1</v>
      </c>
      <c r="G62" s="127"/>
      <c r="H62" s="125" t="s">
        <v>231</v>
      </c>
      <c r="I62" s="125" t="s">
        <v>232</v>
      </c>
      <c r="J62" s="138" t="s">
        <v>233</v>
      </c>
    </row>
    <row r="63" ht="16.5" customHeight="1">
      <c r="B63" s="143" t="str">
        <f>'試算-SLOT'!A50</f>
        <v>MAD</v>
      </c>
      <c r="C63" s="125" t="str">
        <f>'試算-SLOT'!B50</f>
        <v>DH</v>
      </c>
      <c r="D63" s="125" t="str">
        <f>'試算-SLOT'!C50</f>
        <v>摩洛哥迪拉姆</v>
      </c>
      <c r="E63" s="125" t="s">
        <v>225</v>
      </c>
      <c r="F63" s="125">
        <v>0.1</v>
      </c>
      <c r="G63" s="127"/>
      <c r="H63" s="125" t="s">
        <v>231</v>
      </c>
      <c r="I63" s="125" t="s">
        <v>232</v>
      </c>
      <c r="J63" s="138" t="s">
        <v>233</v>
      </c>
    </row>
    <row r="64" ht="16.5" customHeight="1">
      <c r="B64" s="143" t="str">
        <f>'試算-SLOT'!A51</f>
        <v>FRF</v>
      </c>
      <c r="C64" s="125" t="str">
        <f>'試算-SLOT'!B51</f>
        <v>₣</v>
      </c>
      <c r="D64" s="125" t="str">
        <f>'試算-SLOT'!C51</f>
        <v>法國法郎</v>
      </c>
      <c r="E64" s="125" t="s">
        <v>225</v>
      </c>
      <c r="F64" s="125">
        <v>0.1</v>
      </c>
      <c r="G64" s="127"/>
      <c r="H64" s="125" t="s">
        <v>231</v>
      </c>
      <c r="I64" s="125" t="s">
        <v>232</v>
      </c>
      <c r="J64" s="138" t="s">
        <v>233</v>
      </c>
    </row>
    <row r="65" ht="16.5" customHeight="1">
      <c r="B65" s="143" t="str">
        <f>'試算-SLOT'!A52</f>
        <v>GHS</v>
      </c>
      <c r="C65" s="125" t="str">
        <f>'試算-SLOT'!B52</f>
        <v>Gp</v>
      </c>
      <c r="D65" s="125" t="str">
        <f>'試算-SLOT'!C52</f>
        <v>迦納塞地</v>
      </c>
      <c r="E65" s="125" t="s">
        <v>225</v>
      </c>
      <c r="F65" s="125">
        <v>0.1</v>
      </c>
      <c r="G65" s="127"/>
      <c r="H65" s="125" t="s">
        <v>231</v>
      </c>
      <c r="I65" s="125" t="s">
        <v>232</v>
      </c>
      <c r="J65" s="138" t="s">
        <v>233</v>
      </c>
    </row>
    <row r="66" ht="16.5" customHeight="1">
      <c r="B66" s="140" t="str">
        <f>'試算-SLOT'!A53</f>
        <v>RCC</v>
      </c>
      <c r="C66" s="140" t="str">
        <f>'試算-SLOT'!B53</f>
        <v/>
      </c>
      <c r="D66" s="140" t="str">
        <f>'試算-SLOT'!C53</f>
        <v>RCC幣</v>
      </c>
      <c r="E66" s="140" t="s">
        <v>225</v>
      </c>
      <c r="F66" s="140">
        <v>0.01</v>
      </c>
      <c r="G66" s="141"/>
      <c r="H66" s="140" t="s">
        <v>234</v>
      </c>
      <c r="I66" s="140" t="s">
        <v>235</v>
      </c>
      <c r="J66" s="142" t="s">
        <v>237</v>
      </c>
    </row>
    <row r="67" ht="16.5" customHeight="1">
      <c r="B67" s="143" t="str">
        <f>'試算-SLOT'!A54</f>
        <v>KBB</v>
      </c>
      <c r="C67" s="125" t="str">
        <f>'試算-SLOT'!B54</f>
        <v/>
      </c>
      <c r="D67" s="125" t="str">
        <f>'試算-SLOT'!C54</f>
        <v>爸幣</v>
      </c>
      <c r="E67" s="125" t="s">
        <v>226</v>
      </c>
      <c r="F67" s="125">
        <v>10.0</v>
      </c>
      <c r="G67" s="127"/>
      <c r="H67" s="125" t="s">
        <v>239</v>
      </c>
      <c r="I67" s="125" t="s">
        <v>240</v>
      </c>
      <c r="J67" s="138" t="s">
        <v>241</v>
      </c>
    </row>
    <row r="68" ht="16.5" customHeight="1">
      <c r="B68" s="143" t="str">
        <f>'試算-SLOT'!A55</f>
        <v>XSMY</v>
      </c>
      <c r="C68" s="125" t="str">
        <f>'試算-SLOT'!B55</f>
        <v/>
      </c>
      <c r="D68" s="125" t="str">
        <f>'試算-SLOT'!C55</f>
        <v>星城馬來西亞</v>
      </c>
      <c r="E68" s="125" t="s">
        <v>226</v>
      </c>
      <c r="F68" s="125">
        <v>10.0</v>
      </c>
      <c r="G68" s="127"/>
      <c r="H68" s="125" t="s">
        <v>239</v>
      </c>
      <c r="I68" s="125" t="s">
        <v>240</v>
      </c>
      <c r="J68" s="138" t="s">
        <v>241</v>
      </c>
    </row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A2:A15"/>
    <mergeCell ref="C2:U2"/>
    <mergeCell ref="C7:U7"/>
    <mergeCell ref="C12:U12"/>
    <mergeCell ref="A17:D17"/>
    <mergeCell ref="A18:A3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3" width="11.56"/>
    <col customWidth="1" min="4" max="4" width="5.0"/>
    <col customWidth="1" min="5" max="5" width="14.44"/>
    <col customWidth="1" min="6" max="6" width="6.67"/>
    <col customWidth="1" min="7" max="7" width="5.0"/>
    <col customWidth="1" min="8" max="8" width="9.67"/>
    <col customWidth="1" min="9" max="9" width="8.0"/>
    <col customWidth="1" min="10" max="10" width="15.22"/>
    <col customWidth="1" min="11" max="11" width="5.0"/>
    <col customWidth="1" min="12" max="13" width="8.0"/>
    <col customWidth="1" min="14" max="14" width="15.22"/>
    <col customWidth="1" min="15" max="15" width="5.0"/>
    <col customWidth="1" min="16" max="17" width="8.0"/>
    <col customWidth="1" min="18" max="18" width="15.22"/>
    <col customWidth="1" min="19" max="22" width="5.0"/>
    <col customWidth="1" min="23" max="26" width="3.56"/>
    <col customWidth="1" min="27" max="33" width="4.44"/>
  </cols>
  <sheetData>
    <row r="1" ht="16.5" customHeight="1">
      <c r="B1" s="22" t="s">
        <v>242</v>
      </c>
      <c r="C1" s="22">
        <v>1.0</v>
      </c>
      <c r="D1" s="22">
        <v>2.0</v>
      </c>
      <c r="E1" s="22">
        <v>3.0</v>
      </c>
      <c r="F1" s="22">
        <v>4.0</v>
      </c>
      <c r="G1" s="22">
        <v>5.0</v>
      </c>
      <c r="H1" s="22">
        <v>6.0</v>
      </c>
      <c r="I1" s="22">
        <v>7.0</v>
      </c>
      <c r="J1" s="22">
        <v>8.0</v>
      </c>
      <c r="K1" s="22">
        <v>9.0</v>
      </c>
      <c r="L1" s="22">
        <v>10.0</v>
      </c>
      <c r="M1" s="22">
        <v>11.0</v>
      </c>
      <c r="N1" s="22">
        <v>12.0</v>
      </c>
      <c r="O1" s="22">
        <v>13.0</v>
      </c>
      <c r="P1" s="22">
        <v>14.0</v>
      </c>
      <c r="Q1" s="22">
        <v>15.0</v>
      </c>
      <c r="R1" s="22">
        <v>16.0</v>
      </c>
      <c r="S1" s="22">
        <v>17.0</v>
      </c>
      <c r="T1" s="22">
        <v>18.0</v>
      </c>
      <c r="U1" s="22">
        <v>19.0</v>
      </c>
      <c r="V1" s="22">
        <v>20.0</v>
      </c>
      <c r="W1" s="22">
        <v>21.0</v>
      </c>
      <c r="X1" s="22">
        <v>22.0</v>
      </c>
      <c r="Y1" s="22">
        <v>23.0</v>
      </c>
      <c r="Z1" s="22">
        <v>24.0</v>
      </c>
      <c r="AA1" s="22">
        <v>25.0</v>
      </c>
      <c r="AB1" s="22">
        <v>26.0</v>
      </c>
      <c r="AC1" s="22">
        <v>27.0</v>
      </c>
      <c r="AD1" s="22">
        <v>28.0</v>
      </c>
      <c r="AE1" s="22">
        <v>29.0</v>
      </c>
      <c r="AF1" s="22">
        <v>30.0</v>
      </c>
    </row>
    <row r="2" ht="16.5" customHeight="1">
      <c r="B2" s="22" t="s">
        <v>243</v>
      </c>
      <c r="C2" s="22">
        <v>1.0</v>
      </c>
      <c r="D2" s="22">
        <v>2.0</v>
      </c>
      <c r="E2" s="22">
        <v>4.0</v>
      </c>
      <c r="F2" s="22">
        <v>6.0</v>
      </c>
      <c r="G2" s="22">
        <v>8.0</v>
      </c>
      <c r="H2" s="22">
        <v>10.0</v>
      </c>
      <c r="I2" s="22">
        <v>12.0</v>
      </c>
      <c r="J2" s="22">
        <v>16.0</v>
      </c>
      <c r="K2" s="22">
        <v>20.0</v>
      </c>
      <c r="L2" s="22">
        <v>25.0</v>
      </c>
      <c r="M2" s="22">
        <v>30.0</v>
      </c>
      <c r="N2" s="22">
        <v>35.0</v>
      </c>
      <c r="O2" s="22">
        <v>40.0</v>
      </c>
      <c r="P2" s="22">
        <v>45.0</v>
      </c>
      <c r="Q2" s="22">
        <v>50.0</v>
      </c>
      <c r="R2" s="22">
        <v>60.0</v>
      </c>
      <c r="S2" s="22">
        <v>70.0</v>
      </c>
      <c r="T2" s="22">
        <v>80.0</v>
      </c>
      <c r="U2" s="22">
        <v>90.0</v>
      </c>
      <c r="V2" s="22">
        <v>100.0</v>
      </c>
      <c r="W2" s="22">
        <v>125.0</v>
      </c>
      <c r="X2" s="22">
        <v>140.0</v>
      </c>
      <c r="Y2" s="22">
        <v>160.0</v>
      </c>
      <c r="Z2" s="22">
        <v>200.0</v>
      </c>
      <c r="AA2" s="22">
        <v>250.0</v>
      </c>
      <c r="AB2" s="22">
        <v>300.0</v>
      </c>
      <c r="AC2" s="22">
        <v>400.0</v>
      </c>
      <c r="AD2" s="22">
        <v>500.0</v>
      </c>
      <c r="AE2" s="22">
        <v>625.0</v>
      </c>
      <c r="AF2" s="22">
        <v>1000.0</v>
      </c>
    </row>
    <row r="3" ht="16.5" customHeight="1">
      <c r="B3" s="22" t="s">
        <v>244</v>
      </c>
      <c r="C3" s="22">
        <v>1.0</v>
      </c>
      <c r="D3" s="22">
        <v>2.0</v>
      </c>
      <c r="E3" s="22">
        <v>4.0</v>
      </c>
      <c r="F3" s="22">
        <v>6.0</v>
      </c>
      <c r="G3" s="22">
        <v>10.0</v>
      </c>
      <c r="H3" s="22">
        <v>16.0</v>
      </c>
      <c r="I3" s="22">
        <v>20.0</v>
      </c>
      <c r="J3" s="22">
        <v>25.0</v>
      </c>
      <c r="K3" s="22">
        <v>35.0</v>
      </c>
      <c r="L3" s="22">
        <v>45.0</v>
      </c>
      <c r="M3" s="22">
        <v>60.0</v>
      </c>
      <c r="N3" s="22">
        <v>80.0</v>
      </c>
      <c r="O3" s="22">
        <v>100.0</v>
      </c>
      <c r="P3" s="22">
        <v>140.0</v>
      </c>
      <c r="Q3" s="22">
        <v>160.0</v>
      </c>
      <c r="R3" s="22">
        <v>200.0</v>
      </c>
      <c r="S3" s="22">
        <v>250.0</v>
      </c>
      <c r="T3" s="22">
        <v>300.0</v>
      </c>
      <c r="U3" s="22">
        <v>400.0</v>
      </c>
      <c r="V3" s="22">
        <v>625.0</v>
      </c>
    </row>
    <row r="4" ht="16.5" customHeight="1"/>
    <row r="5" ht="16.5" customHeight="1">
      <c r="B5" s="22" t="s">
        <v>242</v>
      </c>
      <c r="C5" s="22">
        <v>1.0</v>
      </c>
      <c r="D5" s="22">
        <v>2.0</v>
      </c>
      <c r="E5" s="22">
        <v>3.0</v>
      </c>
      <c r="F5" s="22">
        <v>4.0</v>
      </c>
      <c r="G5" s="22">
        <v>5.0</v>
      </c>
      <c r="H5" s="22">
        <v>6.0</v>
      </c>
      <c r="I5" s="22">
        <v>7.0</v>
      </c>
      <c r="J5" s="22">
        <v>8.0</v>
      </c>
      <c r="K5" s="22">
        <v>9.0</v>
      </c>
      <c r="L5" s="22">
        <v>10.0</v>
      </c>
      <c r="M5" s="22">
        <v>11.0</v>
      </c>
      <c r="N5" s="22">
        <v>12.0</v>
      </c>
      <c r="O5" s="22">
        <v>13.0</v>
      </c>
      <c r="P5" s="22">
        <v>14.0</v>
      </c>
      <c r="Q5" s="22">
        <v>15.0</v>
      </c>
      <c r="R5" s="22">
        <v>16.0</v>
      </c>
      <c r="S5" s="22">
        <v>17.0</v>
      </c>
      <c r="T5" s="22">
        <v>18.0</v>
      </c>
      <c r="U5" s="22">
        <v>19.0</v>
      </c>
      <c r="V5" s="22">
        <v>20.0</v>
      </c>
      <c r="W5" s="22">
        <v>21.0</v>
      </c>
      <c r="X5" s="22">
        <v>22.0</v>
      </c>
      <c r="Y5" s="22">
        <v>23.0</v>
      </c>
      <c r="Z5" s="22">
        <v>24.0</v>
      </c>
      <c r="AA5" s="22">
        <v>25.0</v>
      </c>
      <c r="AB5" s="22">
        <v>26.0</v>
      </c>
      <c r="AC5" s="22">
        <v>27.0</v>
      </c>
      <c r="AD5" s="22">
        <v>28.0</v>
      </c>
      <c r="AE5" s="22">
        <v>29.0</v>
      </c>
      <c r="AF5" s="22">
        <v>30.0</v>
      </c>
    </row>
    <row r="6" ht="16.5" customHeight="1">
      <c r="B6" s="22" t="s">
        <v>245</v>
      </c>
      <c r="C6" s="22">
        <v>1.0</v>
      </c>
      <c r="D6" s="22">
        <v>2.0</v>
      </c>
      <c r="E6" s="22">
        <v>3.0</v>
      </c>
      <c r="F6" s="22">
        <v>4.0</v>
      </c>
      <c r="G6" s="22">
        <v>5.0</v>
      </c>
      <c r="H6" s="22">
        <v>6.0</v>
      </c>
      <c r="I6" s="22">
        <v>7.0</v>
      </c>
      <c r="J6" s="22">
        <v>8.0</v>
      </c>
      <c r="K6" s="22">
        <v>9.0</v>
      </c>
      <c r="L6" s="22">
        <v>10.0</v>
      </c>
      <c r="M6" s="22">
        <v>12.0</v>
      </c>
      <c r="N6" s="22">
        <v>14.0</v>
      </c>
      <c r="O6" s="22">
        <v>15.0</v>
      </c>
      <c r="P6" s="22">
        <v>16.0</v>
      </c>
      <c r="Q6" s="22">
        <v>20.0</v>
      </c>
      <c r="R6" s="22">
        <v>25.0</v>
      </c>
      <c r="S6" s="22">
        <v>30.0</v>
      </c>
      <c r="T6" s="22">
        <v>35.0</v>
      </c>
      <c r="U6" s="22">
        <v>40.0</v>
      </c>
      <c r="V6" s="22">
        <v>45.0</v>
      </c>
      <c r="W6" s="22">
        <v>50.0</v>
      </c>
      <c r="X6" s="22">
        <v>55.0</v>
      </c>
      <c r="Y6" s="22">
        <v>65.0</v>
      </c>
      <c r="Z6" s="22">
        <v>75.0</v>
      </c>
      <c r="AA6" s="22">
        <v>100.0</v>
      </c>
      <c r="AB6" s="22">
        <v>125.0</v>
      </c>
      <c r="AC6" s="22">
        <v>200.0</v>
      </c>
      <c r="AD6" s="22">
        <v>300.0</v>
      </c>
      <c r="AE6" s="22">
        <v>400.0</v>
      </c>
      <c r="AF6" s="22">
        <v>500.0</v>
      </c>
    </row>
    <row r="7" ht="16.5" customHeight="1">
      <c r="B7" s="22" t="s">
        <v>246</v>
      </c>
      <c r="C7" s="22">
        <v>10.0</v>
      </c>
      <c r="D7" s="22">
        <v>20.0</v>
      </c>
      <c r="E7" s="22">
        <v>30.0</v>
      </c>
      <c r="F7" s="22">
        <v>40.0</v>
      </c>
      <c r="G7" s="22">
        <v>50.0</v>
      </c>
      <c r="H7" s="22">
        <v>60.0</v>
      </c>
      <c r="I7" s="22">
        <v>70.0</v>
      </c>
      <c r="J7" s="22">
        <v>80.0</v>
      </c>
      <c r="K7" s="22">
        <v>90.0</v>
      </c>
      <c r="L7" s="22">
        <v>100.0</v>
      </c>
      <c r="M7" s="22">
        <v>120.0</v>
      </c>
      <c r="N7" s="22">
        <v>140.0</v>
      </c>
      <c r="O7" s="22">
        <v>150.0</v>
      </c>
      <c r="P7" s="22">
        <v>160.0</v>
      </c>
      <c r="Q7" s="22">
        <v>200.0</v>
      </c>
      <c r="R7" s="22">
        <v>250.0</v>
      </c>
      <c r="S7" s="22">
        <v>300.0</v>
      </c>
      <c r="T7" s="22">
        <v>350.0</v>
      </c>
      <c r="U7" s="22">
        <v>400.0</v>
      </c>
      <c r="V7" s="22">
        <v>450.0</v>
      </c>
      <c r="W7" s="22">
        <v>500.0</v>
      </c>
      <c r="X7" s="22">
        <v>550.0</v>
      </c>
      <c r="Y7" s="22">
        <v>650.0</v>
      </c>
      <c r="Z7" s="22">
        <v>750.0</v>
      </c>
      <c r="AA7" s="22">
        <v>1000.0</v>
      </c>
      <c r="AB7" s="22">
        <v>1250.0</v>
      </c>
      <c r="AC7" s="22">
        <v>2000.0</v>
      </c>
      <c r="AD7" s="22">
        <v>3000.0</v>
      </c>
      <c r="AE7" s="22">
        <v>4000.0</v>
      </c>
      <c r="AF7" s="22">
        <v>5000.0</v>
      </c>
    </row>
    <row r="8" ht="16.5" customHeight="1"/>
    <row r="9" ht="16.5" customHeight="1">
      <c r="B9" s="22" t="s">
        <v>242</v>
      </c>
      <c r="C9" s="22">
        <v>1.0</v>
      </c>
      <c r="D9" s="22">
        <v>2.0</v>
      </c>
      <c r="E9" s="22">
        <v>3.0</v>
      </c>
      <c r="F9" s="22">
        <v>4.0</v>
      </c>
      <c r="G9" s="22">
        <v>5.0</v>
      </c>
      <c r="H9" s="22">
        <v>7.0</v>
      </c>
      <c r="I9" s="22">
        <v>10.0</v>
      </c>
      <c r="J9" s="22">
        <v>13.0</v>
      </c>
      <c r="K9" s="22">
        <v>15.0</v>
      </c>
      <c r="L9" s="22">
        <v>16.0</v>
      </c>
      <c r="M9" s="22">
        <v>17.0</v>
      </c>
      <c r="N9" s="22">
        <v>18.0</v>
      </c>
      <c r="O9" s="22">
        <v>19.0</v>
      </c>
      <c r="P9" s="22">
        <v>20.0</v>
      </c>
      <c r="Q9" s="22">
        <v>21.0</v>
      </c>
      <c r="R9" s="22">
        <v>22.0</v>
      </c>
      <c r="S9" s="22">
        <v>23.0</v>
      </c>
      <c r="T9" s="22">
        <v>24.0</v>
      </c>
      <c r="U9" s="22">
        <v>25.0</v>
      </c>
      <c r="V9" s="22">
        <v>26.0</v>
      </c>
    </row>
    <row r="10" ht="16.5" customHeight="1">
      <c r="B10" s="22" t="s">
        <v>247</v>
      </c>
      <c r="C10" s="22">
        <v>1.0</v>
      </c>
      <c r="D10" s="22">
        <v>2.0</v>
      </c>
      <c r="E10" s="22">
        <v>3.0</v>
      </c>
      <c r="F10" s="22">
        <v>4.0</v>
      </c>
      <c r="G10" s="22">
        <v>5.0</v>
      </c>
      <c r="H10" s="22">
        <v>7.0</v>
      </c>
      <c r="I10" s="22">
        <v>10.0</v>
      </c>
      <c r="J10" s="22">
        <v>15.0</v>
      </c>
      <c r="K10" s="22">
        <v>20.0</v>
      </c>
      <c r="L10" s="22">
        <v>25.0</v>
      </c>
      <c r="M10" s="22">
        <v>30.0</v>
      </c>
      <c r="N10" s="22">
        <v>35.0</v>
      </c>
      <c r="O10" s="22">
        <v>40.0</v>
      </c>
      <c r="P10" s="22">
        <v>45.0</v>
      </c>
      <c r="Q10" s="22">
        <v>50.0</v>
      </c>
      <c r="R10" s="22">
        <v>55.0</v>
      </c>
      <c r="S10" s="22">
        <v>65.0</v>
      </c>
      <c r="T10" s="22">
        <v>75.0</v>
      </c>
      <c r="U10" s="22">
        <v>100.0</v>
      </c>
      <c r="V10" s="22">
        <v>125.0</v>
      </c>
    </row>
    <row r="11" ht="16.5" customHeight="1">
      <c r="D11" s="92">
        <f t="shared" ref="D11:V11" si="1">D10/C10</f>
        <v>2</v>
      </c>
      <c r="E11" s="92">
        <f t="shared" si="1"/>
        <v>1.5</v>
      </c>
      <c r="F11" s="92">
        <f t="shared" si="1"/>
        <v>1.333333333</v>
      </c>
      <c r="G11" s="92">
        <f t="shared" si="1"/>
        <v>1.25</v>
      </c>
      <c r="H11" s="92">
        <f t="shared" si="1"/>
        <v>1.4</v>
      </c>
      <c r="I11" s="92">
        <f t="shared" si="1"/>
        <v>1.428571429</v>
      </c>
      <c r="J11" s="92">
        <f t="shared" si="1"/>
        <v>1.5</v>
      </c>
      <c r="K11" s="92">
        <f t="shared" si="1"/>
        <v>1.333333333</v>
      </c>
      <c r="L11" s="92">
        <f t="shared" si="1"/>
        <v>1.25</v>
      </c>
      <c r="M11" s="92">
        <f t="shared" si="1"/>
        <v>1.2</v>
      </c>
      <c r="N11" s="92">
        <f t="shared" si="1"/>
        <v>1.166666667</v>
      </c>
      <c r="O11" s="92">
        <f t="shared" si="1"/>
        <v>1.142857143</v>
      </c>
      <c r="P11" s="92">
        <f t="shared" si="1"/>
        <v>1.125</v>
      </c>
      <c r="Q11" s="92">
        <f t="shared" si="1"/>
        <v>1.111111111</v>
      </c>
      <c r="R11" s="92">
        <f t="shared" si="1"/>
        <v>1.1</v>
      </c>
      <c r="S11" s="92">
        <f t="shared" si="1"/>
        <v>1.181818182</v>
      </c>
      <c r="T11" s="92">
        <f t="shared" si="1"/>
        <v>1.153846154</v>
      </c>
      <c r="U11" s="92">
        <f t="shared" si="1"/>
        <v>1.333333333</v>
      </c>
      <c r="V11" s="92">
        <f t="shared" si="1"/>
        <v>1.25</v>
      </c>
    </row>
    <row r="12" ht="16.5" customHeight="1">
      <c r="B12" s="22" t="s">
        <v>242</v>
      </c>
      <c r="C12" s="22">
        <v>1.0</v>
      </c>
      <c r="D12" s="22">
        <v>2.0</v>
      </c>
      <c r="E12" s="22">
        <v>3.0</v>
      </c>
      <c r="F12" s="22">
        <v>4.0</v>
      </c>
      <c r="G12" s="22">
        <v>5.0</v>
      </c>
      <c r="H12" s="22">
        <v>6.0</v>
      </c>
      <c r="I12" s="22">
        <v>7.0</v>
      </c>
      <c r="J12" s="22">
        <v>8.0</v>
      </c>
      <c r="K12" s="22">
        <v>9.0</v>
      </c>
      <c r="L12" s="22">
        <v>10.0</v>
      </c>
      <c r="M12" s="22">
        <v>11.0</v>
      </c>
      <c r="N12" s="22">
        <v>12.0</v>
      </c>
      <c r="O12" s="22">
        <v>14.0</v>
      </c>
      <c r="P12" s="22">
        <v>15.0</v>
      </c>
      <c r="Q12" s="22">
        <v>16.0</v>
      </c>
      <c r="R12" s="22">
        <v>17.0</v>
      </c>
      <c r="S12" s="22">
        <v>18.0</v>
      </c>
      <c r="T12" s="22">
        <v>19.0</v>
      </c>
      <c r="U12" s="22">
        <v>20.0</v>
      </c>
      <c r="V12" s="22">
        <v>21.0</v>
      </c>
    </row>
    <row r="13" ht="16.5" customHeight="1">
      <c r="B13" s="22" t="s">
        <v>248</v>
      </c>
      <c r="C13" s="22">
        <v>1.0</v>
      </c>
      <c r="D13" s="22">
        <v>2.0</v>
      </c>
      <c r="E13" s="22">
        <v>3.0</v>
      </c>
      <c r="F13" s="22">
        <v>4.0</v>
      </c>
      <c r="G13" s="22">
        <v>5.0</v>
      </c>
      <c r="H13" s="22">
        <v>6.0</v>
      </c>
      <c r="I13" s="22">
        <v>7.0</v>
      </c>
      <c r="J13" s="22">
        <v>8.0</v>
      </c>
      <c r="K13" s="22">
        <v>9.0</v>
      </c>
      <c r="L13" s="22">
        <v>10.0</v>
      </c>
      <c r="M13" s="22">
        <v>12.0</v>
      </c>
      <c r="N13" s="22">
        <v>14.0</v>
      </c>
      <c r="O13" s="22">
        <v>16.0</v>
      </c>
      <c r="P13" s="22">
        <v>20.0</v>
      </c>
      <c r="Q13" s="22">
        <v>25.0</v>
      </c>
      <c r="R13" s="22">
        <v>30.0</v>
      </c>
      <c r="S13" s="22">
        <v>35.0</v>
      </c>
      <c r="T13" s="22">
        <v>40.0</v>
      </c>
      <c r="U13" s="22">
        <v>45.0</v>
      </c>
      <c r="V13" s="22">
        <v>50.0</v>
      </c>
    </row>
    <row r="14" ht="16.5" customHeight="1">
      <c r="D14" s="92">
        <f t="shared" ref="D14:V14" si="2">D13/C13</f>
        <v>2</v>
      </c>
      <c r="E14" s="92">
        <f t="shared" si="2"/>
        <v>1.5</v>
      </c>
      <c r="F14" s="92">
        <f t="shared" si="2"/>
        <v>1.333333333</v>
      </c>
      <c r="G14" s="92">
        <f t="shared" si="2"/>
        <v>1.25</v>
      </c>
      <c r="H14" s="92">
        <f t="shared" si="2"/>
        <v>1.2</v>
      </c>
      <c r="I14" s="92">
        <f t="shared" si="2"/>
        <v>1.166666667</v>
      </c>
      <c r="J14" s="92">
        <f t="shared" si="2"/>
        <v>1.142857143</v>
      </c>
      <c r="K14" s="92">
        <f t="shared" si="2"/>
        <v>1.125</v>
      </c>
      <c r="L14" s="92">
        <f t="shared" si="2"/>
        <v>1.111111111</v>
      </c>
      <c r="M14" s="92">
        <f t="shared" si="2"/>
        <v>1.2</v>
      </c>
      <c r="N14" s="92">
        <f t="shared" si="2"/>
        <v>1.166666667</v>
      </c>
      <c r="O14" s="92">
        <f t="shared" si="2"/>
        <v>1.142857143</v>
      </c>
      <c r="P14" s="92">
        <f t="shared" si="2"/>
        <v>1.25</v>
      </c>
      <c r="Q14" s="92">
        <f t="shared" si="2"/>
        <v>1.25</v>
      </c>
      <c r="R14" s="92">
        <f t="shared" si="2"/>
        <v>1.2</v>
      </c>
      <c r="S14" s="92">
        <f t="shared" si="2"/>
        <v>1.166666667</v>
      </c>
      <c r="T14" s="92">
        <f t="shared" si="2"/>
        <v>1.142857143</v>
      </c>
      <c r="U14" s="92">
        <f t="shared" si="2"/>
        <v>1.125</v>
      </c>
      <c r="V14" s="92">
        <f t="shared" si="2"/>
        <v>1.111111111</v>
      </c>
    </row>
    <row r="15" ht="16.5" customHeight="1"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</row>
    <row r="16" ht="16.5" customHeight="1">
      <c r="F16" s="144" t="s">
        <v>249</v>
      </c>
    </row>
    <row r="17" ht="16.5" customHeight="1">
      <c r="G17" s="22">
        <v>0.01</v>
      </c>
      <c r="H17" s="22" t="s">
        <v>77</v>
      </c>
      <c r="J17" s="145"/>
    </row>
    <row r="18" ht="16.5" customHeight="1">
      <c r="A18" s="22" t="s">
        <v>79</v>
      </c>
      <c r="B18" s="57" t="s">
        <v>46</v>
      </c>
      <c r="C18" s="22" t="s">
        <v>45</v>
      </c>
      <c r="E18" s="22" t="s">
        <v>80</v>
      </c>
      <c r="F18" s="22" t="s">
        <v>81</v>
      </c>
      <c r="G18" s="22" t="s">
        <v>82</v>
      </c>
      <c r="H18" s="22" t="s">
        <v>83</v>
      </c>
      <c r="I18" s="22" t="s">
        <v>84</v>
      </c>
      <c r="J18" s="145" t="s">
        <v>250</v>
      </c>
      <c r="K18" s="146">
        <v>0.01</v>
      </c>
      <c r="L18" s="22" t="s">
        <v>83</v>
      </c>
      <c r="M18" s="22" t="s">
        <v>84</v>
      </c>
      <c r="N18" s="145" t="s">
        <v>250</v>
      </c>
    </row>
    <row r="19" ht="16.5" customHeight="1">
      <c r="F19" s="147">
        <v>10.0</v>
      </c>
      <c r="G19" s="90"/>
      <c r="H19" s="90"/>
      <c r="I19" s="90"/>
      <c r="J19" s="148"/>
      <c r="K19" s="149">
        <v>10.0</v>
      </c>
    </row>
    <row r="20" ht="16.5" customHeight="1">
      <c r="A20" s="22" t="str">
        <f>'試算-SLOT'!A6</f>
        <v>THB</v>
      </c>
      <c r="B20" s="108" t="str">
        <f>'試算-SLOT'!B6</f>
        <v>฿</v>
      </c>
      <c r="C20" s="22" t="str">
        <f>'試算-SLOT'!C6</f>
        <v>泰銖</v>
      </c>
      <c r="D20" s="22">
        <v>1.0</v>
      </c>
      <c r="E20" s="150">
        <f>IFERROR(__xludf.DUMMYFUNCTION("GOOGLEFINANCE(""Currency:""&amp;A20&amp;""TWD"")*D20"),0.928234)</f>
        <v>0.928234</v>
      </c>
      <c r="F20" s="151">
        <f t="shared" ref="F20:F69" si="3">1/$E20/$F$19</f>
        <v>0.1077314556</v>
      </c>
      <c r="G20" s="152">
        <f t="shared" ref="G20:G69" si="4">K20</f>
        <v>0.05</v>
      </c>
      <c r="H20" s="101">
        <f>'賓果 - 1分4卡'!F59</f>
        <v>0.5</v>
      </c>
      <c r="I20" s="101">
        <f t="shared" ref="I20:I69" si="5">H20*$E20</f>
        <v>0.464117</v>
      </c>
      <c r="J20" s="153">
        <f>E20*'賓果 - 1分4卡'!Y59</f>
        <v>58.014625</v>
      </c>
      <c r="K20" s="154">
        <v>0.05</v>
      </c>
      <c r="L20" s="101">
        <f>'賓果 - 1分20卡'!F59</f>
        <v>0.5</v>
      </c>
      <c r="M20" s="101">
        <f t="shared" ref="M20:M69" si="6">L20*$E20</f>
        <v>0.464117</v>
      </c>
      <c r="N20" s="153">
        <f>E20*'賓果 - 1分20卡'!Y59</f>
        <v>58.014625</v>
      </c>
    </row>
    <row r="21" ht="16.5" customHeight="1">
      <c r="A21" s="22" t="str">
        <f>'試算-SLOT'!A7</f>
        <v>HKD</v>
      </c>
      <c r="B21" s="108" t="str">
        <f>'試算-SLOT'!B7</f>
        <v>HK$</v>
      </c>
      <c r="C21" s="22" t="str">
        <f>'試算-SLOT'!C7</f>
        <v>港幣</v>
      </c>
      <c r="D21" s="22">
        <v>1.0</v>
      </c>
      <c r="E21" s="150">
        <f>IFERROR(__xludf.DUMMYFUNCTION("GOOGLEFINANCE(""Currency:""&amp;A21&amp;""TWD"")*D21"),4.197888558)</f>
        <v>4.197888558</v>
      </c>
      <c r="F21" s="151">
        <f t="shared" si="3"/>
        <v>0.02382149946</v>
      </c>
      <c r="G21" s="152">
        <f t="shared" si="4"/>
        <v>0.01</v>
      </c>
      <c r="H21" s="101">
        <f>'賓果 - 1分4卡'!F60</f>
        <v>0.1</v>
      </c>
      <c r="I21" s="101">
        <f t="shared" si="5"/>
        <v>0.4197888558</v>
      </c>
      <c r="J21" s="153">
        <f>E21*'賓果 - 1分4卡'!Y60</f>
        <v>52.47360698</v>
      </c>
      <c r="K21" s="154">
        <v>0.01</v>
      </c>
      <c r="L21" s="101">
        <f>'賓果 - 1分20卡'!F60</f>
        <v>0.1</v>
      </c>
      <c r="M21" s="101">
        <f t="shared" si="6"/>
        <v>0.4197888558</v>
      </c>
      <c r="N21" s="153">
        <f>E21*'賓果 - 1分20卡'!Y60</f>
        <v>52.47360698</v>
      </c>
    </row>
    <row r="22" ht="16.5" customHeight="1">
      <c r="A22" s="22" t="str">
        <f>'試算-SLOT'!A8</f>
        <v>INR</v>
      </c>
      <c r="B22" s="108" t="str">
        <f>'試算-SLOT'!B8</f>
        <v>₹</v>
      </c>
      <c r="C22" s="22" t="str">
        <f>'試算-SLOT'!C8</f>
        <v>印度盧比</v>
      </c>
      <c r="D22" s="22">
        <v>1.0</v>
      </c>
      <c r="E22" s="150">
        <f>IFERROR(__xludf.DUMMYFUNCTION("GOOGLEFINANCE(""Currency:""&amp;A22&amp;""TWD"")*D22"),0.3890549)</f>
        <v>0.3890549</v>
      </c>
      <c r="F22" s="151">
        <f t="shared" si="3"/>
        <v>0.2570331334</v>
      </c>
      <c r="G22" s="152">
        <f t="shared" si="4"/>
        <v>0.1</v>
      </c>
      <c r="H22" s="101">
        <f>'賓果 - 1分4卡'!F61</f>
        <v>1</v>
      </c>
      <c r="I22" s="101">
        <f t="shared" si="5"/>
        <v>0.3890549</v>
      </c>
      <c r="J22" s="153">
        <f>E22*'賓果 - 1分4卡'!Y61</f>
        <v>48.6318625</v>
      </c>
      <c r="K22" s="154">
        <v>0.1</v>
      </c>
      <c r="L22" s="101">
        <f>'賓果 - 1分20卡'!F61</f>
        <v>1</v>
      </c>
      <c r="M22" s="101">
        <f t="shared" si="6"/>
        <v>0.3890549</v>
      </c>
      <c r="N22" s="153">
        <f>E22*'賓果 - 1分20卡'!Y61</f>
        <v>48.6318625</v>
      </c>
    </row>
    <row r="23" ht="16.5" customHeight="1">
      <c r="A23" s="22" t="str">
        <f>'試算-SLOT'!A9</f>
        <v>IDR</v>
      </c>
      <c r="B23" s="108" t="str">
        <f>'試算-SLOT'!B9</f>
        <v>Rp</v>
      </c>
      <c r="C23" s="22" t="str">
        <f>'試算-SLOT'!C9</f>
        <v>印尼盧比(K)</v>
      </c>
      <c r="D23" s="22">
        <v>1000.0</v>
      </c>
      <c r="E23" s="150">
        <f>IFERROR(__xludf.DUMMYFUNCTION("GOOGLEFINANCE(""Currency:""&amp;A23&amp;""TWD"")*D23"),2.0212253)</f>
        <v>2.0212253</v>
      </c>
      <c r="F23" s="151">
        <f t="shared" si="3"/>
        <v>0.04947493978</v>
      </c>
      <c r="G23" s="152">
        <f t="shared" si="4"/>
        <v>0.02</v>
      </c>
      <c r="H23" s="101">
        <f>'賓果 - 1分4卡'!F62</f>
        <v>0.2</v>
      </c>
      <c r="I23" s="101">
        <f t="shared" si="5"/>
        <v>0.40424506</v>
      </c>
      <c r="J23" s="153">
        <f>E23*'賓果 - 1分4卡'!Y62</f>
        <v>50.5306325</v>
      </c>
      <c r="K23" s="154">
        <v>0.02</v>
      </c>
      <c r="L23" s="101">
        <f>'賓果 - 1分20卡'!F62</f>
        <v>0.2</v>
      </c>
      <c r="M23" s="101">
        <f t="shared" si="6"/>
        <v>0.40424506</v>
      </c>
      <c r="N23" s="153">
        <f>E23*'賓果 - 1分20卡'!Y62</f>
        <v>50.5306325</v>
      </c>
    </row>
    <row r="24" ht="16.5" customHeight="1">
      <c r="A24" s="22" t="str">
        <f>'試算-SLOT'!A10</f>
        <v>VND</v>
      </c>
      <c r="B24" s="108" t="str">
        <f>'試算-SLOT'!B10</f>
        <v>₫</v>
      </c>
      <c r="C24" s="22" t="str">
        <f>'試算-SLOT'!C10</f>
        <v>越南盾(K)</v>
      </c>
      <c r="D24" s="22">
        <v>1000.0</v>
      </c>
      <c r="E24" s="150">
        <f>IFERROR(__xludf.DUMMYFUNCTION("GOOGLEFINANCE(""Currency:""&amp;A24&amp;""TWD"")*D24"),1.300968628)</f>
        <v>1.300968628</v>
      </c>
      <c r="F24" s="151">
        <f t="shared" si="3"/>
        <v>0.07686580433</v>
      </c>
      <c r="G24" s="152">
        <f t="shared" si="4"/>
        <v>0.04</v>
      </c>
      <c r="H24" s="101">
        <f>'賓果 - 1分4卡'!F63</f>
        <v>0.4</v>
      </c>
      <c r="I24" s="101">
        <f t="shared" si="5"/>
        <v>0.5203874512</v>
      </c>
      <c r="J24" s="153">
        <f>E24*'賓果 - 1分4卡'!Y63</f>
        <v>65.0484314</v>
      </c>
      <c r="K24" s="154">
        <v>0.04</v>
      </c>
      <c r="L24" s="101">
        <f>'賓果 - 1分20卡'!F63</f>
        <v>0.4</v>
      </c>
      <c r="M24" s="101">
        <f t="shared" si="6"/>
        <v>0.5203874512</v>
      </c>
      <c r="N24" s="153">
        <f>E24*'賓果 - 1分20卡'!Y63</f>
        <v>65.0484314</v>
      </c>
    </row>
    <row r="25" ht="16.5" customHeight="1">
      <c r="A25" s="22" t="str">
        <f>'試算-SLOT'!A11</f>
        <v>MYR</v>
      </c>
      <c r="B25" s="108" t="str">
        <f>'試算-SLOT'!B11</f>
        <v>RM</v>
      </c>
      <c r="C25" s="22" t="str">
        <f>'試算-SLOT'!C11</f>
        <v>馬來西亞令吉</v>
      </c>
      <c r="D25" s="22">
        <v>1.0</v>
      </c>
      <c r="E25" s="150">
        <f>IFERROR(__xludf.DUMMYFUNCTION("GOOGLEFINANCE(""Currency:""&amp;A25&amp;""TWD"")*D25"),7.41468329)</f>
        <v>7.41468329</v>
      </c>
      <c r="F25" s="151">
        <f t="shared" si="3"/>
        <v>0.01348675272</v>
      </c>
      <c r="G25" s="152">
        <f t="shared" si="4"/>
        <v>0.01</v>
      </c>
      <c r="H25" s="101">
        <f>'賓果 - 1分4卡'!F64</f>
        <v>0.1</v>
      </c>
      <c r="I25" s="101">
        <f t="shared" si="5"/>
        <v>0.741468329</v>
      </c>
      <c r="J25" s="153">
        <f>E25*'賓果 - 1分4卡'!Y64</f>
        <v>92.68354113</v>
      </c>
      <c r="K25" s="154">
        <v>0.01</v>
      </c>
      <c r="L25" s="101">
        <f>'賓果 - 1分20卡'!F64</f>
        <v>0.1</v>
      </c>
      <c r="M25" s="101">
        <f t="shared" si="6"/>
        <v>0.741468329</v>
      </c>
      <c r="N25" s="153">
        <f>E25*'賓果 - 1分20卡'!Y64</f>
        <v>92.68354113</v>
      </c>
    </row>
    <row r="26" ht="16.5" customHeight="1">
      <c r="A26" s="22" t="str">
        <f>'試算-SLOT'!A12</f>
        <v>SGD</v>
      </c>
      <c r="B26" s="108" t="str">
        <f>'試算-SLOT'!B12</f>
        <v>S$</v>
      </c>
      <c r="C26" s="22" t="str">
        <f>'試算-SLOT'!C12</f>
        <v>新加坡幣</v>
      </c>
      <c r="D26" s="22">
        <v>1.0</v>
      </c>
      <c r="E26" s="150">
        <f>IFERROR(__xludf.DUMMYFUNCTION("GOOGLEFINANCE(""Currency:""&amp;A26&amp;""TWD"")*D26"),24.676630000000003)</f>
        <v>24.67663</v>
      </c>
      <c r="F26" s="151">
        <f t="shared" si="3"/>
        <v>0.004052417206</v>
      </c>
      <c r="G26" s="152">
        <f t="shared" si="4"/>
        <v>0.01</v>
      </c>
      <c r="H26" s="101">
        <f>'賓果 - 1分4卡'!F65</f>
        <v>0.1</v>
      </c>
      <c r="I26" s="101">
        <f t="shared" si="5"/>
        <v>2.467663</v>
      </c>
      <c r="J26" s="153">
        <f>E26*'賓果 - 1分4卡'!Y65</f>
        <v>123.38315</v>
      </c>
      <c r="K26" s="154">
        <v>0.01</v>
      </c>
      <c r="L26" s="101">
        <f>'賓果 - 1分20卡'!F65</f>
        <v>0.1</v>
      </c>
      <c r="M26" s="101">
        <f t="shared" si="6"/>
        <v>2.467663</v>
      </c>
      <c r="N26" s="153">
        <f>E26*'賓果 - 1分20卡'!Y65</f>
        <v>123.38315</v>
      </c>
    </row>
    <row r="27" ht="16.5" customHeight="1">
      <c r="A27" s="22" t="str">
        <f>'試算-SLOT'!A13</f>
        <v>USD</v>
      </c>
      <c r="B27" s="108" t="str">
        <f>'試算-SLOT'!B13</f>
        <v>$</v>
      </c>
      <c r="C27" s="22" t="str">
        <f>'試算-SLOT'!C13</f>
        <v>美元</v>
      </c>
      <c r="D27" s="22">
        <v>1.0</v>
      </c>
      <c r="E27" s="150">
        <f>IFERROR(__xludf.DUMMYFUNCTION("GOOGLEFINANCE(""Currency:""&amp;A27&amp;""TWD"")*D27"),32.6128)</f>
        <v>32.6128</v>
      </c>
      <c r="F27" s="151">
        <f t="shared" si="3"/>
        <v>0.003066280724</v>
      </c>
      <c r="G27" s="152">
        <f t="shared" si="4"/>
        <v>0.01</v>
      </c>
      <c r="H27" s="101">
        <f>'賓果 - 1分4卡'!F66</f>
        <v>0.1</v>
      </c>
      <c r="I27" s="101">
        <f t="shared" si="5"/>
        <v>3.26128</v>
      </c>
      <c r="J27" s="153">
        <f>E27*'賓果 - 1分4卡'!Y66</f>
        <v>163.064</v>
      </c>
      <c r="K27" s="154">
        <v>0.01</v>
      </c>
      <c r="L27" s="101">
        <f>'賓果 - 1分20卡'!F66</f>
        <v>0.1</v>
      </c>
      <c r="M27" s="101">
        <f t="shared" si="6"/>
        <v>3.26128</v>
      </c>
      <c r="N27" s="153">
        <f>E27*'賓果 - 1分20卡'!Y66</f>
        <v>163.064</v>
      </c>
    </row>
    <row r="28" ht="16.5" customHeight="1">
      <c r="A28" s="22" t="str">
        <f>'試算-SLOT'!A14</f>
        <v>BDT</v>
      </c>
      <c r="B28" s="108" t="str">
        <f>'試算-SLOT'!B14</f>
        <v>৳</v>
      </c>
      <c r="C28" s="22" t="str">
        <f>'試算-SLOT'!C14</f>
        <v>孟加拉塔卡</v>
      </c>
      <c r="D28" s="22">
        <v>1.0</v>
      </c>
      <c r="E28" s="150">
        <f>IFERROR(__xludf.DUMMYFUNCTION("GOOGLEFINANCE(""Currency:""&amp;A28&amp;""TWD"")*D28"),0.2800025102)</f>
        <v>0.2800025102</v>
      </c>
      <c r="F28" s="151">
        <f t="shared" si="3"/>
        <v>0.3571396554</v>
      </c>
      <c r="G28" s="152">
        <f t="shared" si="4"/>
        <v>0.1</v>
      </c>
      <c r="H28" s="101">
        <f>'賓果 - 1分4卡'!F67</f>
        <v>1</v>
      </c>
      <c r="I28" s="101">
        <f t="shared" si="5"/>
        <v>0.2800025102</v>
      </c>
      <c r="J28" s="153">
        <f>E28*'賓果 - 1分4卡'!Y67</f>
        <v>35.00031378</v>
      </c>
      <c r="K28" s="154">
        <v>0.1</v>
      </c>
      <c r="L28" s="101">
        <f>'賓果 - 1分20卡'!F67</f>
        <v>1</v>
      </c>
      <c r="M28" s="101">
        <f t="shared" si="6"/>
        <v>0.2800025102</v>
      </c>
      <c r="N28" s="153">
        <f>E28*'賓果 - 1分20卡'!Y67</f>
        <v>35.00031378</v>
      </c>
    </row>
    <row r="29" ht="16.5" customHeight="1">
      <c r="A29" s="22" t="str">
        <f>'試算-SLOT'!A15</f>
        <v>PKR</v>
      </c>
      <c r="B29" s="108" t="str">
        <f>'試算-SLOT'!B15</f>
        <v>₨</v>
      </c>
      <c r="C29" s="22" t="str">
        <f>'試算-SLOT'!C15</f>
        <v>巴基斯坦盧比</v>
      </c>
      <c r="D29" s="22">
        <v>1.0</v>
      </c>
      <c r="E29" s="150">
        <f>IFERROR(__xludf.DUMMYFUNCTION("GOOGLEFINANCE(""Currency:""&amp;A29&amp;""TWD"")*D29"),0.1181703056)</f>
        <v>0.1181703056</v>
      </c>
      <c r="F29" s="151">
        <f t="shared" si="3"/>
        <v>0.8462362815</v>
      </c>
      <c r="G29" s="152">
        <f t="shared" si="4"/>
        <v>0.25</v>
      </c>
      <c r="H29" s="101">
        <f>'賓果 - 1分4卡'!F68</f>
        <v>2.5</v>
      </c>
      <c r="I29" s="101">
        <f t="shared" si="5"/>
        <v>0.295425764</v>
      </c>
      <c r="J29" s="153">
        <f>E29*'賓果 - 1分4卡'!Y68</f>
        <v>36.9282205</v>
      </c>
      <c r="K29" s="154">
        <v>0.25</v>
      </c>
      <c r="L29" s="101">
        <f>'賓果 - 1分20卡'!F68</f>
        <v>2.5</v>
      </c>
      <c r="M29" s="101">
        <f t="shared" si="6"/>
        <v>0.295425764</v>
      </c>
      <c r="N29" s="153">
        <f>E29*'賓果 - 1分20卡'!Y68</f>
        <v>36.9282205</v>
      </c>
    </row>
    <row r="30" ht="16.5" customHeight="1">
      <c r="A30" s="22" t="str">
        <f>'試算-SLOT'!A16</f>
        <v>MMK</v>
      </c>
      <c r="B30" s="108" t="str">
        <f>'試算-SLOT'!B16</f>
        <v>K</v>
      </c>
      <c r="C30" s="22" t="str">
        <f>'試算-SLOT'!C16</f>
        <v>緬甸元(K)</v>
      </c>
      <c r="D30" s="22">
        <v>1000.0</v>
      </c>
      <c r="E30" s="150">
        <f>IFERROR(__xludf.DUMMYFUNCTION("GOOGLEFINANCE(""Currency:""&amp;A30&amp;""TWD"")*D30"),10.04617852)</f>
        <v>10.04617852</v>
      </c>
      <c r="F30" s="151">
        <f t="shared" si="3"/>
        <v>0.009954033745</v>
      </c>
      <c r="G30" s="152">
        <f t="shared" si="4"/>
        <v>0.01</v>
      </c>
      <c r="H30" s="101">
        <f>'賓果 - 1分4卡'!F69</f>
        <v>0.1</v>
      </c>
      <c r="I30" s="101">
        <f t="shared" si="5"/>
        <v>1.004617852</v>
      </c>
      <c r="J30" s="153">
        <f>E30*'賓果 - 1分4卡'!Y69</f>
        <v>50.2308926</v>
      </c>
      <c r="K30" s="154">
        <v>0.01</v>
      </c>
      <c r="L30" s="101">
        <f>'賓果 - 1分20卡'!F69</f>
        <v>0.1</v>
      </c>
      <c r="M30" s="101">
        <f t="shared" si="6"/>
        <v>1.004617852</v>
      </c>
      <c r="N30" s="153">
        <f>E30*'賓果 - 1分20卡'!Y69</f>
        <v>50.2308926</v>
      </c>
    </row>
    <row r="31" ht="16.5" customHeight="1">
      <c r="A31" s="22" t="str">
        <f>'試算-SLOT'!A17</f>
        <v>MMH</v>
      </c>
      <c r="B31" s="108" t="str">
        <f>'試算-SLOT'!B17</f>
        <v>K</v>
      </c>
      <c r="C31" s="22" t="str">
        <f>'試算-SLOT'!C17</f>
        <v>緬甸元(H)</v>
      </c>
      <c r="D31" s="22">
        <v>100.0</v>
      </c>
      <c r="E31" s="150">
        <f>IFERROR(__xludf.DUMMYFUNCTION("GOOGLEFINANCE(""Currency:""&amp;A30&amp;""TWD"")*D31"),1.004617852)</f>
        <v>1.004617852</v>
      </c>
      <c r="F31" s="151">
        <f t="shared" si="3"/>
        <v>0.09954033745</v>
      </c>
      <c r="G31" s="152">
        <f t="shared" si="4"/>
        <v>0.1</v>
      </c>
      <c r="H31" s="101">
        <f>'賓果 - 1分4卡'!F70</f>
        <v>1</v>
      </c>
      <c r="I31" s="101">
        <f t="shared" si="5"/>
        <v>1.004617852</v>
      </c>
      <c r="J31" s="153">
        <f>E31*'賓果 - 1分4卡'!Y70</f>
        <v>50.2308926</v>
      </c>
      <c r="K31" s="154">
        <v>0.1</v>
      </c>
      <c r="L31" s="101">
        <f>'賓果 - 1分20卡'!F70</f>
        <v>1</v>
      </c>
      <c r="M31" s="101">
        <f t="shared" si="6"/>
        <v>1.004617852</v>
      </c>
      <c r="N31" s="153">
        <f>E31*'賓果 - 1分20卡'!Y70</f>
        <v>50.2308926</v>
      </c>
    </row>
    <row r="32" ht="16.5" customHeight="1">
      <c r="A32" s="22" t="str">
        <f>'試算-SLOT'!A18</f>
        <v>PHP</v>
      </c>
      <c r="B32" s="108" t="str">
        <f>'試算-SLOT'!B18</f>
        <v>₱</v>
      </c>
      <c r="C32" s="22" t="str">
        <f>'試算-SLOT'!C18</f>
        <v>菲律賓披索</v>
      </c>
      <c r="D32" s="22">
        <v>1.0</v>
      </c>
      <c r="E32" s="150">
        <f>IFERROR(__xludf.DUMMYFUNCTION("GOOGLEFINANCE(""Currency:""&amp;A32&amp;""TWD"")*D32"),0.5653213571)</f>
        <v>0.5653213571</v>
      </c>
      <c r="F32" s="151">
        <f t="shared" si="3"/>
        <v>0.1768905398</v>
      </c>
      <c r="G32" s="152">
        <f t="shared" si="4"/>
        <v>0.1</v>
      </c>
      <c r="H32" s="101">
        <f>'賓果 - 1分4卡'!F71</f>
        <v>1</v>
      </c>
      <c r="I32" s="101">
        <f t="shared" si="5"/>
        <v>0.5653213571</v>
      </c>
      <c r="J32" s="153">
        <f>E32*'賓果 - 1分4卡'!Y71</f>
        <v>70.66516964</v>
      </c>
      <c r="K32" s="154">
        <v>0.1</v>
      </c>
      <c r="L32" s="101">
        <f>'賓果 - 1分20卡'!F71</f>
        <v>1</v>
      </c>
      <c r="M32" s="101">
        <f t="shared" si="6"/>
        <v>0.5653213571</v>
      </c>
      <c r="N32" s="153">
        <f>E32*'賓果 - 1分20卡'!Y71</f>
        <v>70.66516964</v>
      </c>
    </row>
    <row r="33" ht="16.5" customHeight="1">
      <c r="A33" s="22" t="str">
        <f>'試算-SLOT'!A19</f>
        <v>CNY</v>
      </c>
      <c r="B33" s="108" t="str">
        <f>'試算-SLOT'!B19</f>
        <v>￥</v>
      </c>
      <c r="C33" s="22" t="str">
        <f>'試算-SLOT'!C19</f>
        <v>人民幣</v>
      </c>
      <c r="D33" s="22">
        <v>1.0</v>
      </c>
      <c r="E33" s="150">
        <f>IFERROR(__xludf.DUMMYFUNCTION("GOOGLEFINANCE(""Currency:""&amp;A33&amp;""TWD"")*D33"),4.578511)</f>
        <v>4.578511</v>
      </c>
      <c r="F33" s="151">
        <f t="shared" si="3"/>
        <v>0.0218411619</v>
      </c>
      <c r="G33" s="152">
        <f t="shared" si="4"/>
        <v>0.01</v>
      </c>
      <c r="H33" s="101">
        <f>'賓果 - 1分4卡'!F72</f>
        <v>0.1</v>
      </c>
      <c r="I33" s="101">
        <f t="shared" si="5"/>
        <v>0.4578511</v>
      </c>
      <c r="J33" s="153">
        <f>E33*'賓果 - 1分4卡'!Y72</f>
        <v>57.2313875</v>
      </c>
      <c r="K33" s="154">
        <v>0.01</v>
      </c>
      <c r="L33" s="101">
        <f>'賓果 - 1分20卡'!F72</f>
        <v>0.1</v>
      </c>
      <c r="M33" s="101">
        <f t="shared" si="6"/>
        <v>0.4578511</v>
      </c>
      <c r="N33" s="153">
        <f>E33*'賓果 - 1分20卡'!Y72</f>
        <v>57.2313875</v>
      </c>
    </row>
    <row r="34" ht="16.5" customHeight="1">
      <c r="A34" s="22" t="str">
        <f>'試算-SLOT'!A20</f>
        <v>MXN</v>
      </c>
      <c r="B34" s="108" t="str">
        <f>'試算-SLOT'!B20</f>
        <v>Mex$</v>
      </c>
      <c r="C34" s="22" t="str">
        <f>'試算-SLOT'!C20</f>
        <v>墨⻄哥披索</v>
      </c>
      <c r="D34" s="22">
        <v>1.0</v>
      </c>
      <c r="E34" s="150">
        <f>IFERROR(__xludf.DUMMYFUNCTION("GOOGLEFINANCE(""Currency:""&amp;A34&amp;""TWD"")*D34"),1.6445982780000001)</f>
        <v>1.644598278</v>
      </c>
      <c r="F34" s="151">
        <f t="shared" si="3"/>
        <v>0.06080512265</v>
      </c>
      <c r="G34" s="152">
        <f t="shared" si="4"/>
        <v>0.02</v>
      </c>
      <c r="H34" s="101">
        <f>'賓果 - 1分4卡'!F73</f>
        <v>0.2</v>
      </c>
      <c r="I34" s="101">
        <f t="shared" si="5"/>
        <v>0.3289196556</v>
      </c>
      <c r="J34" s="153">
        <f>E34*'賓果 - 1分4卡'!Y73</f>
        <v>41.11495695</v>
      </c>
      <c r="K34" s="154">
        <v>0.02</v>
      </c>
      <c r="L34" s="101">
        <f>'賓果 - 1分20卡'!F73</f>
        <v>0.2</v>
      </c>
      <c r="M34" s="101">
        <f t="shared" si="6"/>
        <v>0.3289196556</v>
      </c>
      <c r="N34" s="153">
        <f>E34*'賓果 - 1分20卡'!Y73</f>
        <v>41.11495695</v>
      </c>
    </row>
    <row r="35" ht="16.5" customHeight="1">
      <c r="A35" s="22" t="str">
        <f>'試算-SLOT'!A21</f>
        <v>BRL</v>
      </c>
      <c r="B35" s="108" t="str">
        <f>'試算-SLOT'!B21</f>
        <v>R$</v>
      </c>
      <c r="C35" s="22" t="str">
        <f>'試算-SLOT'!C21</f>
        <v>巴西雷亞爾</v>
      </c>
      <c r="D35" s="22">
        <v>1.0</v>
      </c>
      <c r="E35" s="150">
        <f>IFERROR(__xludf.DUMMYFUNCTION("GOOGLEFINANCE(""Currency:""&amp;A35&amp;""TWD"")*D35"),5.696181725000001)</f>
        <v>5.696181725</v>
      </c>
      <c r="F35" s="151">
        <f t="shared" si="3"/>
        <v>0.01755561968</v>
      </c>
      <c r="G35" s="152">
        <f t="shared" si="4"/>
        <v>0.01</v>
      </c>
      <c r="H35" s="101">
        <f>'賓果 - 1分4卡'!F74</f>
        <v>0.1</v>
      </c>
      <c r="I35" s="101">
        <f t="shared" si="5"/>
        <v>0.5696181725</v>
      </c>
      <c r="J35" s="153">
        <f>E35*'賓果 - 1分4卡'!Y74</f>
        <v>71.20227156</v>
      </c>
      <c r="K35" s="154">
        <v>0.01</v>
      </c>
      <c r="L35" s="101">
        <f>'賓果 - 1分20卡'!F74</f>
        <v>0.1</v>
      </c>
      <c r="M35" s="101">
        <f t="shared" si="6"/>
        <v>0.5696181725</v>
      </c>
      <c r="N35" s="153">
        <f>E35*'賓果 - 1分20卡'!Y74</f>
        <v>71.20227156</v>
      </c>
    </row>
    <row r="36" ht="16.5" customHeight="1">
      <c r="A36" s="22" t="str">
        <f>'試算-SLOT'!A22</f>
        <v>AUD</v>
      </c>
      <c r="B36" s="108" t="str">
        <f>'試算-SLOT'!B22</f>
        <v>A$</v>
      </c>
      <c r="C36" s="22" t="str">
        <f>'試算-SLOT'!C22</f>
        <v>澳洲元</v>
      </c>
      <c r="D36" s="22">
        <v>1.0</v>
      </c>
      <c r="E36" s="150">
        <f>IFERROR(__xludf.DUMMYFUNCTION("GOOGLEFINANCE(""Currency:""&amp;A36&amp;""TWD"")*D36"),21.10692098)</f>
        <v>21.10692098</v>
      </c>
      <c r="F36" s="151">
        <f t="shared" si="3"/>
        <v>0.00473778246</v>
      </c>
      <c r="G36" s="152">
        <f t="shared" si="4"/>
        <v>0.01</v>
      </c>
      <c r="H36" s="101">
        <f>'賓果 - 1分4卡'!F75</f>
        <v>0.1</v>
      </c>
      <c r="I36" s="101">
        <f t="shared" si="5"/>
        <v>2.110692098</v>
      </c>
      <c r="J36" s="153">
        <f>E36*'賓果 - 1分4卡'!Y75</f>
        <v>105.5346049</v>
      </c>
      <c r="K36" s="154">
        <v>0.01</v>
      </c>
      <c r="L36" s="101">
        <f>'賓果 - 1分20卡'!F75</f>
        <v>0.1</v>
      </c>
      <c r="M36" s="101">
        <f t="shared" si="6"/>
        <v>2.110692098</v>
      </c>
      <c r="N36" s="153">
        <f>E36*'賓果 - 1分20卡'!Y75</f>
        <v>105.5346049</v>
      </c>
    </row>
    <row r="37" ht="16.5" customHeight="1">
      <c r="A37" s="22" t="str">
        <f>'試算-SLOT'!A23</f>
        <v>JPY</v>
      </c>
      <c r="B37" s="108" t="str">
        <f>'試算-SLOT'!B23</f>
        <v>￥</v>
      </c>
      <c r="C37" s="22" t="str">
        <f>'試算-SLOT'!C23</f>
        <v>日圓</v>
      </c>
      <c r="D37" s="22">
        <v>1.0</v>
      </c>
      <c r="E37" s="150">
        <f>IFERROR(__xludf.DUMMYFUNCTION("GOOGLEFINANCE(""Currency:""&amp;A37&amp;""TWD"")*D37"),0.22813899999999998)</f>
        <v>0.228139</v>
      </c>
      <c r="F37" s="151">
        <f t="shared" si="3"/>
        <v>0.4383292642</v>
      </c>
      <c r="G37" s="152">
        <f t="shared" si="4"/>
        <v>0.2</v>
      </c>
      <c r="H37" s="101">
        <f>'賓果 - 1分4卡'!F76</f>
        <v>2</v>
      </c>
      <c r="I37" s="101">
        <f t="shared" si="5"/>
        <v>0.456278</v>
      </c>
      <c r="J37" s="153">
        <f>E37*'賓果 - 1分4卡'!Y76</f>
        <v>57.03475</v>
      </c>
      <c r="K37" s="154">
        <v>0.2</v>
      </c>
      <c r="L37" s="101">
        <f>'賓果 - 1分20卡'!F76</f>
        <v>2</v>
      </c>
      <c r="M37" s="101">
        <f t="shared" si="6"/>
        <v>0.456278</v>
      </c>
      <c r="N37" s="153">
        <f>E37*'賓果 - 1分20卡'!Y76</f>
        <v>57.03475</v>
      </c>
    </row>
    <row r="38" ht="16.5" customHeight="1">
      <c r="A38" s="22" t="str">
        <f>'試算-SLOT'!A24</f>
        <v>KRW</v>
      </c>
      <c r="B38" s="108" t="str">
        <f>'試算-SLOT'!B24</f>
        <v>₩</v>
      </c>
      <c r="C38" s="22" t="str">
        <f>'試算-SLOT'!C24</f>
        <v>韓圓</v>
      </c>
      <c r="D38" s="22">
        <v>1.0</v>
      </c>
      <c r="E38" s="150">
        <f>IFERROR(__xludf.DUMMYFUNCTION("GOOGLEFINANCE(""Currency:""&amp;A38&amp;""TWD"")*D38"),0.023994810000000002)</f>
        <v>0.02399481</v>
      </c>
      <c r="F38" s="151">
        <f t="shared" si="3"/>
        <v>4.167567903</v>
      </c>
      <c r="G38" s="152">
        <f t="shared" si="4"/>
        <v>2</v>
      </c>
      <c r="H38" s="101">
        <f>'賓果 - 1分4卡'!F77</f>
        <v>20</v>
      </c>
      <c r="I38" s="101">
        <f t="shared" si="5"/>
        <v>0.4798962</v>
      </c>
      <c r="J38" s="153">
        <f>E38*'賓果 - 1分4卡'!Y77</f>
        <v>59.987025</v>
      </c>
      <c r="K38" s="154">
        <v>2.0</v>
      </c>
      <c r="L38" s="101">
        <f>'賓果 - 1分20卡'!F77</f>
        <v>20</v>
      </c>
      <c r="M38" s="101">
        <f t="shared" si="6"/>
        <v>0.4798962</v>
      </c>
      <c r="N38" s="153">
        <f>E38*'賓果 - 1分20卡'!Y77</f>
        <v>59.987025</v>
      </c>
    </row>
    <row r="39" ht="16.5" customHeight="1">
      <c r="A39" s="22" t="str">
        <f>'試算-SLOT'!A25</f>
        <v>CLP</v>
      </c>
      <c r="B39" s="108" t="str">
        <f>'試算-SLOT'!B25</f>
        <v>$</v>
      </c>
      <c r="C39" s="22" t="str">
        <f>'試算-SLOT'!C25</f>
        <v>智利披索</v>
      </c>
      <c r="D39" s="22">
        <v>1.0</v>
      </c>
      <c r="E39" s="150">
        <f>IFERROR(__xludf.DUMMYFUNCTION("GOOGLEFINANCE(""Currency:""&amp;A39&amp;""TWD"")*D39"),0.034259714999999996)</f>
        <v>0.034259715</v>
      </c>
      <c r="F39" s="151">
        <f t="shared" si="3"/>
        <v>2.91888009</v>
      </c>
      <c r="G39" s="152">
        <f t="shared" si="4"/>
        <v>1</v>
      </c>
      <c r="H39" s="101">
        <f>'賓果 - 1分4卡'!F78</f>
        <v>10</v>
      </c>
      <c r="I39" s="101">
        <f t="shared" si="5"/>
        <v>0.34259715</v>
      </c>
      <c r="J39" s="153">
        <f>E39*'賓果 - 1分4卡'!Y78</f>
        <v>42.82464375</v>
      </c>
      <c r="K39" s="154">
        <v>1.0</v>
      </c>
      <c r="L39" s="101">
        <f>'賓果 - 1分20卡'!F78</f>
        <v>10</v>
      </c>
      <c r="M39" s="101">
        <f t="shared" si="6"/>
        <v>0.34259715</v>
      </c>
      <c r="N39" s="153">
        <f>E39*'賓果 - 1分20卡'!Y78</f>
        <v>42.82464375</v>
      </c>
    </row>
    <row r="40" ht="16.5" customHeight="1">
      <c r="A40" s="22" t="str">
        <f>'試算-SLOT'!A26</f>
        <v>MMKO</v>
      </c>
      <c r="B40" s="108" t="str">
        <f>'試算-SLOT'!B26</f>
        <v>K</v>
      </c>
      <c r="C40" s="22" t="str">
        <f>'試算-SLOT'!C26</f>
        <v>緬甸元</v>
      </c>
      <c r="D40" s="22">
        <v>1.0</v>
      </c>
      <c r="E40" s="150">
        <f>IFERROR(__xludf.DUMMYFUNCTION("GOOGLEFINANCE(""Currency:""&amp;A40&amp;""TWD"")*D40"),0.010046178519999999)</f>
        <v>0.01004617852</v>
      </c>
      <c r="F40" s="151">
        <f t="shared" si="3"/>
        <v>9.954033745</v>
      </c>
      <c r="G40" s="152">
        <f t="shared" si="4"/>
        <v>2</v>
      </c>
      <c r="H40" s="101">
        <f>'賓果 - 1分4卡'!F79</f>
        <v>20</v>
      </c>
      <c r="I40" s="101">
        <f t="shared" si="5"/>
        <v>0.2009235704</v>
      </c>
      <c r="J40" s="153">
        <f>E40*'賓果 - 1分4卡'!Y79</f>
        <v>25.1154463</v>
      </c>
      <c r="K40" s="154">
        <v>2.0</v>
      </c>
      <c r="L40" s="101">
        <f>'賓果 - 1分20卡'!F79</f>
        <v>20</v>
      </c>
      <c r="M40" s="101">
        <f t="shared" si="6"/>
        <v>0.2009235704</v>
      </c>
      <c r="N40" s="153">
        <f>E40*'賓果 - 1分20卡'!Y79</f>
        <v>25.1154463</v>
      </c>
    </row>
    <row r="41" ht="16.5" customHeight="1">
      <c r="A41" s="22" t="str">
        <f>'試算-SLOT'!A27</f>
        <v>IDRO</v>
      </c>
      <c r="B41" s="108" t="str">
        <f>'試算-SLOT'!B27</f>
        <v>Rp</v>
      </c>
      <c r="C41" s="22" t="str">
        <f>'試算-SLOT'!C27</f>
        <v>印尼盧比</v>
      </c>
      <c r="D41" s="22">
        <v>1.0</v>
      </c>
      <c r="E41" s="150">
        <f>IFERROR(__xludf.DUMMYFUNCTION("GOOGLEFINANCE(""Currency:""&amp;A41&amp;""TWD"")*D41"),0.0020212253)</f>
        <v>0.0020212253</v>
      </c>
      <c r="F41" s="151">
        <f t="shared" si="3"/>
        <v>49.47493978</v>
      </c>
      <c r="G41" s="152">
        <f t="shared" si="4"/>
        <v>20</v>
      </c>
      <c r="H41" s="101">
        <f>'賓果 - 1分4卡'!F80</f>
        <v>200</v>
      </c>
      <c r="I41" s="101">
        <f t="shared" si="5"/>
        <v>0.40424506</v>
      </c>
      <c r="J41" s="153">
        <f>E41*'賓果 - 1分4卡'!Y80</f>
        <v>50.5306325</v>
      </c>
      <c r="K41" s="154">
        <v>20.0</v>
      </c>
      <c r="L41" s="101">
        <f>'賓果 - 1分20卡'!F80</f>
        <v>200</v>
      </c>
      <c r="M41" s="101">
        <f t="shared" si="6"/>
        <v>0.40424506</v>
      </c>
      <c r="N41" s="153">
        <f>E41*'賓果 - 1分20卡'!Y80</f>
        <v>50.5306325</v>
      </c>
    </row>
    <row r="42" ht="16.5" customHeight="1">
      <c r="A42" s="22" t="str">
        <f>'試算-SLOT'!A28</f>
        <v>RUB</v>
      </c>
      <c r="B42" s="108" t="str">
        <f>'試算-SLOT'!B28</f>
        <v>₽</v>
      </c>
      <c r="C42" s="22" t="str">
        <f>'試算-SLOT'!C28</f>
        <v>盧布</v>
      </c>
      <c r="D42" s="22">
        <v>1.0</v>
      </c>
      <c r="E42" s="150">
        <f>IFERROR(__xludf.DUMMYFUNCTION("GOOGLEFINANCE(""Currency:""&amp;A42&amp;""TWD"")*D42"),0.38030340490000003)</f>
        <v>0.3803034049</v>
      </c>
      <c r="F42" s="151">
        <f t="shared" si="3"/>
        <v>0.2629479482</v>
      </c>
      <c r="G42" s="152">
        <f t="shared" si="4"/>
        <v>0.1</v>
      </c>
      <c r="H42" s="101">
        <f>'賓果 - 1分4卡'!F81</f>
        <v>1</v>
      </c>
      <c r="I42" s="101">
        <f t="shared" si="5"/>
        <v>0.3803034049</v>
      </c>
      <c r="J42" s="153">
        <f>E42*'賓果 - 1分4卡'!Y81</f>
        <v>47.53792561</v>
      </c>
      <c r="K42" s="154">
        <v>0.1</v>
      </c>
      <c r="L42" s="101">
        <f>'賓果 - 1分20卡'!F81</f>
        <v>1</v>
      </c>
      <c r="M42" s="101">
        <f t="shared" si="6"/>
        <v>0.3803034049</v>
      </c>
      <c r="N42" s="153">
        <f>E42*'賓果 - 1分20卡'!Y81</f>
        <v>47.53792561</v>
      </c>
    </row>
    <row r="43" ht="16.5" customHeight="1">
      <c r="A43" s="22" t="str">
        <f>'試算-SLOT'!A29</f>
        <v>LKR</v>
      </c>
      <c r="B43" s="108" t="str">
        <f>'試算-SLOT'!B29</f>
        <v>₨</v>
      </c>
      <c r="C43" s="22" t="str">
        <f>'試算-SLOT'!C29</f>
        <v>斯里蘭卡盧比</v>
      </c>
      <c r="D43" s="22">
        <v>1.0</v>
      </c>
      <c r="E43" s="150">
        <f>IFERROR(__xludf.DUMMYFUNCTION("GOOGLEFINANCE(""Currency:""&amp;A43&amp;""TWD"")*D43"),0.1089863355)</f>
        <v>0.1089863355</v>
      </c>
      <c r="F43" s="151">
        <f t="shared" si="3"/>
        <v>0.9175462184</v>
      </c>
      <c r="G43" s="152">
        <f t="shared" si="4"/>
        <v>0.5</v>
      </c>
      <c r="H43" s="101">
        <f>'賓果 - 1分4卡'!F82</f>
        <v>5</v>
      </c>
      <c r="I43" s="101">
        <f t="shared" si="5"/>
        <v>0.5449316775</v>
      </c>
      <c r="J43" s="153">
        <f>E43*'賓果 - 1分4卡'!Y82</f>
        <v>68.11645969</v>
      </c>
      <c r="K43" s="154">
        <v>0.5</v>
      </c>
      <c r="L43" s="101">
        <f>'賓果 - 1分20卡'!F82</f>
        <v>5</v>
      </c>
      <c r="M43" s="101">
        <f t="shared" si="6"/>
        <v>0.5449316775</v>
      </c>
      <c r="N43" s="153">
        <f>E43*'賓果 - 1分20卡'!Y82</f>
        <v>68.11645969</v>
      </c>
    </row>
    <row r="44" ht="16.5" customHeight="1">
      <c r="A44" s="22" t="str">
        <f>'試算-SLOT'!A30</f>
        <v>ETB</v>
      </c>
      <c r="B44" s="108" t="str">
        <f>'試算-SLOT'!B30</f>
        <v>Br‎</v>
      </c>
      <c r="C44" s="22" t="str">
        <f>'試算-SLOT'!C30</f>
        <v>衣索比亞比爾</v>
      </c>
      <c r="D44" s="22">
        <v>1.0</v>
      </c>
      <c r="E44" s="150">
        <f>IFERROR(__xludf.DUMMYFUNCTION("GOOGLEFINANCE(""Currency:""&amp;A44&amp;""TWD"")*D44"),0.40621297)</f>
        <v>0.40621297</v>
      </c>
      <c r="F44" s="151">
        <f t="shared" si="3"/>
        <v>0.2461762853</v>
      </c>
      <c r="G44" s="152">
        <f t="shared" si="4"/>
        <v>0.05</v>
      </c>
      <c r="H44" s="101">
        <f>'賓果 - 1分4卡'!F83</f>
        <v>0.5</v>
      </c>
      <c r="I44" s="101">
        <f t="shared" si="5"/>
        <v>0.203106485</v>
      </c>
      <c r="J44" s="153">
        <f>E44*'賓果 - 1分4卡'!Y83</f>
        <v>25.38831063</v>
      </c>
      <c r="K44" s="154">
        <v>0.05</v>
      </c>
      <c r="L44" s="101">
        <f>'賓果 - 1分20卡'!F83</f>
        <v>0.5</v>
      </c>
      <c r="M44" s="101">
        <f t="shared" si="6"/>
        <v>0.203106485</v>
      </c>
      <c r="N44" s="153">
        <f>E44*'賓果 - 1分20卡'!Y83</f>
        <v>25.38831063</v>
      </c>
    </row>
    <row r="45" ht="16.5" customHeight="1">
      <c r="A45" s="22" t="str">
        <f>'試算-SLOT'!A31</f>
        <v>UGX</v>
      </c>
      <c r="B45" s="108" t="str">
        <f>'試算-SLOT'!B31</f>
        <v>USh</v>
      </c>
      <c r="C45" s="22" t="str">
        <f>'試算-SLOT'!C31</f>
        <v>烏干達先令</v>
      </c>
      <c r="D45" s="22">
        <v>1.0</v>
      </c>
      <c r="E45" s="150">
        <f>IFERROR(__xludf.DUMMYFUNCTION("GOOGLEFINANCE(""Currency:""&amp;A45&amp;""TWD"")*D45"),0.008830577639)</f>
        <v>0.008830577639</v>
      </c>
      <c r="F45" s="151">
        <f t="shared" si="3"/>
        <v>11.3242875</v>
      </c>
      <c r="G45" s="152">
        <f t="shared" si="4"/>
        <v>5</v>
      </c>
      <c r="H45" s="101">
        <f>'賓果 - 1分4卡'!F84</f>
        <v>50</v>
      </c>
      <c r="I45" s="101">
        <f t="shared" si="5"/>
        <v>0.441528882</v>
      </c>
      <c r="J45" s="153">
        <f>E45*'賓果 - 1分4卡'!Y84</f>
        <v>55.19111024</v>
      </c>
      <c r="K45" s="154">
        <v>5.0</v>
      </c>
      <c r="L45" s="101">
        <f>'賓果 - 1分20卡'!F84</f>
        <v>50</v>
      </c>
      <c r="M45" s="101">
        <f t="shared" si="6"/>
        <v>0.441528882</v>
      </c>
      <c r="N45" s="153">
        <f>E45*'賓果 - 1分20卡'!Y84</f>
        <v>55.19111024</v>
      </c>
    </row>
    <row r="46" ht="16.5" customHeight="1">
      <c r="A46" s="22" t="str">
        <f>'試算-SLOT'!A32</f>
        <v>EUR</v>
      </c>
      <c r="B46" s="108" t="str">
        <f>'試算-SLOT'!B32</f>
        <v>€</v>
      </c>
      <c r="C46" s="22" t="str">
        <f>'試算-SLOT'!C32</f>
        <v>歐元</v>
      </c>
      <c r="D46" s="22">
        <v>1.0</v>
      </c>
      <c r="E46" s="150">
        <f>IFERROR(__xludf.DUMMYFUNCTION("GOOGLEFINANCE(""Currency:""&amp;A46&amp;""TWD"")*D46"),35.66713672)</f>
        <v>35.66713672</v>
      </c>
      <c r="F46" s="151">
        <f t="shared" si="3"/>
        <v>0.002803701368</v>
      </c>
      <c r="G46" s="152">
        <f t="shared" si="4"/>
        <v>0.01</v>
      </c>
      <c r="H46" s="101">
        <f>'賓果 - 1分4卡'!F85</f>
        <v>0.1</v>
      </c>
      <c r="I46" s="101">
        <f t="shared" si="5"/>
        <v>3.566713672</v>
      </c>
      <c r="J46" s="153">
        <f>E46*'賓果 - 1分4卡'!Y85</f>
        <v>178.3356836</v>
      </c>
      <c r="K46" s="154">
        <v>0.01</v>
      </c>
      <c r="L46" s="101">
        <f>'賓果 - 1分20卡'!F85</f>
        <v>0.1</v>
      </c>
      <c r="M46" s="101">
        <f t="shared" si="6"/>
        <v>3.566713672</v>
      </c>
      <c r="N46" s="153">
        <f>E46*'賓果 - 1分20卡'!Y85</f>
        <v>178.3356836</v>
      </c>
    </row>
    <row r="47" ht="16.5" customHeight="1">
      <c r="A47" s="22" t="str">
        <f>'試算-SLOT'!A33</f>
        <v>ARS</v>
      </c>
      <c r="B47" s="108" t="str">
        <f>'試算-SLOT'!B33</f>
        <v>$</v>
      </c>
      <c r="C47" s="22" t="str">
        <f>'試算-SLOT'!C33</f>
        <v>阿根廷披索</v>
      </c>
      <c r="D47" s="22">
        <v>1.0</v>
      </c>
      <c r="E47" s="150">
        <f>IFERROR(__xludf.DUMMYFUNCTION("GOOGLEFINANCE(""Currency:""&amp;A47&amp;""TWD"")*D47"),0.03496154973)</f>
        <v>0.03496154973</v>
      </c>
      <c r="F47" s="151">
        <f t="shared" si="3"/>
        <v>2.860285107</v>
      </c>
      <c r="G47" s="152">
        <f t="shared" si="4"/>
        <v>0.25</v>
      </c>
      <c r="H47" s="101">
        <f>'賓果 - 1分4卡'!F86</f>
        <v>2.5</v>
      </c>
      <c r="I47" s="101">
        <f t="shared" si="5"/>
        <v>0.08740387433</v>
      </c>
      <c r="J47" s="153">
        <f>E47*'賓果 - 1分4卡'!Y86</f>
        <v>10.92548429</v>
      </c>
      <c r="K47" s="154">
        <v>0.25</v>
      </c>
      <c r="L47" s="101">
        <f>'賓果 - 1分20卡'!F86</f>
        <v>2.5</v>
      </c>
      <c r="M47" s="101">
        <f t="shared" si="6"/>
        <v>0.08740387433</v>
      </c>
      <c r="N47" s="153">
        <f>E47*'賓果 - 1分20卡'!Y86</f>
        <v>10.92548429</v>
      </c>
    </row>
    <row r="48" ht="16.5" customHeight="1">
      <c r="A48" s="22" t="str">
        <f>'試算-SLOT'!A34</f>
        <v>NGN</v>
      </c>
      <c r="B48" s="108" t="str">
        <f>'試算-SLOT'!B34</f>
        <v>₦</v>
      </c>
      <c r="C48" s="22" t="str">
        <f>'試算-SLOT'!C34</f>
        <v>奈及利亞奈拉</v>
      </c>
      <c r="D48" s="22">
        <v>1.0</v>
      </c>
      <c r="E48" s="150">
        <f>IFERROR(__xludf.DUMMYFUNCTION("GOOGLEFINANCE(""Currency:""&amp;A48&amp;""TWD"")*D48"),0.020250863039999997)</f>
        <v>0.02025086304</v>
      </c>
      <c r="F48" s="151">
        <f t="shared" si="3"/>
        <v>4.938061148</v>
      </c>
      <c r="G48" s="152">
        <f t="shared" si="4"/>
        <v>1</v>
      </c>
      <c r="H48" s="101">
        <f>'賓果 - 1分4卡'!F87</f>
        <v>10</v>
      </c>
      <c r="I48" s="101">
        <f t="shared" si="5"/>
        <v>0.2025086304</v>
      </c>
      <c r="J48" s="153">
        <f>E48*'賓果 - 1分4卡'!Y87</f>
        <v>25.3135788</v>
      </c>
      <c r="K48" s="154">
        <v>1.0</v>
      </c>
      <c r="L48" s="101">
        <f>'賓果 - 1分20卡'!F87</f>
        <v>10</v>
      </c>
      <c r="M48" s="101">
        <f t="shared" si="6"/>
        <v>0.2025086304</v>
      </c>
      <c r="N48" s="153">
        <f>E48*'賓果 - 1分20卡'!Y87</f>
        <v>25.3135788</v>
      </c>
    </row>
    <row r="49" ht="16.5" customHeight="1">
      <c r="A49" s="22" t="str">
        <f>'試算-SLOT'!A35</f>
        <v>KES</v>
      </c>
      <c r="B49" s="108" t="str">
        <f>'試算-SLOT'!B35</f>
        <v>KSh</v>
      </c>
      <c r="C49" s="22" t="str">
        <f>'試算-SLOT'!C35</f>
        <v>肯亞先令</v>
      </c>
      <c r="D49" s="22">
        <v>1.0</v>
      </c>
      <c r="E49" s="150">
        <f>IFERROR(__xludf.DUMMYFUNCTION("GOOGLEFINANCE(""Currency:""&amp;A49&amp;""TWD"")*D49"),0.25317521530000003)</f>
        <v>0.2531752153</v>
      </c>
      <c r="F49" s="151">
        <f t="shared" si="3"/>
        <v>0.394983371</v>
      </c>
      <c r="G49" s="152">
        <f t="shared" si="4"/>
        <v>0.2</v>
      </c>
      <c r="H49" s="101">
        <f>'賓果 - 1分4卡'!F88</f>
        <v>2</v>
      </c>
      <c r="I49" s="101">
        <f t="shared" si="5"/>
        <v>0.5063504306</v>
      </c>
      <c r="J49" s="153">
        <f>E49*'賓果 - 1分4卡'!Y88</f>
        <v>63.29380383</v>
      </c>
      <c r="K49" s="154">
        <v>0.2</v>
      </c>
      <c r="L49" s="101">
        <f>'賓果 - 1分20卡'!F88</f>
        <v>2</v>
      </c>
      <c r="M49" s="101">
        <f t="shared" si="6"/>
        <v>0.5063504306</v>
      </c>
      <c r="N49" s="153">
        <f>E49*'賓果 - 1分20卡'!Y88</f>
        <v>63.29380383</v>
      </c>
    </row>
    <row r="50" ht="16.5" customHeight="1">
      <c r="A50" s="22" t="str">
        <f>'試算-SLOT'!A36</f>
        <v>ZAR</v>
      </c>
      <c r="B50" s="108" t="str">
        <f>'試算-SLOT'!B36</f>
        <v>R</v>
      </c>
      <c r="C50" s="22" t="str">
        <f>'試算-SLOT'!C36</f>
        <v>南非鍰</v>
      </c>
      <c r="D50" s="22">
        <v>1.0</v>
      </c>
      <c r="E50" s="150">
        <f>IFERROR(__xludf.DUMMYFUNCTION("GOOGLEFINANCE(""Currency:""&amp;A50&amp;""TWD"")*D50"),1.7720687490000002)</f>
        <v>1.772068749</v>
      </c>
      <c r="F50" s="151">
        <f t="shared" si="3"/>
        <v>0.05643121919</v>
      </c>
      <c r="G50" s="152">
        <f t="shared" si="4"/>
        <v>0.02</v>
      </c>
      <c r="H50" s="101">
        <f>'賓果 - 1分4卡'!F89</f>
        <v>0.2</v>
      </c>
      <c r="I50" s="101">
        <f t="shared" si="5"/>
        <v>0.3544137498</v>
      </c>
      <c r="J50" s="153">
        <f>E50*'賓果 - 1分4卡'!Y89</f>
        <v>44.30171873</v>
      </c>
      <c r="K50" s="154">
        <v>0.02</v>
      </c>
      <c r="L50" s="101">
        <f>'賓果 - 1分20卡'!F89</f>
        <v>0.2</v>
      </c>
      <c r="M50" s="101">
        <f t="shared" si="6"/>
        <v>0.3544137498</v>
      </c>
      <c r="N50" s="153">
        <f>E50*'賓果 - 1分20卡'!Y89</f>
        <v>44.30171873</v>
      </c>
    </row>
    <row r="51" ht="16.5" customHeight="1">
      <c r="A51" s="22" t="str">
        <f>'試算-SLOT'!A37</f>
        <v>TRY</v>
      </c>
      <c r="B51" s="108" t="str">
        <f>'試算-SLOT'!B37</f>
        <v>₺</v>
      </c>
      <c r="C51" s="22" t="str">
        <f>'試算-SLOT'!C37</f>
        <v>土耳其里拉</v>
      </c>
      <c r="D51" s="22">
        <v>1.0</v>
      </c>
      <c r="E51" s="150">
        <f>IFERROR(__xludf.DUMMYFUNCTION("GOOGLEFINANCE(""Currency:""&amp;A51&amp;""TWD"")*D51"),0.9807094656)</f>
        <v>0.9807094656</v>
      </c>
      <c r="F51" s="151">
        <f t="shared" si="3"/>
        <v>0.1019669979</v>
      </c>
      <c r="G51" s="152">
        <f t="shared" si="4"/>
        <v>0.04</v>
      </c>
      <c r="H51" s="101">
        <f>'賓果 - 1分4卡'!F90</f>
        <v>0.4</v>
      </c>
      <c r="I51" s="101">
        <f t="shared" si="5"/>
        <v>0.3922837862</v>
      </c>
      <c r="J51" s="153">
        <f>E51*'賓果 - 1分4卡'!Y90</f>
        <v>49.03547328</v>
      </c>
      <c r="K51" s="154">
        <v>0.04</v>
      </c>
      <c r="L51" s="101">
        <f>'賓果 - 1分20卡'!F90</f>
        <v>0.4</v>
      </c>
      <c r="M51" s="101">
        <f t="shared" si="6"/>
        <v>0.3922837862</v>
      </c>
      <c r="N51" s="153">
        <f>E51*'賓果 - 1分20卡'!Y90</f>
        <v>49.03547328</v>
      </c>
    </row>
    <row r="52" ht="16.5" customHeight="1">
      <c r="A52" s="22" t="str">
        <f>'試算-SLOT'!A38</f>
        <v>GBP</v>
      </c>
      <c r="B52" s="108" t="str">
        <f>'試算-SLOT'!B38</f>
        <v>£</v>
      </c>
      <c r="C52" s="22" t="str">
        <f>'試算-SLOT'!C38</f>
        <v>英鎊</v>
      </c>
      <c r="D52" s="22">
        <v>1.0</v>
      </c>
      <c r="E52" s="150">
        <f>IFERROR(__xludf.DUMMYFUNCTION("GOOGLEFINANCE(""Currency:""&amp;A52&amp;""TWD"")*D52"),41.71484)</f>
        <v>41.71484</v>
      </c>
      <c r="F52" s="151">
        <f t="shared" si="3"/>
        <v>0.00239722842</v>
      </c>
      <c r="G52" s="152">
        <f t="shared" si="4"/>
        <v>0.01</v>
      </c>
      <c r="H52" s="101">
        <f>'賓果 - 1分4卡'!F91</f>
        <v>0.1</v>
      </c>
      <c r="I52" s="101">
        <f t="shared" si="5"/>
        <v>4.171484</v>
      </c>
      <c r="J52" s="153">
        <f>E52*'賓果 - 1分4卡'!Y91</f>
        <v>208.5742</v>
      </c>
      <c r="K52" s="154">
        <v>0.01</v>
      </c>
      <c r="L52" s="101">
        <f>'賓果 - 1分20卡'!F91</f>
        <v>0.1</v>
      </c>
      <c r="M52" s="101">
        <f t="shared" si="6"/>
        <v>4.171484</v>
      </c>
      <c r="N52" s="153">
        <f>E52*'賓果 - 1分20卡'!Y91</f>
        <v>208.5742</v>
      </c>
    </row>
    <row r="53" ht="16.5" customHeight="1">
      <c r="A53" s="22" t="str">
        <f>'試算-SLOT'!A39</f>
        <v>NPR</v>
      </c>
      <c r="B53" s="108" t="str">
        <f>'試算-SLOT'!B39</f>
        <v>रू</v>
      </c>
      <c r="C53" s="22" t="str">
        <f>'試算-SLOT'!C39</f>
        <v>尼泊爾盧比</v>
      </c>
      <c r="D53" s="22">
        <v>1.0</v>
      </c>
      <c r="E53" s="150">
        <f>IFERROR(__xludf.DUMMYFUNCTION("GOOGLEFINANCE(""Currency:""&amp;A53&amp;""TWD"")*D53"),0.2456753721)</f>
        <v>0.2456753721</v>
      </c>
      <c r="F53" s="151">
        <f t="shared" si="3"/>
        <v>0.407041207</v>
      </c>
      <c r="G53" s="152">
        <f t="shared" si="4"/>
        <v>0.2</v>
      </c>
      <c r="H53" s="101">
        <f>'賓果 - 1分4卡'!F92</f>
        <v>2</v>
      </c>
      <c r="I53" s="101">
        <f t="shared" si="5"/>
        <v>0.4913507442</v>
      </c>
      <c r="J53" s="153">
        <f>E53*'賓果 - 1分4卡'!Y92</f>
        <v>61.41884303</v>
      </c>
      <c r="K53" s="154">
        <v>0.2</v>
      </c>
      <c r="L53" s="101">
        <f>'賓果 - 1分20卡'!F92</f>
        <v>2</v>
      </c>
      <c r="M53" s="101">
        <f t="shared" si="6"/>
        <v>0.4913507442</v>
      </c>
      <c r="N53" s="153">
        <f>E53*'賓果 - 1分20卡'!Y92</f>
        <v>61.41884303</v>
      </c>
    </row>
    <row r="54" ht="16.5" customHeight="1">
      <c r="A54" s="22" t="str">
        <f>'試算-SLOT'!A40</f>
        <v>CHF</v>
      </c>
      <c r="B54" s="108" t="str">
        <f>'試算-SLOT'!B40</f>
        <v>CHF</v>
      </c>
      <c r="C54" s="22" t="str">
        <f>'試算-SLOT'!C40</f>
        <v>瑞士法郎</v>
      </c>
      <c r="D54" s="22">
        <v>1.0</v>
      </c>
      <c r="E54" s="150">
        <f>IFERROR(__xludf.DUMMYFUNCTION("GOOGLEFINANCE(""Currency:""&amp;A54&amp;""TWD"")*D54"),38.475880000000004)</f>
        <v>38.47588</v>
      </c>
      <c r="F54" s="151">
        <f t="shared" si="3"/>
        <v>0.002599030873</v>
      </c>
      <c r="G54" s="152">
        <f t="shared" si="4"/>
        <v>0.01</v>
      </c>
      <c r="H54" s="101">
        <f>'賓果 - 1分4卡'!F93</f>
        <v>0.1</v>
      </c>
      <c r="I54" s="101">
        <f t="shared" si="5"/>
        <v>3.847588</v>
      </c>
      <c r="J54" s="153">
        <f>E54*'賓果 - 1分4卡'!Y93</f>
        <v>192.3794</v>
      </c>
      <c r="K54" s="154">
        <v>0.01</v>
      </c>
      <c r="L54" s="101">
        <f>'賓果 - 1分20卡'!F93</f>
        <v>0.1</v>
      </c>
      <c r="M54" s="101">
        <f t="shared" si="6"/>
        <v>3.847588</v>
      </c>
      <c r="N54" s="153">
        <f>E54*'賓果 - 1分20卡'!Y93</f>
        <v>192.3794</v>
      </c>
    </row>
    <row r="55" ht="16.5" customHeight="1">
      <c r="A55" s="22" t="str">
        <f>'試算-SLOT'!A41</f>
        <v>CAD</v>
      </c>
      <c r="B55" s="108" t="str">
        <f>'試算-SLOT'!B41</f>
        <v>$</v>
      </c>
      <c r="C55" s="22" t="str">
        <f>'試算-SLOT'!C41</f>
        <v>加幣</v>
      </c>
      <c r="D55" s="22">
        <v>1.0</v>
      </c>
      <c r="E55" s="150">
        <f>IFERROR(__xludf.DUMMYFUNCTION("GOOGLEFINANCE(""Currency:""&amp;A55&amp;""TWD"")*D55"),23.491886570000002)</f>
        <v>23.49188657</v>
      </c>
      <c r="F55" s="151">
        <f t="shared" si="3"/>
        <v>0.004256788815</v>
      </c>
      <c r="G55" s="152">
        <f t="shared" si="4"/>
        <v>0.01</v>
      </c>
      <c r="H55" s="101">
        <f>'賓果 - 1分4卡'!F94</f>
        <v>0.1</v>
      </c>
      <c r="I55" s="101">
        <f t="shared" si="5"/>
        <v>2.349188657</v>
      </c>
      <c r="J55" s="153">
        <f>E55*'賓果 - 1分4卡'!Y94</f>
        <v>117.4594329</v>
      </c>
      <c r="K55" s="154">
        <v>0.01</v>
      </c>
      <c r="L55" s="101">
        <f>'賓果 - 1分20卡'!F94</f>
        <v>0.1</v>
      </c>
      <c r="M55" s="101">
        <f t="shared" si="6"/>
        <v>2.349188657</v>
      </c>
      <c r="N55" s="153">
        <f>E55*'賓果 - 1分20卡'!Y94</f>
        <v>117.4594329</v>
      </c>
    </row>
    <row r="56" ht="16.5" customHeight="1">
      <c r="A56" s="22" t="str">
        <f>'試算-SLOT'!A42</f>
        <v>PEN</v>
      </c>
      <c r="B56" s="108" t="str">
        <f>'試算-SLOT'!B42</f>
        <v>PEN</v>
      </c>
      <c r="C56" s="22" t="str">
        <f>'試算-SLOT'!C42</f>
        <v>秘魯新索爾</v>
      </c>
      <c r="D56" s="22">
        <v>1.0</v>
      </c>
      <c r="E56" s="150">
        <f>IFERROR(__xludf.DUMMYFUNCTION("GOOGLEFINANCE(""Currency:""&amp;A56&amp;""TWD"")*D56"),8.792228248)</f>
        <v>8.792228248</v>
      </c>
      <c r="F56" s="151">
        <f t="shared" si="3"/>
        <v>0.01137368107</v>
      </c>
      <c r="G56" s="152">
        <f t="shared" si="4"/>
        <v>0.01</v>
      </c>
      <c r="H56" s="101">
        <f>'賓果 - 1分4卡'!F95</f>
        <v>0.1</v>
      </c>
      <c r="I56" s="101">
        <f t="shared" si="5"/>
        <v>0.8792228248</v>
      </c>
      <c r="J56" s="153">
        <f>E56*'賓果 - 1分4卡'!Y95</f>
        <v>109.9028531</v>
      </c>
      <c r="K56" s="154">
        <v>0.01</v>
      </c>
      <c r="L56" s="101">
        <f>'賓果 - 1分20卡'!F95</f>
        <v>0.1</v>
      </c>
      <c r="M56" s="101">
        <f t="shared" si="6"/>
        <v>0.8792228248</v>
      </c>
      <c r="N56" s="153">
        <f>E56*'賓果 - 1分20卡'!Y95</f>
        <v>109.9028531</v>
      </c>
    </row>
    <row r="57" ht="16.5" customHeight="1">
      <c r="A57" s="22" t="str">
        <f>'試算-SLOT'!A43</f>
        <v>AED</v>
      </c>
      <c r="B57" s="108" t="str">
        <f>'試算-SLOT'!B43</f>
        <v>AED</v>
      </c>
      <c r="C57" s="22" t="str">
        <f>'試算-SLOT'!C43</f>
        <v>阿聯迪拉姆</v>
      </c>
      <c r="D57" s="22">
        <v>1.0</v>
      </c>
      <c r="E57" s="150">
        <f>IFERROR(__xludf.DUMMYFUNCTION("GOOGLEFINANCE(""Currency:""&amp;A57&amp;""TWD"")*D57"),8.883345066)</f>
        <v>8.883345066</v>
      </c>
      <c r="F57" s="151">
        <f t="shared" si="3"/>
        <v>0.01125702078</v>
      </c>
      <c r="G57" s="152">
        <f t="shared" si="4"/>
        <v>0.01</v>
      </c>
      <c r="H57" s="101">
        <f>'賓果 - 1分4卡'!F96</f>
        <v>0.1</v>
      </c>
      <c r="I57" s="101">
        <f t="shared" si="5"/>
        <v>0.8883345066</v>
      </c>
      <c r="J57" s="153">
        <f>E57*'賓果 - 1分4卡'!Y96</f>
        <v>111.0418133</v>
      </c>
      <c r="K57" s="154">
        <v>0.01</v>
      </c>
      <c r="L57" s="101">
        <f>'賓果 - 1分20卡'!F96</f>
        <v>0.1</v>
      </c>
      <c r="M57" s="101">
        <f t="shared" si="6"/>
        <v>0.8883345066</v>
      </c>
      <c r="N57" s="153">
        <f>E57*'賓果 - 1分20卡'!Y96</f>
        <v>111.0418133</v>
      </c>
    </row>
    <row r="58" ht="16.5" customHeight="1">
      <c r="A58" s="22" t="str">
        <f>'試算-SLOT'!A44</f>
        <v>BND</v>
      </c>
      <c r="B58" s="108" t="str">
        <f>'試算-SLOT'!B44</f>
        <v>B$</v>
      </c>
      <c r="C58" s="22" t="str">
        <f>'試算-SLOT'!C44</f>
        <v>汶萊幣</v>
      </c>
      <c r="D58" s="22">
        <v>1.0</v>
      </c>
      <c r="E58" s="150">
        <f>IFERROR(__xludf.DUMMYFUNCTION("GOOGLEFINANCE(""Currency:""&amp;A58&amp;""TWD"")*D58"),24.725020960000002)</f>
        <v>24.72502096</v>
      </c>
      <c r="F58" s="151">
        <f t="shared" si="3"/>
        <v>0.004044485955</v>
      </c>
      <c r="G58" s="152">
        <f t="shared" si="4"/>
        <v>0.01</v>
      </c>
      <c r="H58" s="101">
        <f>'賓果 - 1分4卡'!F97</f>
        <v>0.1</v>
      </c>
      <c r="I58" s="101">
        <f t="shared" si="5"/>
        <v>2.472502096</v>
      </c>
      <c r="J58" s="153">
        <f>E58*'賓果 - 1分4卡'!Y97</f>
        <v>123.6251048</v>
      </c>
      <c r="K58" s="154">
        <v>0.01</v>
      </c>
      <c r="L58" s="101">
        <f>'賓果 - 1分20卡'!F97</f>
        <v>0.1</v>
      </c>
      <c r="M58" s="101">
        <f t="shared" si="6"/>
        <v>2.472502096</v>
      </c>
      <c r="N58" s="153">
        <f>E58*'賓果 - 1分20卡'!Y97</f>
        <v>123.6251048</v>
      </c>
    </row>
    <row r="59" ht="16.5" customHeight="1">
      <c r="A59" s="22" t="str">
        <f>'試算-SLOT'!A45</f>
        <v>COP</v>
      </c>
      <c r="B59" s="108" t="str">
        <f>'試算-SLOT'!B45</f>
        <v>$</v>
      </c>
      <c r="C59" s="22" t="str">
        <f>'試算-SLOT'!C45</f>
        <v>哥倫比亞披索</v>
      </c>
      <c r="D59" s="22">
        <v>1.0</v>
      </c>
      <c r="E59" s="150">
        <f>IFERROR(__xludf.DUMMYFUNCTION("GOOGLEFINANCE(""Currency:""&amp;A59&amp;""TWD"")*D59"),0.008063120253)</f>
        <v>0.008063120253</v>
      </c>
      <c r="F59" s="151">
        <f t="shared" si="3"/>
        <v>12.40214667</v>
      </c>
      <c r="G59" s="152">
        <f t="shared" si="4"/>
        <v>5</v>
      </c>
      <c r="H59" s="101">
        <f>'賓果 - 1分4卡'!F98</f>
        <v>50</v>
      </c>
      <c r="I59" s="101">
        <f t="shared" si="5"/>
        <v>0.4031560127</v>
      </c>
      <c r="J59" s="153">
        <f>E59*'賓果 - 1分4卡'!Y98</f>
        <v>50.39450158</v>
      </c>
      <c r="K59" s="154">
        <v>5.0</v>
      </c>
      <c r="L59" s="101">
        <f>'賓果 - 1分20卡'!F98</f>
        <v>50</v>
      </c>
      <c r="M59" s="101">
        <f t="shared" si="6"/>
        <v>0.4031560127</v>
      </c>
      <c r="N59" s="153">
        <f>E59*'賓果 - 1分20卡'!Y98</f>
        <v>50.39450158</v>
      </c>
    </row>
    <row r="60" ht="16.5" customHeight="1">
      <c r="A60" s="22" t="str">
        <f>'試算-SLOT'!A46</f>
        <v>VNDO</v>
      </c>
      <c r="B60" s="108" t="str">
        <f>'試算-SLOT'!B46</f>
        <v>₫</v>
      </c>
      <c r="C60" s="22" t="str">
        <f>'試算-SLOT'!C46</f>
        <v>越南盾</v>
      </c>
      <c r="D60" s="22">
        <v>1.0</v>
      </c>
      <c r="E60" s="150">
        <f>IFERROR(__xludf.DUMMYFUNCTION("GOOGLEFINANCE(""Currency:""&amp;A60&amp;""TWD"")*D60"),0.0013009686279999999)</f>
        <v>0.001300968628</v>
      </c>
      <c r="F60" s="151">
        <f t="shared" si="3"/>
        <v>76.86580433</v>
      </c>
      <c r="G60" s="152">
        <f t="shared" si="4"/>
        <v>40</v>
      </c>
      <c r="H60" s="101">
        <f>'賓果 - 1分4卡'!F99</f>
        <v>400</v>
      </c>
      <c r="I60" s="101">
        <f t="shared" si="5"/>
        <v>0.5203874512</v>
      </c>
      <c r="J60" s="153">
        <f>E60*'賓果 - 1分4卡'!Y99</f>
        <v>65.0484314</v>
      </c>
      <c r="K60" s="154">
        <v>40.0</v>
      </c>
      <c r="L60" s="101">
        <f>'賓果 - 1分20卡'!F99</f>
        <v>400</v>
      </c>
      <c r="M60" s="101">
        <f t="shared" si="6"/>
        <v>0.5203874512</v>
      </c>
      <c r="N60" s="153">
        <f>E60*'賓果 - 1分20卡'!Y99</f>
        <v>65.0484314</v>
      </c>
    </row>
    <row r="61" ht="16.5" customHeight="1">
      <c r="A61" s="22" t="s">
        <v>196</v>
      </c>
      <c r="B61" s="97" t="s">
        <v>102</v>
      </c>
      <c r="C61" s="22" t="s">
        <v>103</v>
      </c>
      <c r="D61" s="22">
        <v>0.01</v>
      </c>
      <c r="E61" s="71">
        <f>IFERROR(__xludf.DUMMYFUNCTION("GOOGLEFINANCE(""Currency:""&amp;A61&amp;""TWD"")*D61"),0.0741468329)</f>
        <v>0.0741468329</v>
      </c>
      <c r="F61" s="151">
        <f t="shared" si="3"/>
        <v>1.348675272</v>
      </c>
      <c r="G61" s="152">
        <f t="shared" si="4"/>
        <v>1</v>
      </c>
      <c r="H61" s="101">
        <f>'賓果 - 1分4卡'!F100</f>
        <v>10</v>
      </c>
      <c r="I61" s="101">
        <f t="shared" si="5"/>
        <v>0.741468329</v>
      </c>
      <c r="J61" s="153">
        <f>E61*'賓果 - 1分4卡'!Y100</f>
        <v>92.68354113</v>
      </c>
      <c r="K61" s="154">
        <v>1.0</v>
      </c>
      <c r="L61" s="101">
        <f>'賓果 - 1分20卡'!F100</f>
        <v>10</v>
      </c>
      <c r="M61" s="101">
        <f t="shared" si="6"/>
        <v>0.741468329</v>
      </c>
      <c r="N61" s="153">
        <f>E61*'賓果 - 1分20卡'!Y100</f>
        <v>92.68354113</v>
      </c>
    </row>
    <row r="62" ht="16.5" customHeight="1">
      <c r="A62" s="22" t="str">
        <f>'試算-SLOT'!A48</f>
        <v>XSD</v>
      </c>
      <c r="B62" s="22" t="str">
        <f>'試算-SLOT'!B48</f>
        <v/>
      </c>
      <c r="C62" s="22" t="str">
        <f>'試算-SLOT'!C48</f>
        <v>星幣</v>
      </c>
      <c r="D62" s="22">
        <f>'試算-SLOT'!D48</f>
        <v>1</v>
      </c>
      <c r="E62" s="155">
        <f>'試算-SLOT'!E48</f>
        <v>0.01</v>
      </c>
      <c r="F62" s="151">
        <f t="shared" si="3"/>
        <v>10</v>
      </c>
      <c r="G62" s="152">
        <f t="shared" si="4"/>
        <v>10</v>
      </c>
      <c r="H62" s="101">
        <f>'賓果 - 1分4卡'!F101</f>
        <v>100</v>
      </c>
      <c r="I62" s="101">
        <f t="shared" si="5"/>
        <v>1</v>
      </c>
      <c r="J62" s="153">
        <f>E62*'賓果 - 1分4卡'!Y101</f>
        <v>125</v>
      </c>
      <c r="K62" s="154">
        <v>10.0</v>
      </c>
      <c r="L62" s="101">
        <f>'賓果 - 1分20卡'!F101</f>
        <v>100</v>
      </c>
      <c r="M62" s="101">
        <f t="shared" si="6"/>
        <v>1</v>
      </c>
      <c r="N62" s="153">
        <f>E62*'賓果 - 1分20卡'!Y101</f>
        <v>125</v>
      </c>
    </row>
    <row r="63" ht="16.5" customHeight="1">
      <c r="A63" s="22" t="str">
        <f>'試算-SLOT'!A49</f>
        <v>DZD</v>
      </c>
      <c r="B63" s="108" t="str">
        <f>'試算-SLOT'!B49</f>
        <v>دج</v>
      </c>
      <c r="C63" s="22" t="str">
        <f>'試算-SLOT'!C49</f>
        <v>阿爾及利亞第納爾</v>
      </c>
      <c r="D63" s="22">
        <f>'試算-SLOT'!D49</f>
        <v>1</v>
      </c>
      <c r="E63" s="71">
        <f>'試算-SLOT'!E49</f>
        <v>0.2429701866</v>
      </c>
      <c r="F63" s="151">
        <f t="shared" si="3"/>
        <v>0.4115731292</v>
      </c>
      <c r="G63" s="152">
        <f t="shared" si="4"/>
        <v>0.2</v>
      </c>
      <c r="H63" s="101">
        <f>'賓果 - 1分4卡'!F102</f>
        <v>2</v>
      </c>
      <c r="I63" s="101">
        <f t="shared" si="5"/>
        <v>0.4859403732</v>
      </c>
      <c r="J63" s="153">
        <f>E63*'賓果 - 1分4卡'!Y102</f>
        <v>60.74254665</v>
      </c>
      <c r="K63" s="154">
        <v>0.2</v>
      </c>
      <c r="L63" s="101">
        <f>'賓果 - 1分20卡'!F102</f>
        <v>2</v>
      </c>
      <c r="M63" s="101">
        <f t="shared" si="6"/>
        <v>0.4859403732</v>
      </c>
      <c r="N63" s="153">
        <f>E63*'賓果 - 1分20卡'!Y102</f>
        <v>60.74254665</v>
      </c>
    </row>
    <row r="64" ht="16.5" customHeight="1">
      <c r="A64" s="22" t="str">
        <f>'試算-SLOT'!A50</f>
        <v>MAD</v>
      </c>
      <c r="B64" s="108" t="str">
        <f>'試算-SLOT'!B50</f>
        <v>DH</v>
      </c>
      <c r="C64" s="22" t="str">
        <f>'試算-SLOT'!C50</f>
        <v>摩洛哥迪拉姆</v>
      </c>
      <c r="D64" s="22">
        <f>'試算-SLOT'!D50</f>
        <v>1</v>
      </c>
      <c r="E64" s="71">
        <f>'試算-SLOT'!E50</f>
        <v>3.33424356</v>
      </c>
      <c r="F64" s="151">
        <f t="shared" si="3"/>
        <v>0.0299918102</v>
      </c>
      <c r="G64" s="152">
        <f t="shared" si="4"/>
        <v>0.02</v>
      </c>
      <c r="H64" s="101">
        <f>'賓果 - 1分4卡'!F103</f>
        <v>0.2</v>
      </c>
      <c r="I64" s="101">
        <f t="shared" si="5"/>
        <v>0.666848712</v>
      </c>
      <c r="J64" s="153">
        <f>E64*'賓果 - 1分4卡'!Y103</f>
        <v>83.356089</v>
      </c>
      <c r="K64" s="154">
        <v>0.02</v>
      </c>
      <c r="L64" s="101">
        <f>'賓果 - 1分20卡'!F103</f>
        <v>0.2</v>
      </c>
      <c r="M64" s="101">
        <f t="shared" si="6"/>
        <v>0.666848712</v>
      </c>
      <c r="N64" s="153">
        <f>E64*'賓果 - 1分20卡'!Y103</f>
        <v>83.356089</v>
      </c>
    </row>
    <row r="65" ht="16.5" customHeight="1">
      <c r="A65" s="22" t="str">
        <f>'試算-SLOT'!A51</f>
        <v>FRF</v>
      </c>
      <c r="B65" s="108" t="str">
        <f>'試算-SLOT'!B51</f>
        <v>₣</v>
      </c>
      <c r="C65" s="22" t="str">
        <f>'試算-SLOT'!C51</f>
        <v>法國法郎</v>
      </c>
      <c r="D65" s="22">
        <f>'試算-SLOT'!D51</f>
        <v>1</v>
      </c>
      <c r="E65" s="71">
        <f>'試算-SLOT'!E51</f>
        <v>5.1</v>
      </c>
      <c r="F65" s="151">
        <f t="shared" si="3"/>
        <v>0.01960784314</v>
      </c>
      <c r="G65" s="152">
        <f t="shared" si="4"/>
        <v>0.01</v>
      </c>
      <c r="H65" s="101">
        <f>'賓果 - 1分4卡'!F104</f>
        <v>0.1</v>
      </c>
      <c r="I65" s="101">
        <f t="shared" si="5"/>
        <v>0.51</v>
      </c>
      <c r="J65" s="153">
        <f>E65*'賓果 - 1分4卡'!Y104</f>
        <v>63.75</v>
      </c>
      <c r="K65" s="154">
        <v>0.01</v>
      </c>
      <c r="L65" s="101">
        <f>'賓果 - 1分20卡'!F104</f>
        <v>0.1</v>
      </c>
      <c r="M65" s="101">
        <f t="shared" si="6"/>
        <v>0.51</v>
      </c>
      <c r="N65" s="153">
        <f>E65*'賓果 - 1分20卡'!Y104</f>
        <v>63.75</v>
      </c>
    </row>
    <row r="66" ht="16.5" customHeight="1">
      <c r="A66" s="22" t="str">
        <f>'試算-SLOT'!A52</f>
        <v>GHS</v>
      </c>
      <c r="B66" s="108" t="str">
        <f>'試算-SLOT'!B52</f>
        <v>Gp</v>
      </c>
      <c r="C66" s="22" t="str">
        <f>'試算-SLOT'!C52</f>
        <v>迦納塞地</v>
      </c>
      <c r="D66" s="22">
        <f>'試算-SLOT'!D52</f>
        <v>1</v>
      </c>
      <c r="E66" s="71">
        <f>'試算-SLOT'!E52</f>
        <v>2.115176522</v>
      </c>
      <c r="F66" s="151">
        <f t="shared" si="3"/>
        <v>0.04727737802</v>
      </c>
      <c r="G66" s="152">
        <f t="shared" si="4"/>
        <v>0.02</v>
      </c>
      <c r="H66" s="101">
        <f>'賓果 - 1分4卡'!F105</f>
        <v>0.2</v>
      </c>
      <c r="I66" s="101">
        <f t="shared" si="5"/>
        <v>0.4230353044</v>
      </c>
      <c r="J66" s="153">
        <f>E66*'賓果 - 1分4卡'!Y105</f>
        <v>52.87941305</v>
      </c>
      <c r="K66" s="154">
        <v>0.02</v>
      </c>
      <c r="L66" s="101">
        <f>'賓果 - 1分20卡'!F105</f>
        <v>0.2</v>
      </c>
      <c r="M66" s="101">
        <f t="shared" si="6"/>
        <v>0.4230353044</v>
      </c>
      <c r="N66" s="153">
        <f>E66*'賓果 - 1分20卡'!Y105</f>
        <v>52.87941305</v>
      </c>
    </row>
    <row r="67" ht="16.5" customHeight="1">
      <c r="A67" s="22" t="str">
        <f>'試算-SLOT'!A53</f>
        <v>RCC</v>
      </c>
      <c r="B67" s="108" t="str">
        <f>'試算-SLOT'!B53</f>
        <v/>
      </c>
      <c r="C67" s="22" t="str">
        <f>'試算-SLOT'!C53</f>
        <v>RCC幣</v>
      </c>
      <c r="D67" s="22">
        <v>1.0</v>
      </c>
      <c r="E67" s="150">
        <f>IFERROR(__xludf.DUMMYFUNCTION("GOOGLEFINANCE(""Currency:""&amp;A27&amp;""TWD"")*D67"),32.6128)</f>
        <v>32.6128</v>
      </c>
      <c r="F67" s="151">
        <f t="shared" si="3"/>
        <v>0.003066280724</v>
      </c>
      <c r="G67" s="152">
        <f t="shared" si="4"/>
        <v>0.01</v>
      </c>
      <c r="H67" s="101">
        <f>'賓果 - 1分4卡'!F106</f>
        <v>0.1</v>
      </c>
      <c r="I67" s="101">
        <f t="shared" si="5"/>
        <v>3.26128</v>
      </c>
      <c r="J67" s="153">
        <f>E67*'賓果 - 1分4卡'!Y106</f>
        <v>163.064</v>
      </c>
      <c r="K67" s="154">
        <v>0.01</v>
      </c>
      <c r="L67" s="101">
        <f>'賓果 - 1分20卡'!F106</f>
        <v>0.1</v>
      </c>
      <c r="M67" s="101">
        <f t="shared" si="6"/>
        <v>3.26128</v>
      </c>
      <c r="N67" s="153">
        <f>E67*'賓果 - 1分20卡'!Y106</f>
        <v>163.064</v>
      </c>
    </row>
    <row r="68" ht="16.5" customHeight="1">
      <c r="A68" s="22" t="str">
        <f>'試算-SLOT'!A54</f>
        <v>KBB</v>
      </c>
      <c r="B68" s="108" t="str">
        <f>'試算-SLOT'!B54</f>
        <v/>
      </c>
      <c r="C68" s="22" t="str">
        <f>'試算-SLOT'!C54</f>
        <v>爸幣</v>
      </c>
      <c r="D68" s="22">
        <v>1.0</v>
      </c>
      <c r="E68" s="150">
        <f>IFERROR(__xludf.DUMMYFUNCTION("GOOGLEFINANCE(""Currency:""&amp;A28&amp;""TWD"")*D68"),0.2800025102)</f>
        <v>0.2800025102</v>
      </c>
      <c r="F68" s="151">
        <f t="shared" si="3"/>
        <v>0.3571396554</v>
      </c>
      <c r="G68" s="152">
        <f t="shared" si="4"/>
        <v>0.5</v>
      </c>
      <c r="H68" s="101">
        <f>'賓果 - 1分4卡'!F107</f>
        <v>5</v>
      </c>
      <c r="I68" s="101">
        <f t="shared" si="5"/>
        <v>1.400012551</v>
      </c>
      <c r="J68" s="153">
        <f>E68*'賓果 - 1分4卡'!Y107</f>
        <v>175.0015689</v>
      </c>
      <c r="K68" s="154">
        <v>0.5</v>
      </c>
      <c r="L68" s="101">
        <f>'賓果 - 1分20卡'!F107</f>
        <v>5</v>
      </c>
      <c r="M68" s="101">
        <f t="shared" si="6"/>
        <v>1.400012551</v>
      </c>
      <c r="N68" s="153">
        <f>E68*'賓果 - 1分20卡'!Y107</f>
        <v>175.0015689</v>
      </c>
    </row>
    <row r="69" ht="16.5" customHeight="1">
      <c r="A69" s="22" t="str">
        <f>'試算-SLOT'!A55</f>
        <v>XSMY</v>
      </c>
      <c r="B69" s="108" t="str">
        <f>'試算-SLOT'!B55</f>
        <v/>
      </c>
      <c r="C69" s="22" t="str">
        <f>'試算-SLOT'!C55</f>
        <v>星城馬來西亞</v>
      </c>
      <c r="D69" s="22">
        <v>1.0</v>
      </c>
      <c r="E69" s="150">
        <f>IFERROR(__xludf.DUMMYFUNCTION("GOOGLEFINANCE(""Currency:""&amp;A29&amp;""TWD"")*D69"),0.1181703056)</f>
        <v>0.1181703056</v>
      </c>
      <c r="F69" s="151">
        <f t="shared" si="3"/>
        <v>0.8462362815</v>
      </c>
      <c r="G69" s="152">
        <f t="shared" si="4"/>
        <v>10</v>
      </c>
      <c r="H69" s="101" t="str">
        <f>'賓果 - 1分4卡'!F109</f>
        <v/>
      </c>
      <c r="I69" s="101">
        <f t="shared" si="5"/>
        <v>0</v>
      </c>
      <c r="J69" s="153">
        <f>E69*'賓果 - 1分4卡'!Y109</f>
        <v>0</v>
      </c>
      <c r="K69" s="154">
        <v>10.0</v>
      </c>
      <c r="L69" s="101" t="str">
        <f>'賓果 - 1分20卡'!F109</f>
        <v/>
      </c>
      <c r="M69" s="101">
        <f t="shared" si="6"/>
        <v>0</v>
      </c>
      <c r="N69" s="153">
        <f>E69*'賓果 - 1分20卡'!Y109</f>
        <v>0</v>
      </c>
    </row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F16:J16"/>
    <mergeCell ref="F19:J19"/>
    <mergeCell ref="K19:N19"/>
  </mergeCells>
  <conditionalFormatting sqref="J20:J69 N20:N69">
    <cfRule type="cellIs" dxfId="0" priority="1" operator="greaterThan">
      <formula>400</formula>
    </cfRule>
  </conditionalFormatting>
  <conditionalFormatting sqref="N20:N69">
    <cfRule type="cellIs" dxfId="0" priority="2" operator="greaterThan">
      <formula>400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12.89"/>
    <col customWidth="1" min="4" max="4" width="6.89"/>
    <col customWidth="1" min="5" max="5" width="5.78"/>
    <col customWidth="1" min="6" max="10" width="7.22"/>
    <col customWidth="1" min="11" max="11" width="7.89"/>
    <col customWidth="1" min="12" max="21" width="8.0"/>
    <col customWidth="1" min="22" max="25" width="8.78"/>
    <col customWidth="1" min="26" max="26" width="6.33"/>
    <col customWidth="1" min="27" max="27" width="9.33"/>
    <col customWidth="1" min="28" max="35" width="6.33"/>
  </cols>
  <sheetData>
    <row r="1" ht="16.5" customHeight="1">
      <c r="A1" s="30"/>
      <c r="B1" s="31"/>
      <c r="C1" s="32" t="s">
        <v>43</v>
      </c>
      <c r="D1" s="33">
        <v>1.0</v>
      </c>
      <c r="E1" s="32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</row>
    <row r="2" ht="16.5" customHeight="1">
      <c r="A2" s="35"/>
      <c r="B2" s="36"/>
      <c r="C2" s="36"/>
      <c r="D2" s="36"/>
      <c r="E2" s="36"/>
      <c r="F2" s="126">
        <v>10.0</v>
      </c>
      <c r="G2" s="126">
        <v>20.0</v>
      </c>
      <c r="H2" s="126">
        <v>30.0</v>
      </c>
      <c r="I2" s="126">
        <v>40.0</v>
      </c>
      <c r="J2" s="126">
        <v>50.0</v>
      </c>
      <c r="K2" s="126">
        <v>60.0</v>
      </c>
      <c r="L2" s="126">
        <v>70.0</v>
      </c>
      <c r="M2" s="126">
        <v>80.0</v>
      </c>
      <c r="N2" s="126">
        <v>90.0</v>
      </c>
      <c r="O2" s="126">
        <v>100.0</v>
      </c>
      <c r="P2" s="126">
        <v>120.0</v>
      </c>
      <c r="Q2" s="126">
        <v>140.0</v>
      </c>
      <c r="R2" s="126">
        <v>150.0</v>
      </c>
      <c r="S2" s="126">
        <v>160.0</v>
      </c>
      <c r="T2" s="126">
        <v>200.0</v>
      </c>
      <c r="U2" s="126">
        <v>250.0</v>
      </c>
      <c r="V2" s="126">
        <v>300.0</v>
      </c>
      <c r="W2" s="126">
        <v>350.0</v>
      </c>
      <c r="X2" s="126">
        <v>400.0</v>
      </c>
      <c r="Y2" s="126">
        <v>450.0</v>
      </c>
      <c r="Z2" s="126">
        <v>500.0</v>
      </c>
      <c r="AA2" s="158">
        <v>550.0</v>
      </c>
      <c r="AB2" s="126">
        <v>650.0</v>
      </c>
      <c r="AC2" s="126">
        <v>750.0</v>
      </c>
      <c r="AD2" s="126">
        <v>1000.0</v>
      </c>
      <c r="AE2" s="158">
        <v>1250.0</v>
      </c>
      <c r="AF2" s="126">
        <v>2000.0</v>
      </c>
      <c r="AG2" s="126">
        <v>3000.0</v>
      </c>
      <c r="AH2" s="126">
        <v>4000.0</v>
      </c>
      <c r="AI2" s="158">
        <v>5000.0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ht="17.25" customHeight="1">
      <c r="A5" s="74" t="s">
        <v>45</v>
      </c>
      <c r="B5" s="50" t="s">
        <v>46</v>
      </c>
      <c r="C5" s="50" t="s">
        <v>47</v>
      </c>
      <c r="D5" s="50" t="s">
        <v>48</v>
      </c>
      <c r="E5" s="5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AA5" s="159" t="s">
        <v>70</v>
      </c>
    </row>
    <row r="6" ht="17.25" customHeight="1">
      <c r="A6" s="48" t="str">
        <f>'試算-賓果'!A20</f>
        <v>THB</v>
      </c>
      <c r="B6" s="50" t="str">
        <f>'試算-賓果'!B20</f>
        <v>฿</v>
      </c>
      <c r="C6" s="160" t="str">
        <f>'試算-賓果'!C20</f>
        <v>泰銖</v>
      </c>
      <c r="D6" s="50" t="str">
        <f>IF('試算-SLOT'!D6=1,"",'試算-SLOT'!D6)</f>
        <v/>
      </c>
      <c r="E6" s="50">
        <f>'試算-賓果'!K20</f>
        <v>0.05</v>
      </c>
      <c r="F6" s="50">
        <f>'賓果 - 1分20卡'!F6</f>
        <v>1</v>
      </c>
      <c r="G6" s="50">
        <f>'賓果 - 1分20卡'!G6</f>
        <v>2</v>
      </c>
      <c r="H6" s="50">
        <f>'賓果 - 1分20卡'!H6</f>
        <v>3</v>
      </c>
      <c r="I6" s="50">
        <f>'賓果 - 1分20卡'!I6</f>
        <v>4</v>
      </c>
      <c r="J6" s="50">
        <f>'賓果 - 1分20卡'!J6</f>
        <v>5</v>
      </c>
      <c r="K6" s="50">
        <f>'賓果 - 1分20卡'!K6</f>
        <v>7</v>
      </c>
      <c r="L6" s="50">
        <f>'賓果 - 1分20卡'!L6</f>
        <v>10</v>
      </c>
      <c r="M6" s="50">
        <f>'賓果 - 1分20卡'!M6</f>
        <v>13</v>
      </c>
      <c r="N6" s="50">
        <f>'賓果 - 1分20卡'!N6</f>
        <v>15</v>
      </c>
      <c r="O6" s="50">
        <f>'賓果 - 1分20卡'!O6</f>
        <v>16</v>
      </c>
      <c r="P6" s="50">
        <f>'賓果 - 1分20卡'!P6</f>
        <v>17</v>
      </c>
      <c r="Q6" s="50">
        <f>'賓果 - 1分20卡'!Q6</f>
        <v>18</v>
      </c>
      <c r="R6" s="50">
        <f>'賓果 - 1分20卡'!R6</f>
        <v>19</v>
      </c>
      <c r="S6" s="50">
        <f>'賓果 - 1分20卡'!S6</f>
        <v>20</v>
      </c>
      <c r="T6" s="50">
        <f>'賓果 - 1分20卡'!T6</f>
        <v>21</v>
      </c>
      <c r="U6" s="50">
        <f>'賓果 - 1分20卡'!U6</f>
        <v>22</v>
      </c>
      <c r="V6" s="50">
        <f>'賓果 - 1分20卡'!V6</f>
        <v>23</v>
      </c>
      <c r="W6" s="50">
        <f>'賓果 - 1分20卡'!W6</f>
        <v>24</v>
      </c>
      <c r="X6" s="50">
        <f>'賓果 - 1分20卡'!X6</f>
        <v>25</v>
      </c>
      <c r="Y6" s="50">
        <f>'賓果 - 1分20卡'!Y6</f>
        <v>26</v>
      </c>
      <c r="AA6" s="52"/>
    </row>
    <row r="7" ht="17.25" customHeight="1">
      <c r="A7" s="48" t="str">
        <f>'試算-賓果'!A21</f>
        <v>HKD</v>
      </c>
      <c r="B7" s="50" t="str">
        <f>'試算-賓果'!B21</f>
        <v>HK$</v>
      </c>
      <c r="C7" s="160" t="str">
        <f>'試算-賓果'!C21</f>
        <v>港幣</v>
      </c>
      <c r="D7" s="50" t="str">
        <f>IF('試算-SLOT'!D7=1,"",'試算-SLOT'!D7)</f>
        <v/>
      </c>
      <c r="E7" s="50">
        <f>'試算-賓果'!K21</f>
        <v>0.01</v>
      </c>
      <c r="F7" s="50">
        <f>'賓果 - 1分20卡'!F7</f>
        <v>1</v>
      </c>
      <c r="G7" s="50">
        <f>'賓果 - 1分20卡'!G7</f>
        <v>2</v>
      </c>
      <c r="H7" s="50">
        <f>'賓果 - 1分20卡'!H7</f>
        <v>3</v>
      </c>
      <c r="I7" s="50">
        <f>'賓果 - 1分20卡'!I7</f>
        <v>4</v>
      </c>
      <c r="J7" s="50">
        <f>'賓果 - 1分20卡'!J7</f>
        <v>5</v>
      </c>
      <c r="K7" s="50">
        <f>'賓果 - 1分20卡'!K7</f>
        <v>7</v>
      </c>
      <c r="L7" s="50">
        <f>'賓果 - 1分20卡'!L7</f>
        <v>10</v>
      </c>
      <c r="M7" s="50">
        <f>'賓果 - 1分20卡'!M7</f>
        <v>13</v>
      </c>
      <c r="N7" s="50">
        <f>'賓果 - 1分20卡'!N7</f>
        <v>15</v>
      </c>
      <c r="O7" s="50">
        <f>'賓果 - 1分20卡'!O7</f>
        <v>16</v>
      </c>
      <c r="P7" s="50">
        <f>'賓果 - 1分20卡'!P7</f>
        <v>17</v>
      </c>
      <c r="Q7" s="50">
        <f>'賓果 - 1分20卡'!Q7</f>
        <v>18</v>
      </c>
      <c r="R7" s="50">
        <f>'賓果 - 1分20卡'!R7</f>
        <v>19</v>
      </c>
      <c r="S7" s="50">
        <f>'賓果 - 1分20卡'!S7</f>
        <v>20</v>
      </c>
      <c r="T7" s="50">
        <f>'賓果 - 1分20卡'!T7</f>
        <v>21</v>
      </c>
      <c r="U7" s="50">
        <f>'賓果 - 1分20卡'!U7</f>
        <v>22</v>
      </c>
      <c r="V7" s="50">
        <f>'賓果 - 1分20卡'!V7</f>
        <v>23</v>
      </c>
      <c r="W7" s="50">
        <f>'賓果 - 1分20卡'!W7</f>
        <v>24</v>
      </c>
      <c r="X7" s="50">
        <f>'賓果 - 1分20卡'!X7</f>
        <v>25</v>
      </c>
      <c r="Y7" s="50">
        <f>'賓果 - 1分20卡'!Y7</f>
        <v>26</v>
      </c>
      <c r="AA7" s="52"/>
    </row>
    <row r="8" ht="17.25" customHeight="1">
      <c r="A8" s="48" t="str">
        <f>'試算-賓果'!A22</f>
        <v>INR</v>
      </c>
      <c r="B8" s="50" t="str">
        <f>'試算-賓果'!B22</f>
        <v>₹</v>
      </c>
      <c r="C8" s="160" t="str">
        <f>'試算-賓果'!C22</f>
        <v>印度盧比</v>
      </c>
      <c r="D8" s="50" t="str">
        <f>IF('試算-SLOT'!D8=1,"",'試算-SLOT'!D8)</f>
        <v/>
      </c>
      <c r="E8" s="50">
        <f>'試算-賓果'!K22</f>
        <v>0.1</v>
      </c>
      <c r="F8" s="50">
        <f>'賓果 - 1分20卡'!F8</f>
        <v>1</v>
      </c>
      <c r="G8" s="50">
        <f>'賓果 - 1分20卡'!G8</f>
        <v>2</v>
      </c>
      <c r="H8" s="50">
        <f>'賓果 - 1分20卡'!H8</f>
        <v>3</v>
      </c>
      <c r="I8" s="50">
        <f>'賓果 - 1分20卡'!I8</f>
        <v>4</v>
      </c>
      <c r="J8" s="50">
        <f>'賓果 - 1分20卡'!J8</f>
        <v>5</v>
      </c>
      <c r="K8" s="50">
        <f>'賓果 - 1分20卡'!K8</f>
        <v>7</v>
      </c>
      <c r="L8" s="50">
        <f>'賓果 - 1分20卡'!L8</f>
        <v>10</v>
      </c>
      <c r="M8" s="50">
        <f>'賓果 - 1分20卡'!M8</f>
        <v>13</v>
      </c>
      <c r="N8" s="50">
        <f>'賓果 - 1分20卡'!N8</f>
        <v>15</v>
      </c>
      <c r="O8" s="50">
        <f>'賓果 - 1分20卡'!O8</f>
        <v>16</v>
      </c>
      <c r="P8" s="50">
        <f>'賓果 - 1分20卡'!P8</f>
        <v>17</v>
      </c>
      <c r="Q8" s="50">
        <f>'賓果 - 1分20卡'!Q8</f>
        <v>18</v>
      </c>
      <c r="R8" s="50">
        <f>'賓果 - 1分20卡'!R8</f>
        <v>19</v>
      </c>
      <c r="S8" s="50">
        <f>'賓果 - 1分20卡'!S8</f>
        <v>20</v>
      </c>
      <c r="T8" s="50">
        <f>'賓果 - 1分20卡'!T8</f>
        <v>21</v>
      </c>
      <c r="U8" s="50">
        <f>'賓果 - 1分20卡'!U8</f>
        <v>22</v>
      </c>
      <c r="V8" s="50">
        <f>'賓果 - 1分20卡'!V8</f>
        <v>23</v>
      </c>
      <c r="W8" s="50">
        <f>'賓果 - 1分20卡'!W8</f>
        <v>24</v>
      </c>
      <c r="X8" s="50">
        <f>'賓果 - 1分20卡'!X8</f>
        <v>25</v>
      </c>
      <c r="Y8" s="50">
        <f>'賓果 - 1分20卡'!Y8</f>
        <v>26</v>
      </c>
      <c r="AA8" s="52"/>
    </row>
    <row r="9" ht="17.25" customHeight="1">
      <c r="A9" s="48" t="str">
        <f>'試算-賓果'!A23</f>
        <v>IDR</v>
      </c>
      <c r="B9" s="50" t="str">
        <f>'試算-賓果'!B23</f>
        <v>Rp</v>
      </c>
      <c r="C9" s="160" t="str">
        <f>'試算-賓果'!C23</f>
        <v>印尼盧比(K)</v>
      </c>
      <c r="D9" s="50">
        <f>IF('試算-SLOT'!D9=1,"",'試算-SLOT'!D9)</f>
        <v>1000</v>
      </c>
      <c r="E9" s="50">
        <f>'試算-賓果'!K23</f>
        <v>0.02</v>
      </c>
      <c r="F9" s="50">
        <f>'賓果 - 1分20卡'!F9</f>
        <v>1</v>
      </c>
      <c r="G9" s="50">
        <f>'賓果 - 1分20卡'!G9</f>
        <v>2</v>
      </c>
      <c r="H9" s="50">
        <f>'賓果 - 1分20卡'!H9</f>
        <v>3</v>
      </c>
      <c r="I9" s="50">
        <f>'賓果 - 1分20卡'!I9</f>
        <v>4</v>
      </c>
      <c r="J9" s="50">
        <f>'賓果 - 1分20卡'!J9</f>
        <v>5</v>
      </c>
      <c r="K9" s="50">
        <f>'賓果 - 1分20卡'!K9</f>
        <v>7</v>
      </c>
      <c r="L9" s="50">
        <f>'賓果 - 1分20卡'!L9</f>
        <v>10</v>
      </c>
      <c r="M9" s="50">
        <f>'賓果 - 1分20卡'!M9</f>
        <v>13</v>
      </c>
      <c r="N9" s="50">
        <f>'賓果 - 1分20卡'!N9</f>
        <v>15</v>
      </c>
      <c r="O9" s="50">
        <f>'賓果 - 1分20卡'!O9</f>
        <v>16</v>
      </c>
      <c r="P9" s="50">
        <f>'賓果 - 1分20卡'!P9</f>
        <v>17</v>
      </c>
      <c r="Q9" s="50">
        <f>'賓果 - 1分20卡'!Q9</f>
        <v>18</v>
      </c>
      <c r="R9" s="50">
        <f>'賓果 - 1分20卡'!R9</f>
        <v>19</v>
      </c>
      <c r="S9" s="50">
        <f>'賓果 - 1分20卡'!S9</f>
        <v>20</v>
      </c>
      <c r="T9" s="50">
        <f>'賓果 - 1分20卡'!T9</f>
        <v>21</v>
      </c>
      <c r="U9" s="50">
        <f>'賓果 - 1分20卡'!U9</f>
        <v>22</v>
      </c>
      <c r="V9" s="50">
        <f>'賓果 - 1分20卡'!V9</f>
        <v>23</v>
      </c>
      <c r="W9" s="50">
        <f>'賓果 - 1分20卡'!W9</f>
        <v>24</v>
      </c>
      <c r="X9" s="50">
        <f>'賓果 - 1分20卡'!X9</f>
        <v>25</v>
      </c>
      <c r="Y9" s="50">
        <f>'賓果 - 1分20卡'!Y9</f>
        <v>26</v>
      </c>
      <c r="AA9" s="52"/>
    </row>
    <row r="10" ht="17.25" customHeight="1">
      <c r="A10" s="48" t="str">
        <f>'試算-賓果'!A24</f>
        <v>VND</v>
      </c>
      <c r="B10" s="50" t="str">
        <f>'試算-賓果'!B24</f>
        <v>₫</v>
      </c>
      <c r="C10" s="160" t="str">
        <f>'試算-賓果'!C24</f>
        <v>越南盾(K)</v>
      </c>
      <c r="D10" s="50">
        <f>IF('試算-SLOT'!D10=1,"",'試算-SLOT'!D10)</f>
        <v>1000</v>
      </c>
      <c r="E10" s="50">
        <f>'試算-賓果'!K24</f>
        <v>0.04</v>
      </c>
      <c r="F10" s="50">
        <f>'賓果 - 1分20卡'!F10</f>
        <v>1</v>
      </c>
      <c r="G10" s="50">
        <f>'賓果 - 1分20卡'!G10</f>
        <v>2</v>
      </c>
      <c r="H10" s="50">
        <f>'賓果 - 1分20卡'!H10</f>
        <v>3</v>
      </c>
      <c r="I10" s="50">
        <f>'賓果 - 1分20卡'!I10</f>
        <v>4</v>
      </c>
      <c r="J10" s="50">
        <f>'賓果 - 1分20卡'!J10</f>
        <v>5</v>
      </c>
      <c r="K10" s="50">
        <f>'賓果 - 1分20卡'!K10</f>
        <v>7</v>
      </c>
      <c r="L10" s="50">
        <f>'賓果 - 1分20卡'!L10</f>
        <v>10</v>
      </c>
      <c r="M10" s="50">
        <f>'賓果 - 1分20卡'!M10</f>
        <v>13</v>
      </c>
      <c r="N10" s="50">
        <f>'賓果 - 1分20卡'!N10</f>
        <v>15</v>
      </c>
      <c r="O10" s="50">
        <f>'賓果 - 1分20卡'!O10</f>
        <v>16</v>
      </c>
      <c r="P10" s="50">
        <f>'賓果 - 1分20卡'!P10</f>
        <v>17</v>
      </c>
      <c r="Q10" s="50">
        <f>'賓果 - 1分20卡'!Q10</f>
        <v>18</v>
      </c>
      <c r="R10" s="50">
        <f>'賓果 - 1分20卡'!R10</f>
        <v>19</v>
      </c>
      <c r="S10" s="50">
        <f>'賓果 - 1分20卡'!S10</f>
        <v>20</v>
      </c>
      <c r="T10" s="50">
        <f>'賓果 - 1分20卡'!T10</f>
        <v>21</v>
      </c>
      <c r="U10" s="50">
        <f>'賓果 - 1分20卡'!U10</f>
        <v>22</v>
      </c>
      <c r="V10" s="50">
        <f>'賓果 - 1分20卡'!V10</f>
        <v>23</v>
      </c>
      <c r="W10" s="50">
        <f>'賓果 - 1分20卡'!W10</f>
        <v>24</v>
      </c>
      <c r="X10" s="50">
        <f>'賓果 - 1分20卡'!X10</f>
        <v>25</v>
      </c>
      <c r="Y10" s="50">
        <f>'賓果 - 1分20卡'!Y10</f>
        <v>26</v>
      </c>
      <c r="AA10" s="52"/>
    </row>
    <row r="11" ht="17.25" customHeight="1">
      <c r="A11" s="48" t="str">
        <f>'試算-賓果'!A25</f>
        <v>MYR</v>
      </c>
      <c r="B11" s="50" t="str">
        <f>'試算-賓果'!B25</f>
        <v>RM</v>
      </c>
      <c r="C11" s="160" t="str">
        <f>'試算-賓果'!C25</f>
        <v>馬來西亞令吉</v>
      </c>
      <c r="D11" s="50" t="str">
        <f>IF('試算-SLOT'!D11=1,"",'試算-SLOT'!D11)</f>
        <v/>
      </c>
      <c r="E11" s="50">
        <f>'試算-賓果'!K25</f>
        <v>0.01</v>
      </c>
      <c r="F11" s="50">
        <f>'賓果 - 1分20卡'!F11</f>
        <v>1</v>
      </c>
      <c r="G11" s="50">
        <f>'賓果 - 1分20卡'!G11</f>
        <v>2</v>
      </c>
      <c r="H11" s="50">
        <f>'賓果 - 1分20卡'!H11</f>
        <v>3</v>
      </c>
      <c r="I11" s="50">
        <f>'賓果 - 1分20卡'!I11</f>
        <v>4</v>
      </c>
      <c r="J11" s="50">
        <f>'賓果 - 1分20卡'!J11</f>
        <v>5</v>
      </c>
      <c r="K11" s="50">
        <f>'賓果 - 1分20卡'!K11</f>
        <v>7</v>
      </c>
      <c r="L11" s="50">
        <f>'賓果 - 1分20卡'!L11</f>
        <v>10</v>
      </c>
      <c r="M11" s="50">
        <f>'賓果 - 1分20卡'!M11</f>
        <v>13</v>
      </c>
      <c r="N11" s="50">
        <f>'賓果 - 1分20卡'!N11</f>
        <v>15</v>
      </c>
      <c r="O11" s="50">
        <f>'賓果 - 1分20卡'!O11</f>
        <v>16</v>
      </c>
      <c r="P11" s="50">
        <f>'賓果 - 1分20卡'!P11</f>
        <v>17</v>
      </c>
      <c r="Q11" s="50">
        <f>'賓果 - 1分20卡'!Q11</f>
        <v>18</v>
      </c>
      <c r="R11" s="50">
        <f>'賓果 - 1分20卡'!R11</f>
        <v>19</v>
      </c>
      <c r="S11" s="50">
        <f>'賓果 - 1分20卡'!S11</f>
        <v>20</v>
      </c>
      <c r="T11" s="50">
        <f>'賓果 - 1分20卡'!T11</f>
        <v>21</v>
      </c>
      <c r="U11" s="50">
        <f>'賓果 - 1分20卡'!U11</f>
        <v>22</v>
      </c>
      <c r="V11" s="50">
        <f>'賓果 - 1分20卡'!V11</f>
        <v>23</v>
      </c>
      <c r="W11" s="50">
        <f>'賓果 - 1分20卡'!W11</f>
        <v>24</v>
      </c>
      <c r="X11" s="50">
        <f>'賓果 - 1分20卡'!X11</f>
        <v>25</v>
      </c>
      <c r="Y11" s="50">
        <f>'賓果 - 1分20卡'!Y11</f>
        <v>26</v>
      </c>
      <c r="AA11" s="52"/>
    </row>
    <row r="12" ht="17.25" customHeight="1">
      <c r="A12" s="82" t="str">
        <f>'試算-賓果'!A26</f>
        <v>SGD</v>
      </c>
      <c r="B12" s="84" t="str">
        <f>'試算-賓果'!B26</f>
        <v>S$</v>
      </c>
      <c r="C12" s="161" t="str">
        <f>'試算-賓果'!C26</f>
        <v>新加坡幣</v>
      </c>
      <c r="D12" s="84" t="str">
        <f>IF('試算-SLOT'!D12=1,"",'試算-SLOT'!D12)</f>
        <v/>
      </c>
      <c r="E12" s="84">
        <f>'試算-賓果'!K26</f>
        <v>0.01</v>
      </c>
      <c r="F12" s="84">
        <f>'賓果 - 1分20卡'!F12</f>
        <v>1</v>
      </c>
      <c r="G12" s="84">
        <f>'賓果 - 1分20卡'!G12</f>
        <v>2</v>
      </c>
      <c r="H12" s="84">
        <f>'賓果 - 1分20卡'!H12</f>
        <v>3</v>
      </c>
      <c r="I12" s="84">
        <f>'賓果 - 1分20卡'!I12</f>
        <v>4</v>
      </c>
      <c r="J12" s="84">
        <f>'賓果 - 1分20卡'!J12</f>
        <v>5</v>
      </c>
      <c r="K12" s="84">
        <f>'賓果 - 1分20卡'!K12</f>
        <v>6</v>
      </c>
      <c r="L12" s="84">
        <f>'賓果 - 1分20卡'!L12</f>
        <v>7</v>
      </c>
      <c r="M12" s="84">
        <f>'賓果 - 1分20卡'!M12</f>
        <v>8</v>
      </c>
      <c r="N12" s="84">
        <f>'賓果 - 1分20卡'!N12</f>
        <v>9</v>
      </c>
      <c r="O12" s="84">
        <f>'賓果 - 1分20卡'!O12</f>
        <v>10</v>
      </c>
      <c r="P12" s="84">
        <f>'賓果 - 1分20卡'!P12</f>
        <v>11</v>
      </c>
      <c r="Q12" s="84">
        <f>'賓果 - 1分20卡'!Q12</f>
        <v>12</v>
      </c>
      <c r="R12" s="84">
        <f>'賓果 - 1分20卡'!R12</f>
        <v>14</v>
      </c>
      <c r="S12" s="84">
        <f>'賓果 - 1分20卡'!S12</f>
        <v>15</v>
      </c>
      <c r="T12" s="84">
        <f>'賓果 - 1分20卡'!T12</f>
        <v>16</v>
      </c>
      <c r="U12" s="84">
        <f>'賓果 - 1分20卡'!U12</f>
        <v>17</v>
      </c>
      <c r="V12" s="84">
        <f>'賓果 - 1分20卡'!V12</f>
        <v>18</v>
      </c>
      <c r="W12" s="84">
        <f>'賓果 - 1分20卡'!W12</f>
        <v>19</v>
      </c>
      <c r="X12" s="84">
        <f>'賓果 - 1分20卡'!X12</f>
        <v>20</v>
      </c>
      <c r="Y12" s="84">
        <f>'賓果 - 1分20卡'!Y12</f>
        <v>21</v>
      </c>
      <c r="AA12" s="52"/>
    </row>
    <row r="13" ht="17.25" customHeight="1">
      <c r="A13" s="82" t="str">
        <f>'試算-賓果'!A27</f>
        <v>USD</v>
      </c>
      <c r="B13" s="84" t="str">
        <f>'試算-賓果'!B27</f>
        <v>$</v>
      </c>
      <c r="C13" s="161" t="str">
        <f>'試算-賓果'!C27</f>
        <v>美元</v>
      </c>
      <c r="D13" s="84" t="str">
        <f>IF('試算-SLOT'!D13=1,"",'試算-SLOT'!D13)</f>
        <v/>
      </c>
      <c r="E13" s="84">
        <f>'試算-賓果'!K27</f>
        <v>0.01</v>
      </c>
      <c r="F13" s="84">
        <f>'賓果 - 1分20卡'!F13</f>
        <v>1</v>
      </c>
      <c r="G13" s="84">
        <f>'賓果 - 1分20卡'!G13</f>
        <v>2</v>
      </c>
      <c r="H13" s="84">
        <f>'賓果 - 1分20卡'!H13</f>
        <v>3</v>
      </c>
      <c r="I13" s="84">
        <f>'賓果 - 1分20卡'!I13</f>
        <v>4</v>
      </c>
      <c r="J13" s="84">
        <f>'賓果 - 1分20卡'!J13</f>
        <v>5</v>
      </c>
      <c r="K13" s="84">
        <f>'賓果 - 1分20卡'!K13</f>
        <v>6</v>
      </c>
      <c r="L13" s="84">
        <f>'賓果 - 1分20卡'!L13</f>
        <v>7</v>
      </c>
      <c r="M13" s="84">
        <f>'賓果 - 1分20卡'!M13</f>
        <v>8</v>
      </c>
      <c r="N13" s="84">
        <f>'賓果 - 1分20卡'!N13</f>
        <v>9</v>
      </c>
      <c r="O13" s="84">
        <f>'賓果 - 1分20卡'!O13</f>
        <v>10</v>
      </c>
      <c r="P13" s="84">
        <f>'賓果 - 1分20卡'!P13</f>
        <v>11</v>
      </c>
      <c r="Q13" s="84">
        <f>'賓果 - 1分20卡'!Q13</f>
        <v>12</v>
      </c>
      <c r="R13" s="84">
        <f>'賓果 - 1分20卡'!R13</f>
        <v>14</v>
      </c>
      <c r="S13" s="84">
        <f>'賓果 - 1分20卡'!S13</f>
        <v>15</v>
      </c>
      <c r="T13" s="84">
        <f>'賓果 - 1分20卡'!T13</f>
        <v>16</v>
      </c>
      <c r="U13" s="84">
        <f>'賓果 - 1分20卡'!U13</f>
        <v>17</v>
      </c>
      <c r="V13" s="84">
        <f>'賓果 - 1分20卡'!V13</f>
        <v>18</v>
      </c>
      <c r="W13" s="84">
        <f>'賓果 - 1分20卡'!W13</f>
        <v>19</v>
      </c>
      <c r="X13" s="84">
        <f>'賓果 - 1分20卡'!X13</f>
        <v>20</v>
      </c>
      <c r="Y13" s="84">
        <f>'賓果 - 1分20卡'!Y13</f>
        <v>21</v>
      </c>
      <c r="AA13" s="52"/>
    </row>
    <row r="14" ht="17.25" customHeight="1">
      <c r="A14" s="48" t="str">
        <f>'試算-賓果'!A28</f>
        <v>BDT</v>
      </c>
      <c r="B14" s="50" t="str">
        <f>'試算-賓果'!B28</f>
        <v>৳</v>
      </c>
      <c r="C14" s="160" t="str">
        <f>'試算-賓果'!C28</f>
        <v>孟加拉塔卡</v>
      </c>
      <c r="D14" s="50" t="str">
        <f>IF('試算-SLOT'!D14=1,"",'試算-SLOT'!D14)</f>
        <v/>
      </c>
      <c r="E14" s="50">
        <f>'試算-賓果'!K28</f>
        <v>0.1</v>
      </c>
      <c r="F14" s="50">
        <f>'賓果 - 1分20卡'!F14</f>
        <v>1</v>
      </c>
      <c r="G14" s="50">
        <f>'賓果 - 1分20卡'!G14</f>
        <v>2</v>
      </c>
      <c r="H14" s="50">
        <f>'賓果 - 1分20卡'!H14</f>
        <v>3</v>
      </c>
      <c r="I14" s="50">
        <f>'賓果 - 1分20卡'!I14</f>
        <v>4</v>
      </c>
      <c r="J14" s="50">
        <f>'賓果 - 1分20卡'!J14</f>
        <v>5</v>
      </c>
      <c r="K14" s="50">
        <f>'賓果 - 1分20卡'!K14</f>
        <v>7</v>
      </c>
      <c r="L14" s="50">
        <f>'賓果 - 1分20卡'!L14</f>
        <v>10</v>
      </c>
      <c r="M14" s="50">
        <f>'賓果 - 1分20卡'!M14</f>
        <v>13</v>
      </c>
      <c r="N14" s="50">
        <f>'賓果 - 1分20卡'!N14</f>
        <v>15</v>
      </c>
      <c r="O14" s="50">
        <f>'賓果 - 1分20卡'!O14</f>
        <v>16</v>
      </c>
      <c r="P14" s="50">
        <f>'賓果 - 1分20卡'!P14</f>
        <v>17</v>
      </c>
      <c r="Q14" s="50">
        <f>'賓果 - 1分20卡'!Q14</f>
        <v>18</v>
      </c>
      <c r="R14" s="50">
        <f>'賓果 - 1分20卡'!R14</f>
        <v>19</v>
      </c>
      <c r="S14" s="50">
        <f>'賓果 - 1分20卡'!S14</f>
        <v>20</v>
      </c>
      <c r="T14" s="50">
        <f>'賓果 - 1分20卡'!T14</f>
        <v>21</v>
      </c>
      <c r="U14" s="50">
        <f>'賓果 - 1分20卡'!U14</f>
        <v>22</v>
      </c>
      <c r="V14" s="50">
        <f>'賓果 - 1分20卡'!V14</f>
        <v>23</v>
      </c>
      <c r="W14" s="50">
        <f>'賓果 - 1分20卡'!W14</f>
        <v>24</v>
      </c>
      <c r="X14" s="50">
        <f>'賓果 - 1分20卡'!X14</f>
        <v>25</v>
      </c>
      <c r="Y14" s="50">
        <f>'賓果 - 1分20卡'!Y14</f>
        <v>26</v>
      </c>
      <c r="AA14" s="52"/>
    </row>
    <row r="15" ht="17.25" customHeight="1">
      <c r="A15" s="48" t="str">
        <f>'試算-賓果'!A29</f>
        <v>PKR</v>
      </c>
      <c r="B15" s="50" t="str">
        <f>'試算-賓果'!B29</f>
        <v>₨</v>
      </c>
      <c r="C15" s="160" t="str">
        <f>'試算-賓果'!C29</f>
        <v>巴基斯坦盧比</v>
      </c>
      <c r="D15" s="50" t="str">
        <f>IF('試算-SLOT'!D15=1,"",'試算-SLOT'!D15)</f>
        <v/>
      </c>
      <c r="E15" s="50">
        <f>'試算-賓果'!K29</f>
        <v>0.25</v>
      </c>
      <c r="F15" s="50">
        <f>'賓果 - 1分20卡'!F15</f>
        <v>1</v>
      </c>
      <c r="G15" s="50">
        <f>'賓果 - 1分20卡'!G15</f>
        <v>2</v>
      </c>
      <c r="H15" s="50">
        <f>'賓果 - 1分20卡'!H15</f>
        <v>3</v>
      </c>
      <c r="I15" s="50">
        <f>'賓果 - 1分20卡'!I15</f>
        <v>4</v>
      </c>
      <c r="J15" s="50">
        <f>'賓果 - 1分20卡'!J15</f>
        <v>5</v>
      </c>
      <c r="K15" s="50">
        <f>'賓果 - 1分20卡'!K15</f>
        <v>7</v>
      </c>
      <c r="L15" s="50">
        <f>'賓果 - 1分20卡'!L15</f>
        <v>10</v>
      </c>
      <c r="M15" s="50">
        <f>'賓果 - 1分20卡'!M15</f>
        <v>13</v>
      </c>
      <c r="N15" s="50">
        <f>'賓果 - 1分20卡'!N15</f>
        <v>15</v>
      </c>
      <c r="O15" s="50">
        <f>'賓果 - 1分20卡'!O15</f>
        <v>16</v>
      </c>
      <c r="P15" s="50">
        <f>'賓果 - 1分20卡'!P15</f>
        <v>17</v>
      </c>
      <c r="Q15" s="50">
        <f>'賓果 - 1分20卡'!Q15</f>
        <v>18</v>
      </c>
      <c r="R15" s="50">
        <f>'賓果 - 1分20卡'!R15</f>
        <v>19</v>
      </c>
      <c r="S15" s="50">
        <f>'賓果 - 1分20卡'!S15</f>
        <v>20</v>
      </c>
      <c r="T15" s="50">
        <f>'賓果 - 1分20卡'!T15</f>
        <v>21</v>
      </c>
      <c r="U15" s="50">
        <f>'賓果 - 1分20卡'!U15</f>
        <v>22</v>
      </c>
      <c r="V15" s="50">
        <f>'賓果 - 1分20卡'!V15</f>
        <v>23</v>
      </c>
      <c r="W15" s="50">
        <f>'賓果 - 1分20卡'!W15</f>
        <v>24</v>
      </c>
      <c r="X15" s="50">
        <f>'賓果 - 1分20卡'!X15</f>
        <v>25</v>
      </c>
      <c r="Y15" s="50">
        <f>'賓果 - 1分20卡'!Y15</f>
        <v>26</v>
      </c>
      <c r="AA15" s="52"/>
    </row>
    <row r="16" ht="17.25" customHeight="1">
      <c r="A16" s="82" t="str">
        <f>'試算-賓果'!A30</f>
        <v>MMK</v>
      </c>
      <c r="B16" s="84" t="str">
        <f>'試算-賓果'!B30</f>
        <v>K</v>
      </c>
      <c r="C16" s="161" t="str">
        <f>'試算-賓果'!C30</f>
        <v>緬甸元(K)</v>
      </c>
      <c r="D16" s="84">
        <f>IF('試算-SLOT'!D16=1,"",'試算-SLOT'!D16)</f>
        <v>1000</v>
      </c>
      <c r="E16" s="84">
        <f>'試算-賓果'!K30</f>
        <v>0.01</v>
      </c>
      <c r="F16" s="84">
        <f>'賓果 - 1分20卡'!F16</f>
        <v>1</v>
      </c>
      <c r="G16" s="84">
        <f>'賓果 - 1分20卡'!G16</f>
        <v>2</v>
      </c>
      <c r="H16" s="84">
        <f>'賓果 - 1分20卡'!H16</f>
        <v>3</v>
      </c>
      <c r="I16" s="84">
        <f>'賓果 - 1分20卡'!I16</f>
        <v>4</v>
      </c>
      <c r="J16" s="84">
        <f>'賓果 - 1分20卡'!J16</f>
        <v>5</v>
      </c>
      <c r="K16" s="84">
        <f>'賓果 - 1分20卡'!K16</f>
        <v>6</v>
      </c>
      <c r="L16" s="84">
        <f>'賓果 - 1分20卡'!L16</f>
        <v>7</v>
      </c>
      <c r="M16" s="84">
        <f>'賓果 - 1分20卡'!M16</f>
        <v>8</v>
      </c>
      <c r="N16" s="84">
        <f>'賓果 - 1分20卡'!N16</f>
        <v>9</v>
      </c>
      <c r="O16" s="84">
        <f>'賓果 - 1分20卡'!O16</f>
        <v>10</v>
      </c>
      <c r="P16" s="84">
        <f>'賓果 - 1分20卡'!P16</f>
        <v>11</v>
      </c>
      <c r="Q16" s="84">
        <f>'賓果 - 1分20卡'!Q16</f>
        <v>12</v>
      </c>
      <c r="R16" s="84">
        <f>'賓果 - 1分20卡'!R16</f>
        <v>14</v>
      </c>
      <c r="S16" s="84">
        <f>'賓果 - 1分20卡'!S16</f>
        <v>15</v>
      </c>
      <c r="T16" s="84">
        <f>'賓果 - 1分20卡'!T16</f>
        <v>16</v>
      </c>
      <c r="U16" s="84">
        <f>'賓果 - 1分20卡'!U16</f>
        <v>17</v>
      </c>
      <c r="V16" s="84">
        <f>'賓果 - 1分20卡'!V16</f>
        <v>18</v>
      </c>
      <c r="W16" s="84">
        <f>'賓果 - 1分20卡'!W16</f>
        <v>19</v>
      </c>
      <c r="X16" s="84">
        <f>'賓果 - 1分20卡'!X16</f>
        <v>20</v>
      </c>
      <c r="Y16" s="84">
        <f>'賓果 - 1分20卡'!Y16</f>
        <v>21</v>
      </c>
      <c r="AA16" s="52"/>
    </row>
    <row r="17" ht="17.25" customHeight="1">
      <c r="A17" s="82" t="str">
        <f>'試算-賓果'!A31</f>
        <v>MMH</v>
      </c>
      <c r="B17" s="84" t="str">
        <f>'試算-賓果'!B31</f>
        <v>K</v>
      </c>
      <c r="C17" s="161" t="str">
        <f>'試算-賓果'!C31</f>
        <v>緬甸元(H)</v>
      </c>
      <c r="D17" s="84">
        <f>IF('試算-SLOT'!D17=1,"",'試算-SLOT'!D17)</f>
        <v>100</v>
      </c>
      <c r="E17" s="84">
        <f>'試算-賓果'!K31</f>
        <v>0.1</v>
      </c>
      <c r="F17" s="84">
        <f>'賓果 - 1分20卡'!F17</f>
        <v>1</v>
      </c>
      <c r="G17" s="84">
        <f>'賓果 - 1分20卡'!G17</f>
        <v>2</v>
      </c>
      <c r="H17" s="84">
        <f>'賓果 - 1分20卡'!H17</f>
        <v>3</v>
      </c>
      <c r="I17" s="84">
        <f>'賓果 - 1分20卡'!I17</f>
        <v>4</v>
      </c>
      <c r="J17" s="84">
        <f>'賓果 - 1分20卡'!J17</f>
        <v>5</v>
      </c>
      <c r="K17" s="84">
        <f>'賓果 - 1分20卡'!K17</f>
        <v>6</v>
      </c>
      <c r="L17" s="84">
        <f>'賓果 - 1分20卡'!L17</f>
        <v>7</v>
      </c>
      <c r="M17" s="84">
        <f>'賓果 - 1分20卡'!M17</f>
        <v>8</v>
      </c>
      <c r="N17" s="84">
        <f>'賓果 - 1分20卡'!N17</f>
        <v>9</v>
      </c>
      <c r="O17" s="84">
        <f>'賓果 - 1分20卡'!O17</f>
        <v>10</v>
      </c>
      <c r="P17" s="84">
        <f>'賓果 - 1分20卡'!P17</f>
        <v>11</v>
      </c>
      <c r="Q17" s="84">
        <f>'賓果 - 1分20卡'!Q17</f>
        <v>12</v>
      </c>
      <c r="R17" s="84">
        <f>'賓果 - 1分20卡'!R17</f>
        <v>14</v>
      </c>
      <c r="S17" s="84">
        <f>'賓果 - 1分20卡'!S17</f>
        <v>15</v>
      </c>
      <c r="T17" s="84">
        <f>'賓果 - 1分20卡'!T17</f>
        <v>16</v>
      </c>
      <c r="U17" s="84">
        <f>'賓果 - 1分20卡'!U17</f>
        <v>17</v>
      </c>
      <c r="V17" s="84">
        <f>'賓果 - 1分20卡'!V17</f>
        <v>18</v>
      </c>
      <c r="W17" s="84">
        <f>'賓果 - 1分20卡'!W17</f>
        <v>19</v>
      </c>
      <c r="X17" s="84">
        <f>'賓果 - 1分20卡'!X17</f>
        <v>20</v>
      </c>
      <c r="Y17" s="84">
        <f>'賓果 - 1分20卡'!Y17</f>
        <v>21</v>
      </c>
      <c r="AA17" s="52"/>
    </row>
    <row r="18" ht="17.25" customHeight="1">
      <c r="A18" s="48" t="str">
        <f>'試算-賓果'!A32</f>
        <v>PHP</v>
      </c>
      <c r="B18" s="50" t="str">
        <f>'試算-賓果'!B32</f>
        <v>₱</v>
      </c>
      <c r="C18" s="160" t="str">
        <f>'試算-賓果'!C32</f>
        <v>菲律賓披索</v>
      </c>
      <c r="D18" s="50" t="str">
        <f>IF('試算-SLOT'!D18=1,"",'試算-SLOT'!D18)</f>
        <v/>
      </c>
      <c r="E18" s="50">
        <f>'試算-賓果'!K32</f>
        <v>0.1</v>
      </c>
      <c r="F18" s="50">
        <f>'賓果 - 1分20卡'!F18</f>
        <v>1</v>
      </c>
      <c r="G18" s="50">
        <f>'賓果 - 1分20卡'!G18</f>
        <v>2</v>
      </c>
      <c r="H18" s="50">
        <f>'賓果 - 1分20卡'!H18</f>
        <v>3</v>
      </c>
      <c r="I18" s="50">
        <f>'賓果 - 1分20卡'!I18</f>
        <v>4</v>
      </c>
      <c r="J18" s="50">
        <f>'賓果 - 1分20卡'!J18</f>
        <v>5</v>
      </c>
      <c r="K18" s="50">
        <f>'賓果 - 1分20卡'!K18</f>
        <v>7</v>
      </c>
      <c r="L18" s="50">
        <f>'賓果 - 1分20卡'!L18</f>
        <v>10</v>
      </c>
      <c r="M18" s="50">
        <f>'賓果 - 1分20卡'!M18</f>
        <v>13</v>
      </c>
      <c r="N18" s="50">
        <f>'賓果 - 1分20卡'!N18</f>
        <v>15</v>
      </c>
      <c r="O18" s="50">
        <f>'賓果 - 1分20卡'!O18</f>
        <v>16</v>
      </c>
      <c r="P18" s="50">
        <f>'賓果 - 1分20卡'!P18</f>
        <v>17</v>
      </c>
      <c r="Q18" s="50">
        <f>'賓果 - 1分20卡'!Q18</f>
        <v>18</v>
      </c>
      <c r="R18" s="50">
        <f>'賓果 - 1分20卡'!R18</f>
        <v>19</v>
      </c>
      <c r="S18" s="50">
        <f>'賓果 - 1分20卡'!S18</f>
        <v>20</v>
      </c>
      <c r="T18" s="50">
        <f>'賓果 - 1分20卡'!T18</f>
        <v>21</v>
      </c>
      <c r="U18" s="50">
        <f>'賓果 - 1分20卡'!U18</f>
        <v>22</v>
      </c>
      <c r="V18" s="50">
        <f>'賓果 - 1分20卡'!V18</f>
        <v>23</v>
      </c>
      <c r="W18" s="50">
        <f>'賓果 - 1分20卡'!W18</f>
        <v>24</v>
      </c>
      <c r="X18" s="50">
        <f>'賓果 - 1分20卡'!X18</f>
        <v>25</v>
      </c>
      <c r="Y18" s="50">
        <f>'賓果 - 1分20卡'!Y18</f>
        <v>26</v>
      </c>
      <c r="AA18" s="52"/>
    </row>
    <row r="19" ht="17.25" customHeight="1">
      <c r="A19" s="48" t="str">
        <f>'試算-賓果'!A33</f>
        <v>CNY</v>
      </c>
      <c r="B19" s="50" t="str">
        <f>'試算-賓果'!B33</f>
        <v>￥</v>
      </c>
      <c r="C19" s="160" t="str">
        <f>'試算-賓果'!C33</f>
        <v>人民幣</v>
      </c>
      <c r="D19" s="50" t="str">
        <f>IF('試算-SLOT'!D19=1,"",'試算-SLOT'!D19)</f>
        <v/>
      </c>
      <c r="E19" s="50">
        <f>'試算-賓果'!K33</f>
        <v>0.01</v>
      </c>
      <c r="F19" s="50">
        <f>'賓果 - 1分20卡'!F19</f>
        <v>1</v>
      </c>
      <c r="G19" s="50">
        <f>'賓果 - 1分20卡'!G19</f>
        <v>2</v>
      </c>
      <c r="H19" s="50">
        <f>'賓果 - 1分20卡'!H19</f>
        <v>3</v>
      </c>
      <c r="I19" s="50">
        <f>'賓果 - 1分20卡'!I19</f>
        <v>4</v>
      </c>
      <c r="J19" s="50">
        <f>'賓果 - 1分20卡'!J19</f>
        <v>5</v>
      </c>
      <c r="K19" s="50">
        <f>'賓果 - 1分20卡'!K19</f>
        <v>7</v>
      </c>
      <c r="L19" s="50">
        <f>'賓果 - 1分20卡'!L19</f>
        <v>10</v>
      </c>
      <c r="M19" s="50">
        <f>'賓果 - 1分20卡'!M19</f>
        <v>13</v>
      </c>
      <c r="N19" s="50">
        <f>'賓果 - 1分20卡'!N19</f>
        <v>15</v>
      </c>
      <c r="O19" s="50">
        <f>'賓果 - 1分20卡'!O19</f>
        <v>16</v>
      </c>
      <c r="P19" s="50">
        <f>'賓果 - 1分20卡'!P19</f>
        <v>17</v>
      </c>
      <c r="Q19" s="50">
        <f>'賓果 - 1分20卡'!Q19</f>
        <v>18</v>
      </c>
      <c r="R19" s="50">
        <f>'賓果 - 1分20卡'!R19</f>
        <v>19</v>
      </c>
      <c r="S19" s="50">
        <f>'賓果 - 1分20卡'!S19</f>
        <v>20</v>
      </c>
      <c r="T19" s="50">
        <f>'賓果 - 1分20卡'!T19</f>
        <v>21</v>
      </c>
      <c r="U19" s="50">
        <f>'賓果 - 1分20卡'!U19</f>
        <v>22</v>
      </c>
      <c r="V19" s="50">
        <f>'賓果 - 1分20卡'!V19</f>
        <v>23</v>
      </c>
      <c r="W19" s="50">
        <f>'賓果 - 1分20卡'!W19</f>
        <v>24</v>
      </c>
      <c r="X19" s="50">
        <f>'賓果 - 1分20卡'!X19</f>
        <v>25</v>
      </c>
      <c r="Y19" s="50">
        <f>'賓果 - 1分20卡'!Y19</f>
        <v>26</v>
      </c>
      <c r="AA19" s="52"/>
    </row>
    <row r="20" ht="17.25" customHeight="1">
      <c r="A20" s="48" t="str">
        <f>'試算-賓果'!A34</f>
        <v>MXN</v>
      </c>
      <c r="B20" s="50" t="str">
        <f>'試算-賓果'!B34</f>
        <v>Mex$</v>
      </c>
      <c r="C20" s="160" t="str">
        <f>'試算-賓果'!C34</f>
        <v>墨⻄哥披索</v>
      </c>
      <c r="D20" s="50" t="str">
        <f>IF('試算-SLOT'!D20=1,"",'試算-SLOT'!D20)</f>
        <v/>
      </c>
      <c r="E20" s="50">
        <f>'試算-賓果'!K34</f>
        <v>0.02</v>
      </c>
      <c r="F20" s="50">
        <f>'賓果 - 1分20卡'!F20</f>
        <v>1</v>
      </c>
      <c r="G20" s="50">
        <f>'賓果 - 1分20卡'!G20</f>
        <v>2</v>
      </c>
      <c r="H20" s="50">
        <f>'賓果 - 1分20卡'!H20</f>
        <v>3</v>
      </c>
      <c r="I20" s="50">
        <f>'賓果 - 1分20卡'!I20</f>
        <v>4</v>
      </c>
      <c r="J20" s="50">
        <f>'賓果 - 1分20卡'!J20</f>
        <v>5</v>
      </c>
      <c r="K20" s="50">
        <f>'賓果 - 1分20卡'!K20</f>
        <v>7</v>
      </c>
      <c r="L20" s="50">
        <f>'賓果 - 1分20卡'!L20</f>
        <v>10</v>
      </c>
      <c r="M20" s="50">
        <f>'賓果 - 1分20卡'!M20</f>
        <v>13</v>
      </c>
      <c r="N20" s="50">
        <f>'賓果 - 1分20卡'!N20</f>
        <v>15</v>
      </c>
      <c r="O20" s="50">
        <f>'賓果 - 1分20卡'!O20</f>
        <v>16</v>
      </c>
      <c r="P20" s="50">
        <f>'賓果 - 1分20卡'!P20</f>
        <v>17</v>
      </c>
      <c r="Q20" s="50">
        <f>'賓果 - 1分20卡'!Q20</f>
        <v>18</v>
      </c>
      <c r="R20" s="50">
        <f>'賓果 - 1分20卡'!R20</f>
        <v>19</v>
      </c>
      <c r="S20" s="50">
        <f>'賓果 - 1分20卡'!S20</f>
        <v>20</v>
      </c>
      <c r="T20" s="50">
        <f>'賓果 - 1分20卡'!T20</f>
        <v>21</v>
      </c>
      <c r="U20" s="50">
        <f>'賓果 - 1分20卡'!U20</f>
        <v>22</v>
      </c>
      <c r="V20" s="50">
        <f>'賓果 - 1分20卡'!V20</f>
        <v>23</v>
      </c>
      <c r="W20" s="50">
        <f>'賓果 - 1分20卡'!W20</f>
        <v>24</v>
      </c>
      <c r="X20" s="50">
        <f>'賓果 - 1分20卡'!X20</f>
        <v>25</v>
      </c>
      <c r="Y20" s="50">
        <f>'賓果 - 1分20卡'!Y20</f>
        <v>26</v>
      </c>
      <c r="AA20" s="52"/>
    </row>
    <row r="21" ht="17.25" customHeight="1">
      <c r="A21" s="48" t="str">
        <f>'試算-賓果'!A35</f>
        <v>BRL</v>
      </c>
      <c r="B21" s="50" t="str">
        <f>'試算-賓果'!B35</f>
        <v>R$</v>
      </c>
      <c r="C21" s="160" t="str">
        <f>'試算-賓果'!C35</f>
        <v>巴西雷亞爾</v>
      </c>
      <c r="D21" s="50" t="str">
        <f>IF('試算-SLOT'!D21=1,"",'試算-SLOT'!D21)</f>
        <v/>
      </c>
      <c r="E21" s="50">
        <f>'試算-賓果'!K35</f>
        <v>0.01</v>
      </c>
      <c r="F21" s="50">
        <f>'賓果 - 1分20卡'!F21</f>
        <v>1</v>
      </c>
      <c r="G21" s="50">
        <f>'賓果 - 1分20卡'!G21</f>
        <v>2</v>
      </c>
      <c r="H21" s="50">
        <f>'賓果 - 1分20卡'!H21</f>
        <v>3</v>
      </c>
      <c r="I21" s="50">
        <f>'賓果 - 1分20卡'!I21</f>
        <v>4</v>
      </c>
      <c r="J21" s="50">
        <f>'賓果 - 1分20卡'!J21</f>
        <v>5</v>
      </c>
      <c r="K21" s="50">
        <f>'賓果 - 1分20卡'!K21</f>
        <v>7</v>
      </c>
      <c r="L21" s="50">
        <f>'賓果 - 1分20卡'!L21</f>
        <v>10</v>
      </c>
      <c r="M21" s="50">
        <f>'賓果 - 1分20卡'!M21</f>
        <v>13</v>
      </c>
      <c r="N21" s="50">
        <f>'賓果 - 1分20卡'!N21</f>
        <v>15</v>
      </c>
      <c r="O21" s="50">
        <f>'賓果 - 1分20卡'!O21</f>
        <v>16</v>
      </c>
      <c r="P21" s="50">
        <f>'賓果 - 1分20卡'!P21</f>
        <v>17</v>
      </c>
      <c r="Q21" s="50">
        <f>'賓果 - 1分20卡'!Q21</f>
        <v>18</v>
      </c>
      <c r="R21" s="50">
        <f>'賓果 - 1分20卡'!R21</f>
        <v>19</v>
      </c>
      <c r="S21" s="50">
        <f>'賓果 - 1分20卡'!S21</f>
        <v>20</v>
      </c>
      <c r="T21" s="50">
        <f>'賓果 - 1分20卡'!T21</f>
        <v>21</v>
      </c>
      <c r="U21" s="50">
        <f>'賓果 - 1分20卡'!U21</f>
        <v>22</v>
      </c>
      <c r="V21" s="50">
        <f>'賓果 - 1分20卡'!V21</f>
        <v>23</v>
      </c>
      <c r="W21" s="50">
        <f>'賓果 - 1分20卡'!W21</f>
        <v>24</v>
      </c>
      <c r="X21" s="50">
        <f>'賓果 - 1分20卡'!X21</f>
        <v>25</v>
      </c>
      <c r="Y21" s="50">
        <f>'賓果 - 1分20卡'!Y21</f>
        <v>26</v>
      </c>
      <c r="AA21" s="52"/>
    </row>
    <row r="22" ht="17.25" customHeight="1">
      <c r="A22" s="82" t="str">
        <f>'試算-賓果'!A36</f>
        <v>AUD</v>
      </c>
      <c r="B22" s="84" t="str">
        <f>'試算-賓果'!B36</f>
        <v>A$</v>
      </c>
      <c r="C22" s="161" t="str">
        <f>'試算-賓果'!C36</f>
        <v>澳洲元</v>
      </c>
      <c r="D22" s="84" t="str">
        <f>IF('試算-SLOT'!D22=1,"",'試算-SLOT'!D22)</f>
        <v/>
      </c>
      <c r="E22" s="84">
        <f>'試算-賓果'!K36</f>
        <v>0.01</v>
      </c>
      <c r="F22" s="84">
        <f>'賓果 - 1分20卡'!F22</f>
        <v>1</v>
      </c>
      <c r="G22" s="84">
        <f>'賓果 - 1分20卡'!G22</f>
        <v>2</v>
      </c>
      <c r="H22" s="84">
        <f>'賓果 - 1分20卡'!H22</f>
        <v>3</v>
      </c>
      <c r="I22" s="84">
        <f>'賓果 - 1分20卡'!I22</f>
        <v>4</v>
      </c>
      <c r="J22" s="84">
        <f>'賓果 - 1分20卡'!J22</f>
        <v>5</v>
      </c>
      <c r="K22" s="84">
        <f>'賓果 - 1分20卡'!K22</f>
        <v>6</v>
      </c>
      <c r="L22" s="84">
        <f>'賓果 - 1分20卡'!L22</f>
        <v>7</v>
      </c>
      <c r="M22" s="84">
        <f>'賓果 - 1分20卡'!M22</f>
        <v>8</v>
      </c>
      <c r="N22" s="84">
        <f>'賓果 - 1分20卡'!N22</f>
        <v>9</v>
      </c>
      <c r="O22" s="84">
        <f>'賓果 - 1分20卡'!O22</f>
        <v>10</v>
      </c>
      <c r="P22" s="84">
        <f>'賓果 - 1分20卡'!P22</f>
        <v>11</v>
      </c>
      <c r="Q22" s="84">
        <f>'賓果 - 1分20卡'!Q22</f>
        <v>12</v>
      </c>
      <c r="R22" s="84">
        <f>'賓果 - 1分20卡'!R22</f>
        <v>14</v>
      </c>
      <c r="S22" s="84">
        <f>'賓果 - 1分20卡'!S22</f>
        <v>15</v>
      </c>
      <c r="T22" s="84">
        <f>'賓果 - 1分20卡'!T22</f>
        <v>16</v>
      </c>
      <c r="U22" s="84">
        <f>'賓果 - 1分20卡'!U22</f>
        <v>17</v>
      </c>
      <c r="V22" s="84">
        <f>'賓果 - 1分20卡'!V22</f>
        <v>18</v>
      </c>
      <c r="W22" s="84">
        <f>'賓果 - 1分20卡'!W22</f>
        <v>19</v>
      </c>
      <c r="X22" s="84">
        <f>'賓果 - 1分20卡'!X22</f>
        <v>20</v>
      </c>
      <c r="Y22" s="84">
        <f>'賓果 - 1分20卡'!Y22</f>
        <v>21</v>
      </c>
      <c r="AA22" s="52"/>
    </row>
    <row r="23" ht="17.25" customHeight="1">
      <c r="A23" s="48" t="str">
        <f>'試算-賓果'!A37</f>
        <v>JPY</v>
      </c>
      <c r="B23" s="50" t="str">
        <f>'試算-賓果'!B37</f>
        <v>￥</v>
      </c>
      <c r="C23" s="160" t="str">
        <f>'試算-賓果'!C37</f>
        <v>日圓</v>
      </c>
      <c r="D23" s="50" t="str">
        <f>IF('試算-SLOT'!D23=1,"",'試算-SLOT'!D23)</f>
        <v/>
      </c>
      <c r="E23" s="50">
        <f>'試算-賓果'!K37</f>
        <v>0.2</v>
      </c>
      <c r="F23" s="50">
        <f>'賓果 - 1分20卡'!F23</f>
        <v>1</v>
      </c>
      <c r="G23" s="50">
        <f>'賓果 - 1分20卡'!G23</f>
        <v>2</v>
      </c>
      <c r="H23" s="50">
        <f>'賓果 - 1分20卡'!H23</f>
        <v>3</v>
      </c>
      <c r="I23" s="50">
        <f>'賓果 - 1分20卡'!I23</f>
        <v>4</v>
      </c>
      <c r="J23" s="50">
        <f>'賓果 - 1分20卡'!J23</f>
        <v>5</v>
      </c>
      <c r="K23" s="50">
        <f>'賓果 - 1分20卡'!K23</f>
        <v>7</v>
      </c>
      <c r="L23" s="50">
        <f>'賓果 - 1分20卡'!L23</f>
        <v>10</v>
      </c>
      <c r="M23" s="50">
        <f>'賓果 - 1分20卡'!M23</f>
        <v>13</v>
      </c>
      <c r="N23" s="50">
        <f>'賓果 - 1分20卡'!N23</f>
        <v>15</v>
      </c>
      <c r="O23" s="50">
        <f>'賓果 - 1分20卡'!O23</f>
        <v>16</v>
      </c>
      <c r="P23" s="50">
        <f>'賓果 - 1分20卡'!P23</f>
        <v>17</v>
      </c>
      <c r="Q23" s="50">
        <f>'賓果 - 1分20卡'!Q23</f>
        <v>18</v>
      </c>
      <c r="R23" s="50">
        <f>'賓果 - 1分20卡'!R23</f>
        <v>19</v>
      </c>
      <c r="S23" s="50">
        <f>'賓果 - 1分20卡'!S23</f>
        <v>20</v>
      </c>
      <c r="T23" s="50">
        <f>'賓果 - 1分20卡'!T23</f>
        <v>21</v>
      </c>
      <c r="U23" s="50">
        <f>'賓果 - 1分20卡'!U23</f>
        <v>22</v>
      </c>
      <c r="V23" s="50">
        <f>'賓果 - 1分20卡'!V23</f>
        <v>23</v>
      </c>
      <c r="W23" s="50">
        <f>'賓果 - 1分20卡'!W23</f>
        <v>24</v>
      </c>
      <c r="X23" s="50">
        <f>'賓果 - 1分20卡'!X23</f>
        <v>25</v>
      </c>
      <c r="Y23" s="50">
        <f>'賓果 - 1分20卡'!Y23</f>
        <v>26</v>
      </c>
      <c r="AA23" s="52"/>
    </row>
    <row r="24" ht="17.25" customHeight="1">
      <c r="A24" s="48" t="str">
        <f>'試算-賓果'!A38</f>
        <v>KRW</v>
      </c>
      <c r="B24" s="50" t="str">
        <f>'試算-賓果'!B38</f>
        <v>₩</v>
      </c>
      <c r="C24" s="160" t="str">
        <f>'試算-賓果'!C38</f>
        <v>韓圓</v>
      </c>
      <c r="D24" s="50" t="str">
        <f>IF('試算-SLOT'!D24=1,"",'試算-SLOT'!D24)</f>
        <v/>
      </c>
      <c r="E24" s="50">
        <f>'試算-賓果'!K38</f>
        <v>2</v>
      </c>
      <c r="F24" s="50">
        <f>'賓果 - 1分20卡'!F24</f>
        <v>1</v>
      </c>
      <c r="G24" s="50">
        <f>'賓果 - 1分20卡'!G24</f>
        <v>2</v>
      </c>
      <c r="H24" s="50">
        <f>'賓果 - 1分20卡'!H24</f>
        <v>3</v>
      </c>
      <c r="I24" s="50">
        <f>'賓果 - 1分20卡'!I24</f>
        <v>4</v>
      </c>
      <c r="J24" s="50">
        <f>'賓果 - 1分20卡'!J24</f>
        <v>5</v>
      </c>
      <c r="K24" s="50">
        <f>'賓果 - 1分20卡'!K24</f>
        <v>7</v>
      </c>
      <c r="L24" s="50">
        <f>'賓果 - 1分20卡'!L24</f>
        <v>10</v>
      </c>
      <c r="M24" s="50">
        <f>'賓果 - 1分20卡'!M24</f>
        <v>13</v>
      </c>
      <c r="N24" s="50">
        <f>'賓果 - 1分20卡'!N24</f>
        <v>15</v>
      </c>
      <c r="O24" s="50">
        <f>'賓果 - 1分20卡'!O24</f>
        <v>16</v>
      </c>
      <c r="P24" s="50">
        <f>'賓果 - 1分20卡'!P24</f>
        <v>17</v>
      </c>
      <c r="Q24" s="50">
        <f>'賓果 - 1分20卡'!Q24</f>
        <v>18</v>
      </c>
      <c r="R24" s="50">
        <f>'賓果 - 1分20卡'!R24</f>
        <v>19</v>
      </c>
      <c r="S24" s="50">
        <f>'賓果 - 1分20卡'!S24</f>
        <v>20</v>
      </c>
      <c r="T24" s="50">
        <f>'賓果 - 1分20卡'!T24</f>
        <v>21</v>
      </c>
      <c r="U24" s="50">
        <f>'賓果 - 1分20卡'!U24</f>
        <v>22</v>
      </c>
      <c r="V24" s="50">
        <f>'賓果 - 1分20卡'!V24</f>
        <v>23</v>
      </c>
      <c r="W24" s="50">
        <f>'賓果 - 1分20卡'!W24</f>
        <v>24</v>
      </c>
      <c r="X24" s="50">
        <f>'賓果 - 1分20卡'!X24</f>
        <v>25</v>
      </c>
      <c r="Y24" s="50">
        <f>'賓果 - 1分20卡'!Y24</f>
        <v>26</v>
      </c>
      <c r="AA24" s="52"/>
    </row>
    <row r="25" ht="17.25" customHeight="1">
      <c r="A25" s="48" t="str">
        <f>'試算-賓果'!A39</f>
        <v>CLP</v>
      </c>
      <c r="B25" s="50" t="str">
        <f>'試算-賓果'!B39</f>
        <v>$</v>
      </c>
      <c r="C25" s="160" t="str">
        <f>'試算-賓果'!C39</f>
        <v>智利披索</v>
      </c>
      <c r="D25" s="50" t="str">
        <f>IF('試算-SLOT'!D25=1,"",'試算-SLOT'!D25)</f>
        <v/>
      </c>
      <c r="E25" s="50">
        <f>'試算-賓果'!K39</f>
        <v>1</v>
      </c>
      <c r="F25" s="50">
        <f>'賓果 - 1分20卡'!F25</f>
        <v>1</v>
      </c>
      <c r="G25" s="50">
        <f>'賓果 - 1分20卡'!G25</f>
        <v>2</v>
      </c>
      <c r="H25" s="50">
        <f>'賓果 - 1分20卡'!H25</f>
        <v>3</v>
      </c>
      <c r="I25" s="50">
        <f>'賓果 - 1分20卡'!I25</f>
        <v>4</v>
      </c>
      <c r="J25" s="50">
        <f>'賓果 - 1分20卡'!J25</f>
        <v>5</v>
      </c>
      <c r="K25" s="50">
        <f>'賓果 - 1分20卡'!K25</f>
        <v>7</v>
      </c>
      <c r="L25" s="50">
        <f>'賓果 - 1分20卡'!L25</f>
        <v>10</v>
      </c>
      <c r="M25" s="50">
        <f>'賓果 - 1分20卡'!M25</f>
        <v>13</v>
      </c>
      <c r="N25" s="50">
        <f>'賓果 - 1分20卡'!N25</f>
        <v>15</v>
      </c>
      <c r="O25" s="50">
        <f>'賓果 - 1分20卡'!O25</f>
        <v>16</v>
      </c>
      <c r="P25" s="50">
        <f>'賓果 - 1分20卡'!P25</f>
        <v>17</v>
      </c>
      <c r="Q25" s="50">
        <f>'賓果 - 1分20卡'!Q25</f>
        <v>18</v>
      </c>
      <c r="R25" s="50">
        <f>'賓果 - 1分20卡'!R25</f>
        <v>19</v>
      </c>
      <c r="S25" s="50">
        <f>'賓果 - 1分20卡'!S25</f>
        <v>20</v>
      </c>
      <c r="T25" s="50">
        <f>'賓果 - 1分20卡'!T25</f>
        <v>21</v>
      </c>
      <c r="U25" s="50">
        <f>'賓果 - 1分20卡'!U25</f>
        <v>22</v>
      </c>
      <c r="V25" s="50">
        <f>'賓果 - 1分20卡'!V25</f>
        <v>23</v>
      </c>
      <c r="W25" s="50">
        <f>'賓果 - 1分20卡'!W25</f>
        <v>24</v>
      </c>
      <c r="X25" s="50">
        <f>'賓果 - 1分20卡'!X25</f>
        <v>25</v>
      </c>
      <c r="Y25" s="50">
        <f>'賓果 - 1分20卡'!Y25</f>
        <v>26</v>
      </c>
      <c r="AA25" s="52"/>
    </row>
    <row r="26" ht="17.25" customHeight="1">
      <c r="A26" s="48" t="str">
        <f>'試算-賓果'!A40</f>
        <v>MMKO</v>
      </c>
      <c r="B26" s="50" t="str">
        <f>'試算-賓果'!B40</f>
        <v>K</v>
      </c>
      <c r="C26" s="160" t="str">
        <f>'試算-賓果'!C40</f>
        <v>緬甸元</v>
      </c>
      <c r="D26" s="50" t="str">
        <f>IF('試算-SLOT'!D26=1,"",'試算-SLOT'!D26)</f>
        <v/>
      </c>
      <c r="E26" s="50">
        <f>'試算-賓果'!K40</f>
        <v>2</v>
      </c>
      <c r="F26" s="50">
        <f>'賓果 - 1分20卡'!F26</f>
        <v>1</v>
      </c>
      <c r="G26" s="50">
        <f>'賓果 - 1分20卡'!G26</f>
        <v>2</v>
      </c>
      <c r="H26" s="50">
        <f>'賓果 - 1分20卡'!H26</f>
        <v>3</v>
      </c>
      <c r="I26" s="50">
        <f>'賓果 - 1分20卡'!I26</f>
        <v>4</v>
      </c>
      <c r="J26" s="50">
        <f>'賓果 - 1分20卡'!J26</f>
        <v>5</v>
      </c>
      <c r="K26" s="50">
        <f>'賓果 - 1分20卡'!K26</f>
        <v>7</v>
      </c>
      <c r="L26" s="50">
        <f>'賓果 - 1分20卡'!L26</f>
        <v>10</v>
      </c>
      <c r="M26" s="50">
        <f>'賓果 - 1分20卡'!M26</f>
        <v>13</v>
      </c>
      <c r="N26" s="50">
        <f>'賓果 - 1分20卡'!N26</f>
        <v>15</v>
      </c>
      <c r="O26" s="50">
        <f>'賓果 - 1分20卡'!O26</f>
        <v>16</v>
      </c>
      <c r="P26" s="50">
        <f>'賓果 - 1分20卡'!P26</f>
        <v>17</v>
      </c>
      <c r="Q26" s="50">
        <f>'賓果 - 1分20卡'!Q26</f>
        <v>18</v>
      </c>
      <c r="R26" s="50">
        <f>'賓果 - 1分20卡'!R26</f>
        <v>19</v>
      </c>
      <c r="S26" s="50">
        <f>'賓果 - 1分20卡'!S26</f>
        <v>20</v>
      </c>
      <c r="T26" s="50">
        <f>'賓果 - 1分20卡'!T26</f>
        <v>21</v>
      </c>
      <c r="U26" s="50">
        <f>'賓果 - 1分20卡'!U26</f>
        <v>22</v>
      </c>
      <c r="V26" s="50">
        <f>'賓果 - 1分20卡'!V26</f>
        <v>23</v>
      </c>
      <c r="W26" s="50">
        <f>'賓果 - 1分20卡'!W26</f>
        <v>24</v>
      </c>
      <c r="X26" s="50">
        <f>'賓果 - 1分20卡'!X26</f>
        <v>25</v>
      </c>
      <c r="Y26" s="50">
        <f>'賓果 - 1分20卡'!Y26</f>
        <v>26</v>
      </c>
      <c r="AA26" s="52"/>
    </row>
    <row r="27" ht="17.25" customHeight="1">
      <c r="A27" s="48" t="str">
        <f>'試算-賓果'!A41</f>
        <v>IDRO</v>
      </c>
      <c r="B27" s="50" t="str">
        <f>'試算-賓果'!B41</f>
        <v>Rp</v>
      </c>
      <c r="C27" s="160" t="str">
        <f>'試算-賓果'!C41</f>
        <v>印尼盧比</v>
      </c>
      <c r="D27" s="50" t="str">
        <f>IF('試算-SLOT'!D27=1,"",'試算-SLOT'!D27)</f>
        <v/>
      </c>
      <c r="E27" s="50">
        <f>'試算-賓果'!K41</f>
        <v>20</v>
      </c>
      <c r="F27" s="50">
        <f>'賓果 - 1分20卡'!F27</f>
        <v>1</v>
      </c>
      <c r="G27" s="50">
        <f>'賓果 - 1分20卡'!G27</f>
        <v>2</v>
      </c>
      <c r="H27" s="50">
        <f>'賓果 - 1分20卡'!H27</f>
        <v>3</v>
      </c>
      <c r="I27" s="50">
        <f>'賓果 - 1分20卡'!I27</f>
        <v>4</v>
      </c>
      <c r="J27" s="50">
        <f>'賓果 - 1分20卡'!J27</f>
        <v>5</v>
      </c>
      <c r="K27" s="50">
        <f>'賓果 - 1分20卡'!K27</f>
        <v>7</v>
      </c>
      <c r="L27" s="50">
        <f>'賓果 - 1分20卡'!L27</f>
        <v>10</v>
      </c>
      <c r="M27" s="50">
        <f>'賓果 - 1分20卡'!M27</f>
        <v>13</v>
      </c>
      <c r="N27" s="50">
        <f>'賓果 - 1分20卡'!N27</f>
        <v>15</v>
      </c>
      <c r="O27" s="50">
        <f>'賓果 - 1分20卡'!O27</f>
        <v>16</v>
      </c>
      <c r="P27" s="50">
        <f>'賓果 - 1分20卡'!P27</f>
        <v>17</v>
      </c>
      <c r="Q27" s="50">
        <f>'賓果 - 1分20卡'!Q27</f>
        <v>18</v>
      </c>
      <c r="R27" s="50">
        <f>'賓果 - 1分20卡'!R27</f>
        <v>19</v>
      </c>
      <c r="S27" s="50">
        <f>'賓果 - 1分20卡'!S27</f>
        <v>20</v>
      </c>
      <c r="T27" s="50">
        <f>'賓果 - 1分20卡'!T27</f>
        <v>21</v>
      </c>
      <c r="U27" s="50">
        <f>'賓果 - 1分20卡'!U27</f>
        <v>22</v>
      </c>
      <c r="V27" s="50">
        <f>'賓果 - 1分20卡'!V27</f>
        <v>23</v>
      </c>
      <c r="W27" s="50">
        <f>'賓果 - 1分20卡'!W27</f>
        <v>24</v>
      </c>
      <c r="X27" s="50">
        <f>'賓果 - 1分20卡'!X27</f>
        <v>25</v>
      </c>
      <c r="Y27" s="50">
        <f>'賓果 - 1分20卡'!Y27</f>
        <v>26</v>
      </c>
      <c r="AA27" s="52"/>
    </row>
    <row r="28" ht="17.25" customHeight="1">
      <c r="A28" s="48" t="str">
        <f>'試算-賓果'!A42</f>
        <v>RUB</v>
      </c>
      <c r="B28" s="50" t="str">
        <f>'試算-賓果'!B42</f>
        <v>₽</v>
      </c>
      <c r="C28" s="160" t="str">
        <f>'試算-賓果'!C42</f>
        <v>盧布</v>
      </c>
      <c r="D28" s="50" t="str">
        <f>IF('試算-SLOT'!D28=1,"",'試算-SLOT'!D28)</f>
        <v/>
      </c>
      <c r="E28" s="50">
        <f>'試算-賓果'!K42</f>
        <v>0.1</v>
      </c>
      <c r="F28" s="50">
        <f>'賓果 - 1分20卡'!F28</f>
        <v>1</v>
      </c>
      <c r="G28" s="50">
        <f>'賓果 - 1分20卡'!G28</f>
        <v>2</v>
      </c>
      <c r="H28" s="50">
        <f>'賓果 - 1分20卡'!H28</f>
        <v>3</v>
      </c>
      <c r="I28" s="50">
        <f>'賓果 - 1分20卡'!I28</f>
        <v>4</v>
      </c>
      <c r="J28" s="50">
        <f>'賓果 - 1分20卡'!J28</f>
        <v>5</v>
      </c>
      <c r="K28" s="50">
        <f>'賓果 - 1分20卡'!K28</f>
        <v>7</v>
      </c>
      <c r="L28" s="50">
        <f>'賓果 - 1分20卡'!L28</f>
        <v>10</v>
      </c>
      <c r="M28" s="50">
        <f>'賓果 - 1分20卡'!M28</f>
        <v>13</v>
      </c>
      <c r="N28" s="50">
        <f>'賓果 - 1分20卡'!N28</f>
        <v>15</v>
      </c>
      <c r="O28" s="50">
        <f>'賓果 - 1分20卡'!O28</f>
        <v>16</v>
      </c>
      <c r="P28" s="50">
        <f>'賓果 - 1分20卡'!P28</f>
        <v>17</v>
      </c>
      <c r="Q28" s="50">
        <f>'賓果 - 1分20卡'!Q28</f>
        <v>18</v>
      </c>
      <c r="R28" s="50">
        <f>'賓果 - 1分20卡'!R28</f>
        <v>19</v>
      </c>
      <c r="S28" s="50">
        <f>'賓果 - 1分20卡'!S28</f>
        <v>20</v>
      </c>
      <c r="T28" s="50">
        <f>'賓果 - 1分20卡'!T28</f>
        <v>21</v>
      </c>
      <c r="U28" s="50">
        <f>'賓果 - 1分20卡'!U28</f>
        <v>22</v>
      </c>
      <c r="V28" s="50">
        <f>'賓果 - 1分20卡'!V28</f>
        <v>23</v>
      </c>
      <c r="W28" s="50">
        <f>'賓果 - 1分20卡'!W28</f>
        <v>24</v>
      </c>
      <c r="X28" s="50">
        <f>'賓果 - 1分20卡'!X28</f>
        <v>25</v>
      </c>
      <c r="Y28" s="50">
        <f>'賓果 - 1分20卡'!Y28</f>
        <v>26</v>
      </c>
      <c r="AA28" s="52"/>
    </row>
    <row r="29" ht="17.25" customHeight="1">
      <c r="A29" s="48" t="str">
        <f>'試算-賓果'!A43</f>
        <v>LKR</v>
      </c>
      <c r="B29" s="50" t="str">
        <f>'試算-賓果'!B43</f>
        <v>₨</v>
      </c>
      <c r="C29" s="160" t="str">
        <f>'試算-賓果'!C43</f>
        <v>斯里蘭卡盧比</v>
      </c>
      <c r="D29" s="50" t="str">
        <f>IF('試算-SLOT'!D29=1,"",'試算-SLOT'!D29)</f>
        <v/>
      </c>
      <c r="E29" s="50">
        <f>'試算-賓果'!K43</f>
        <v>0.5</v>
      </c>
      <c r="F29" s="50">
        <f>'賓果 - 1分20卡'!F29</f>
        <v>1</v>
      </c>
      <c r="G29" s="50">
        <f>'賓果 - 1分20卡'!G29</f>
        <v>2</v>
      </c>
      <c r="H29" s="50">
        <f>'賓果 - 1分20卡'!H29</f>
        <v>3</v>
      </c>
      <c r="I29" s="50">
        <f>'賓果 - 1分20卡'!I29</f>
        <v>4</v>
      </c>
      <c r="J29" s="50">
        <f>'賓果 - 1分20卡'!J29</f>
        <v>5</v>
      </c>
      <c r="K29" s="50">
        <f>'賓果 - 1分20卡'!K29</f>
        <v>7</v>
      </c>
      <c r="L29" s="50">
        <f>'賓果 - 1分20卡'!L29</f>
        <v>10</v>
      </c>
      <c r="M29" s="50">
        <f>'賓果 - 1分20卡'!M29</f>
        <v>13</v>
      </c>
      <c r="N29" s="50">
        <f>'賓果 - 1分20卡'!N29</f>
        <v>15</v>
      </c>
      <c r="O29" s="50">
        <f>'賓果 - 1分20卡'!O29</f>
        <v>16</v>
      </c>
      <c r="P29" s="50">
        <f>'賓果 - 1分20卡'!P29</f>
        <v>17</v>
      </c>
      <c r="Q29" s="50">
        <f>'賓果 - 1分20卡'!Q29</f>
        <v>18</v>
      </c>
      <c r="R29" s="50">
        <f>'賓果 - 1分20卡'!R29</f>
        <v>19</v>
      </c>
      <c r="S29" s="50">
        <f>'賓果 - 1分20卡'!S29</f>
        <v>20</v>
      </c>
      <c r="T29" s="50">
        <f>'賓果 - 1分20卡'!T29</f>
        <v>21</v>
      </c>
      <c r="U29" s="50">
        <f>'賓果 - 1分20卡'!U29</f>
        <v>22</v>
      </c>
      <c r="V29" s="50">
        <f>'賓果 - 1分20卡'!V29</f>
        <v>23</v>
      </c>
      <c r="W29" s="50">
        <f>'賓果 - 1分20卡'!W29</f>
        <v>24</v>
      </c>
      <c r="X29" s="50">
        <f>'賓果 - 1分20卡'!X29</f>
        <v>25</v>
      </c>
      <c r="Y29" s="50">
        <f>'賓果 - 1分20卡'!Y29</f>
        <v>26</v>
      </c>
      <c r="AA29" s="52"/>
    </row>
    <row r="30" ht="17.25" customHeight="1">
      <c r="A30" s="48" t="str">
        <f>'試算-賓果'!A44</f>
        <v>ETB</v>
      </c>
      <c r="B30" s="50" t="str">
        <f>'試算-賓果'!B44</f>
        <v>Br‎</v>
      </c>
      <c r="C30" s="160" t="str">
        <f>'試算-賓果'!C44</f>
        <v>衣索比亞比爾</v>
      </c>
      <c r="D30" s="50" t="str">
        <f>IF('試算-SLOT'!D30=1,"",'試算-SLOT'!D30)</f>
        <v/>
      </c>
      <c r="E30" s="50">
        <f>'試算-賓果'!K44</f>
        <v>0.05</v>
      </c>
      <c r="F30" s="50">
        <f>'賓果 - 1分20卡'!F30</f>
        <v>1</v>
      </c>
      <c r="G30" s="50">
        <f>'賓果 - 1分20卡'!G30</f>
        <v>2</v>
      </c>
      <c r="H30" s="50">
        <f>'賓果 - 1分20卡'!H30</f>
        <v>3</v>
      </c>
      <c r="I30" s="50">
        <f>'賓果 - 1分20卡'!I30</f>
        <v>4</v>
      </c>
      <c r="J30" s="50">
        <f>'賓果 - 1分20卡'!J30</f>
        <v>5</v>
      </c>
      <c r="K30" s="50">
        <f>'賓果 - 1分20卡'!K30</f>
        <v>7</v>
      </c>
      <c r="L30" s="50">
        <f>'賓果 - 1分20卡'!L30</f>
        <v>10</v>
      </c>
      <c r="M30" s="50">
        <f>'賓果 - 1分20卡'!M30</f>
        <v>13</v>
      </c>
      <c r="N30" s="50">
        <f>'賓果 - 1分20卡'!N30</f>
        <v>15</v>
      </c>
      <c r="O30" s="50">
        <f>'賓果 - 1分20卡'!O30</f>
        <v>16</v>
      </c>
      <c r="P30" s="50">
        <f>'賓果 - 1分20卡'!P30</f>
        <v>17</v>
      </c>
      <c r="Q30" s="50">
        <f>'賓果 - 1分20卡'!Q30</f>
        <v>18</v>
      </c>
      <c r="R30" s="50">
        <f>'賓果 - 1分20卡'!R30</f>
        <v>19</v>
      </c>
      <c r="S30" s="50">
        <f>'賓果 - 1分20卡'!S30</f>
        <v>20</v>
      </c>
      <c r="T30" s="50">
        <f>'賓果 - 1分20卡'!T30</f>
        <v>21</v>
      </c>
      <c r="U30" s="50">
        <f>'賓果 - 1分20卡'!U30</f>
        <v>22</v>
      </c>
      <c r="V30" s="50">
        <f>'賓果 - 1分20卡'!V30</f>
        <v>23</v>
      </c>
      <c r="W30" s="50">
        <f>'賓果 - 1分20卡'!W30</f>
        <v>24</v>
      </c>
      <c r="X30" s="50">
        <f>'賓果 - 1分20卡'!X30</f>
        <v>25</v>
      </c>
      <c r="Y30" s="50">
        <f>'賓果 - 1分20卡'!Y30</f>
        <v>26</v>
      </c>
      <c r="AA30" s="52"/>
    </row>
    <row r="31" ht="17.25" customHeight="1">
      <c r="A31" s="48" t="str">
        <f>'試算-賓果'!A45</f>
        <v>UGX</v>
      </c>
      <c r="B31" s="50" t="str">
        <f>'試算-賓果'!B45</f>
        <v>USh</v>
      </c>
      <c r="C31" s="160" t="str">
        <f>'試算-賓果'!C45</f>
        <v>烏干達先令</v>
      </c>
      <c r="D31" s="50" t="str">
        <f>IF('試算-SLOT'!D31=1,"",'試算-SLOT'!D31)</f>
        <v/>
      </c>
      <c r="E31" s="50">
        <f>'試算-賓果'!K45</f>
        <v>5</v>
      </c>
      <c r="F31" s="50">
        <f>'賓果 - 1分20卡'!F31</f>
        <v>1</v>
      </c>
      <c r="G31" s="50">
        <f>'賓果 - 1分20卡'!G31</f>
        <v>2</v>
      </c>
      <c r="H31" s="50">
        <f>'賓果 - 1分20卡'!H31</f>
        <v>3</v>
      </c>
      <c r="I31" s="50">
        <f>'賓果 - 1分20卡'!I31</f>
        <v>4</v>
      </c>
      <c r="J31" s="50">
        <f>'賓果 - 1分20卡'!J31</f>
        <v>5</v>
      </c>
      <c r="K31" s="50">
        <f>'賓果 - 1分20卡'!K31</f>
        <v>7</v>
      </c>
      <c r="L31" s="50">
        <f>'賓果 - 1分20卡'!L31</f>
        <v>10</v>
      </c>
      <c r="M31" s="50">
        <f>'賓果 - 1分20卡'!M31</f>
        <v>13</v>
      </c>
      <c r="N31" s="50">
        <f>'賓果 - 1分20卡'!N31</f>
        <v>15</v>
      </c>
      <c r="O31" s="50">
        <f>'賓果 - 1分20卡'!O31</f>
        <v>16</v>
      </c>
      <c r="P31" s="50">
        <f>'賓果 - 1分20卡'!P31</f>
        <v>17</v>
      </c>
      <c r="Q31" s="50">
        <f>'賓果 - 1分20卡'!Q31</f>
        <v>18</v>
      </c>
      <c r="R31" s="50">
        <f>'賓果 - 1分20卡'!R31</f>
        <v>19</v>
      </c>
      <c r="S31" s="50">
        <f>'賓果 - 1分20卡'!S31</f>
        <v>20</v>
      </c>
      <c r="T31" s="50">
        <f>'賓果 - 1分20卡'!T31</f>
        <v>21</v>
      </c>
      <c r="U31" s="50">
        <f>'賓果 - 1分20卡'!U31</f>
        <v>22</v>
      </c>
      <c r="V31" s="50">
        <f>'賓果 - 1分20卡'!V31</f>
        <v>23</v>
      </c>
      <c r="W31" s="50">
        <f>'賓果 - 1分20卡'!W31</f>
        <v>24</v>
      </c>
      <c r="X31" s="50">
        <f>'賓果 - 1分20卡'!X31</f>
        <v>25</v>
      </c>
      <c r="Y31" s="50">
        <f>'賓果 - 1分20卡'!Y31</f>
        <v>26</v>
      </c>
      <c r="AA31" s="52"/>
    </row>
    <row r="32" ht="17.25" customHeight="1">
      <c r="A32" s="82" t="str">
        <f>'試算-賓果'!A46</f>
        <v>EUR</v>
      </c>
      <c r="B32" s="84" t="str">
        <f>'試算-賓果'!B46</f>
        <v>€</v>
      </c>
      <c r="C32" s="161" t="str">
        <f>'試算-賓果'!C46</f>
        <v>歐元</v>
      </c>
      <c r="D32" s="84" t="str">
        <f>IF('試算-SLOT'!D32=1,"",'試算-SLOT'!D32)</f>
        <v/>
      </c>
      <c r="E32" s="84">
        <f>'試算-賓果'!K46</f>
        <v>0.01</v>
      </c>
      <c r="F32" s="84">
        <f>'賓果 - 1分20卡'!F32</f>
        <v>1</v>
      </c>
      <c r="G32" s="84">
        <f>'賓果 - 1分20卡'!G32</f>
        <v>2</v>
      </c>
      <c r="H32" s="84">
        <f>'賓果 - 1分20卡'!H32</f>
        <v>3</v>
      </c>
      <c r="I32" s="84">
        <f>'賓果 - 1分20卡'!I32</f>
        <v>4</v>
      </c>
      <c r="J32" s="84">
        <f>'賓果 - 1分20卡'!J32</f>
        <v>5</v>
      </c>
      <c r="K32" s="84">
        <f>'賓果 - 1分20卡'!K32</f>
        <v>6</v>
      </c>
      <c r="L32" s="84">
        <f>'賓果 - 1分20卡'!L32</f>
        <v>7</v>
      </c>
      <c r="M32" s="84">
        <f>'賓果 - 1分20卡'!M32</f>
        <v>8</v>
      </c>
      <c r="N32" s="84">
        <f>'賓果 - 1分20卡'!N32</f>
        <v>9</v>
      </c>
      <c r="O32" s="84">
        <f>'賓果 - 1分20卡'!O32</f>
        <v>10</v>
      </c>
      <c r="P32" s="84">
        <f>'賓果 - 1分20卡'!P32</f>
        <v>11</v>
      </c>
      <c r="Q32" s="84">
        <f>'賓果 - 1分20卡'!Q32</f>
        <v>12</v>
      </c>
      <c r="R32" s="84">
        <f>'賓果 - 1分20卡'!R32</f>
        <v>14</v>
      </c>
      <c r="S32" s="84">
        <f>'賓果 - 1分20卡'!S32</f>
        <v>15</v>
      </c>
      <c r="T32" s="84">
        <f>'賓果 - 1分20卡'!T32</f>
        <v>16</v>
      </c>
      <c r="U32" s="84">
        <f>'賓果 - 1分20卡'!U32</f>
        <v>17</v>
      </c>
      <c r="V32" s="84">
        <f>'賓果 - 1分20卡'!V32</f>
        <v>18</v>
      </c>
      <c r="W32" s="84">
        <f>'賓果 - 1分20卡'!W32</f>
        <v>19</v>
      </c>
      <c r="X32" s="84">
        <f>'賓果 - 1分20卡'!X32</f>
        <v>20</v>
      </c>
      <c r="Y32" s="84">
        <f>'賓果 - 1分20卡'!Y32</f>
        <v>21</v>
      </c>
      <c r="AA32" s="52"/>
    </row>
    <row r="33" ht="17.25" customHeight="1">
      <c r="A33" s="48" t="str">
        <f>'試算-賓果'!A47</f>
        <v>ARS</v>
      </c>
      <c r="B33" s="50" t="str">
        <f>'試算-賓果'!B47</f>
        <v>$</v>
      </c>
      <c r="C33" s="160" t="str">
        <f>'試算-賓果'!C47</f>
        <v>阿根廷披索</v>
      </c>
      <c r="D33" s="50" t="str">
        <f>IF('試算-SLOT'!D33=1,"",'試算-SLOT'!D33)</f>
        <v/>
      </c>
      <c r="E33" s="50">
        <f>'試算-賓果'!K47</f>
        <v>0.25</v>
      </c>
      <c r="F33" s="50">
        <f>'賓果 - 1分20卡'!F33</f>
        <v>1</v>
      </c>
      <c r="G33" s="50">
        <f>'賓果 - 1分20卡'!G33</f>
        <v>2</v>
      </c>
      <c r="H33" s="50">
        <f>'賓果 - 1分20卡'!H33</f>
        <v>3</v>
      </c>
      <c r="I33" s="50">
        <f>'賓果 - 1分20卡'!I33</f>
        <v>4</v>
      </c>
      <c r="J33" s="50">
        <f>'賓果 - 1分20卡'!J33</f>
        <v>5</v>
      </c>
      <c r="K33" s="50">
        <f>'賓果 - 1分20卡'!K33</f>
        <v>7</v>
      </c>
      <c r="L33" s="50">
        <f>'賓果 - 1分20卡'!L33</f>
        <v>10</v>
      </c>
      <c r="M33" s="50">
        <f>'賓果 - 1分20卡'!M33</f>
        <v>13</v>
      </c>
      <c r="N33" s="50">
        <f>'賓果 - 1分20卡'!N33</f>
        <v>15</v>
      </c>
      <c r="O33" s="50">
        <f>'賓果 - 1分20卡'!O33</f>
        <v>16</v>
      </c>
      <c r="P33" s="50">
        <f>'賓果 - 1分20卡'!P33</f>
        <v>17</v>
      </c>
      <c r="Q33" s="50">
        <f>'賓果 - 1分20卡'!Q33</f>
        <v>18</v>
      </c>
      <c r="R33" s="50">
        <f>'賓果 - 1分20卡'!R33</f>
        <v>19</v>
      </c>
      <c r="S33" s="50">
        <f>'賓果 - 1分20卡'!S33</f>
        <v>20</v>
      </c>
      <c r="T33" s="50">
        <f>'賓果 - 1分20卡'!T33</f>
        <v>21</v>
      </c>
      <c r="U33" s="50">
        <f>'賓果 - 1分20卡'!U33</f>
        <v>22</v>
      </c>
      <c r="V33" s="50">
        <f>'賓果 - 1分20卡'!V33</f>
        <v>23</v>
      </c>
      <c r="W33" s="50">
        <f>'賓果 - 1分20卡'!W33</f>
        <v>24</v>
      </c>
      <c r="X33" s="50">
        <f>'賓果 - 1分20卡'!X33</f>
        <v>25</v>
      </c>
      <c r="Y33" s="50">
        <f>'賓果 - 1分20卡'!Y33</f>
        <v>26</v>
      </c>
      <c r="AA33" s="52"/>
    </row>
    <row r="34" ht="16.5" customHeight="1">
      <c r="A34" s="48" t="str">
        <f>'試算-賓果'!A48</f>
        <v>NGN</v>
      </c>
      <c r="B34" s="162" t="str">
        <f>'試算-賓果'!B48</f>
        <v>₦</v>
      </c>
      <c r="C34" s="160" t="str">
        <f>'試算-賓果'!C48</f>
        <v>奈及利亞奈拉</v>
      </c>
      <c r="D34" s="50" t="str">
        <f>IF('試算-SLOT'!D34=1,"",'試算-SLOT'!D34)</f>
        <v/>
      </c>
      <c r="E34" s="50">
        <f>'試算-賓果'!K48</f>
        <v>1</v>
      </c>
      <c r="F34" s="50">
        <f>'賓果 - 1分20卡'!F34</f>
        <v>1</v>
      </c>
      <c r="G34" s="50">
        <f>'賓果 - 1分20卡'!G34</f>
        <v>2</v>
      </c>
      <c r="H34" s="50">
        <f>'賓果 - 1分20卡'!H34</f>
        <v>3</v>
      </c>
      <c r="I34" s="50">
        <f>'賓果 - 1分20卡'!I34</f>
        <v>4</v>
      </c>
      <c r="J34" s="50">
        <f>'賓果 - 1分20卡'!J34</f>
        <v>5</v>
      </c>
      <c r="K34" s="50">
        <f>'賓果 - 1分20卡'!K34</f>
        <v>7</v>
      </c>
      <c r="L34" s="50">
        <f>'賓果 - 1分20卡'!L34</f>
        <v>10</v>
      </c>
      <c r="M34" s="50">
        <f>'賓果 - 1分20卡'!M34</f>
        <v>13</v>
      </c>
      <c r="N34" s="50">
        <f>'賓果 - 1分20卡'!N34</f>
        <v>15</v>
      </c>
      <c r="O34" s="50">
        <f>'賓果 - 1分20卡'!O34</f>
        <v>16</v>
      </c>
      <c r="P34" s="50">
        <f>'賓果 - 1分20卡'!P34</f>
        <v>17</v>
      </c>
      <c r="Q34" s="50">
        <f>'賓果 - 1分20卡'!Q34</f>
        <v>18</v>
      </c>
      <c r="R34" s="50">
        <f>'賓果 - 1分20卡'!R34</f>
        <v>19</v>
      </c>
      <c r="S34" s="50">
        <f>'賓果 - 1分20卡'!S34</f>
        <v>20</v>
      </c>
      <c r="T34" s="50">
        <f>'賓果 - 1分20卡'!T34</f>
        <v>21</v>
      </c>
      <c r="U34" s="50">
        <f>'賓果 - 1分20卡'!U34</f>
        <v>22</v>
      </c>
      <c r="V34" s="50">
        <f>'賓果 - 1分20卡'!V34</f>
        <v>23</v>
      </c>
      <c r="W34" s="50">
        <f>'賓果 - 1分20卡'!W34</f>
        <v>24</v>
      </c>
      <c r="X34" s="50">
        <f>'賓果 - 1分20卡'!X34</f>
        <v>25</v>
      </c>
      <c r="Y34" s="50">
        <f>'賓果 - 1分20卡'!Y34</f>
        <v>26</v>
      </c>
      <c r="AA34" s="52"/>
    </row>
    <row r="35" ht="16.5" customHeight="1">
      <c r="A35" s="48" t="str">
        <f>'試算-賓果'!A49</f>
        <v>KES</v>
      </c>
      <c r="B35" s="162" t="str">
        <f>'試算-賓果'!B49</f>
        <v>KSh</v>
      </c>
      <c r="C35" s="160" t="str">
        <f>'試算-賓果'!C49</f>
        <v>肯亞先令</v>
      </c>
      <c r="D35" s="50" t="str">
        <f>IF('試算-SLOT'!D35=1,"",'試算-SLOT'!D35)</f>
        <v/>
      </c>
      <c r="E35" s="50">
        <f>'試算-賓果'!K49</f>
        <v>0.2</v>
      </c>
      <c r="F35" s="50">
        <f>'賓果 - 1分20卡'!F35</f>
        <v>1</v>
      </c>
      <c r="G35" s="50">
        <f>'賓果 - 1分20卡'!G35</f>
        <v>2</v>
      </c>
      <c r="H35" s="50">
        <f>'賓果 - 1分20卡'!H35</f>
        <v>3</v>
      </c>
      <c r="I35" s="50">
        <f>'賓果 - 1分20卡'!I35</f>
        <v>4</v>
      </c>
      <c r="J35" s="50">
        <f>'賓果 - 1分20卡'!J35</f>
        <v>5</v>
      </c>
      <c r="K35" s="50">
        <f>'賓果 - 1分20卡'!K35</f>
        <v>7</v>
      </c>
      <c r="L35" s="50">
        <f>'賓果 - 1分20卡'!L35</f>
        <v>10</v>
      </c>
      <c r="M35" s="50">
        <f>'賓果 - 1分20卡'!M35</f>
        <v>13</v>
      </c>
      <c r="N35" s="50">
        <f>'賓果 - 1分20卡'!N35</f>
        <v>15</v>
      </c>
      <c r="O35" s="50">
        <f>'賓果 - 1分20卡'!O35</f>
        <v>16</v>
      </c>
      <c r="P35" s="50">
        <f>'賓果 - 1分20卡'!P35</f>
        <v>17</v>
      </c>
      <c r="Q35" s="50">
        <f>'賓果 - 1分20卡'!Q35</f>
        <v>18</v>
      </c>
      <c r="R35" s="50">
        <f>'賓果 - 1分20卡'!R35</f>
        <v>19</v>
      </c>
      <c r="S35" s="50">
        <f>'賓果 - 1分20卡'!S35</f>
        <v>20</v>
      </c>
      <c r="T35" s="50">
        <f>'賓果 - 1分20卡'!T35</f>
        <v>21</v>
      </c>
      <c r="U35" s="50">
        <f>'賓果 - 1分20卡'!U35</f>
        <v>22</v>
      </c>
      <c r="V35" s="50">
        <f>'賓果 - 1分20卡'!V35</f>
        <v>23</v>
      </c>
      <c r="W35" s="50">
        <f>'賓果 - 1分20卡'!W35</f>
        <v>24</v>
      </c>
      <c r="X35" s="50">
        <f>'賓果 - 1分20卡'!X35</f>
        <v>25</v>
      </c>
      <c r="Y35" s="50">
        <f>'賓果 - 1分20卡'!Y35</f>
        <v>26</v>
      </c>
      <c r="AA35" s="52"/>
    </row>
    <row r="36" ht="16.5" customHeight="1">
      <c r="A36" s="48" t="str">
        <f>'試算-賓果'!A50</f>
        <v>ZAR</v>
      </c>
      <c r="B36" s="162" t="str">
        <f>'試算-賓果'!B50</f>
        <v>R</v>
      </c>
      <c r="C36" s="160" t="str">
        <f>'試算-賓果'!C50</f>
        <v>南非鍰</v>
      </c>
      <c r="D36" s="50" t="str">
        <f>IF('試算-SLOT'!D36=1,"",'試算-SLOT'!D36)</f>
        <v/>
      </c>
      <c r="E36" s="50">
        <f>'試算-賓果'!K50</f>
        <v>0.02</v>
      </c>
      <c r="F36" s="50">
        <f>'賓果 - 1分20卡'!F36</f>
        <v>1</v>
      </c>
      <c r="G36" s="50">
        <f>'賓果 - 1分20卡'!G36</f>
        <v>2</v>
      </c>
      <c r="H36" s="50">
        <f>'賓果 - 1分20卡'!H36</f>
        <v>3</v>
      </c>
      <c r="I36" s="50">
        <f>'賓果 - 1分20卡'!I36</f>
        <v>4</v>
      </c>
      <c r="J36" s="50">
        <f>'賓果 - 1分20卡'!J36</f>
        <v>5</v>
      </c>
      <c r="K36" s="50">
        <f>'賓果 - 1分20卡'!K36</f>
        <v>7</v>
      </c>
      <c r="L36" s="50">
        <f>'賓果 - 1分20卡'!L36</f>
        <v>10</v>
      </c>
      <c r="M36" s="50">
        <f>'賓果 - 1分20卡'!M36</f>
        <v>13</v>
      </c>
      <c r="N36" s="50">
        <f>'賓果 - 1分20卡'!N36</f>
        <v>15</v>
      </c>
      <c r="O36" s="50">
        <f>'賓果 - 1分20卡'!O36</f>
        <v>16</v>
      </c>
      <c r="P36" s="50">
        <f>'賓果 - 1分20卡'!P36</f>
        <v>17</v>
      </c>
      <c r="Q36" s="50">
        <f>'賓果 - 1分20卡'!Q36</f>
        <v>18</v>
      </c>
      <c r="R36" s="50">
        <f>'賓果 - 1分20卡'!R36</f>
        <v>19</v>
      </c>
      <c r="S36" s="50">
        <f>'賓果 - 1分20卡'!S36</f>
        <v>20</v>
      </c>
      <c r="T36" s="50">
        <f>'賓果 - 1分20卡'!T36</f>
        <v>21</v>
      </c>
      <c r="U36" s="50">
        <f>'賓果 - 1分20卡'!U36</f>
        <v>22</v>
      </c>
      <c r="V36" s="50">
        <f>'賓果 - 1分20卡'!V36</f>
        <v>23</v>
      </c>
      <c r="W36" s="50">
        <f>'賓果 - 1分20卡'!W36</f>
        <v>24</v>
      </c>
      <c r="X36" s="50">
        <f>'賓果 - 1分20卡'!X36</f>
        <v>25</v>
      </c>
      <c r="Y36" s="50">
        <f>'賓果 - 1分20卡'!Y36</f>
        <v>26</v>
      </c>
      <c r="AA36" s="36"/>
    </row>
    <row r="37" ht="16.5" customHeight="1">
      <c r="A37" s="48" t="str">
        <f>'試算-賓果'!A51</f>
        <v>TRY</v>
      </c>
      <c r="B37" s="162" t="str">
        <f>'試算-賓果'!B51</f>
        <v>₺</v>
      </c>
      <c r="C37" s="160" t="str">
        <f>'試算-賓果'!C51</f>
        <v>土耳其里拉</v>
      </c>
      <c r="D37" s="50" t="str">
        <f>IF('試算-SLOT'!D37=1,"",'試算-SLOT'!D37)</f>
        <v/>
      </c>
      <c r="E37" s="50">
        <f>'試算-賓果'!K51</f>
        <v>0.04</v>
      </c>
      <c r="F37" s="50">
        <f>'賓果 - 1分20卡'!F37</f>
        <v>1</v>
      </c>
      <c r="G37" s="50">
        <f>'賓果 - 1分20卡'!G37</f>
        <v>2</v>
      </c>
      <c r="H37" s="50">
        <f>'賓果 - 1分20卡'!H37</f>
        <v>3</v>
      </c>
      <c r="I37" s="50">
        <f>'賓果 - 1分20卡'!I37</f>
        <v>4</v>
      </c>
      <c r="J37" s="50">
        <f>'賓果 - 1分20卡'!J37</f>
        <v>5</v>
      </c>
      <c r="K37" s="50">
        <f>'賓果 - 1分20卡'!K37</f>
        <v>7</v>
      </c>
      <c r="L37" s="50">
        <f>'賓果 - 1分20卡'!L37</f>
        <v>10</v>
      </c>
      <c r="M37" s="50">
        <f>'賓果 - 1分20卡'!M37</f>
        <v>13</v>
      </c>
      <c r="N37" s="50">
        <f>'賓果 - 1分20卡'!N37</f>
        <v>15</v>
      </c>
      <c r="O37" s="50">
        <f>'賓果 - 1分20卡'!O37</f>
        <v>16</v>
      </c>
      <c r="P37" s="50">
        <f>'賓果 - 1分20卡'!P37</f>
        <v>17</v>
      </c>
      <c r="Q37" s="50">
        <f>'賓果 - 1分20卡'!Q37</f>
        <v>18</v>
      </c>
      <c r="R37" s="50">
        <f>'賓果 - 1分20卡'!R37</f>
        <v>19</v>
      </c>
      <c r="S37" s="50">
        <f>'賓果 - 1分20卡'!S37</f>
        <v>20</v>
      </c>
      <c r="T37" s="50">
        <f>'賓果 - 1分20卡'!T37</f>
        <v>21</v>
      </c>
      <c r="U37" s="50">
        <f>'賓果 - 1分20卡'!U37</f>
        <v>22</v>
      </c>
      <c r="V37" s="50">
        <f>'賓果 - 1分20卡'!V37</f>
        <v>23</v>
      </c>
      <c r="W37" s="50">
        <f>'賓果 - 1分20卡'!W37</f>
        <v>24</v>
      </c>
      <c r="X37" s="50">
        <f>'賓果 - 1分20卡'!X37</f>
        <v>25</v>
      </c>
      <c r="Y37" s="50">
        <f>'賓果 - 1分20卡'!Y37</f>
        <v>26</v>
      </c>
    </row>
    <row r="38" ht="16.5" customHeight="1">
      <c r="A38" s="82" t="str">
        <f>'試算-賓果'!A52</f>
        <v>GBP</v>
      </c>
      <c r="B38" s="163" t="str">
        <f>'試算-賓果'!B52</f>
        <v>£</v>
      </c>
      <c r="C38" s="161" t="str">
        <f>'試算-賓果'!C52</f>
        <v>英鎊</v>
      </c>
      <c r="D38" s="84" t="str">
        <f>IF('試算-SLOT'!D38=1,"",'試算-SLOT'!D38)</f>
        <v/>
      </c>
      <c r="E38" s="84">
        <f>'試算-賓果'!K52</f>
        <v>0.01</v>
      </c>
      <c r="F38" s="84">
        <f>'賓果 - 1分20卡'!F38</f>
        <v>1</v>
      </c>
      <c r="G38" s="84">
        <f>'賓果 - 1分20卡'!G38</f>
        <v>2</v>
      </c>
      <c r="H38" s="84">
        <f>'賓果 - 1分20卡'!H38</f>
        <v>3</v>
      </c>
      <c r="I38" s="84">
        <f>'賓果 - 1分20卡'!I38</f>
        <v>4</v>
      </c>
      <c r="J38" s="84">
        <f>'賓果 - 1分20卡'!J38</f>
        <v>5</v>
      </c>
      <c r="K38" s="84">
        <f>'賓果 - 1分20卡'!K38</f>
        <v>6</v>
      </c>
      <c r="L38" s="84">
        <f>'賓果 - 1分20卡'!L38</f>
        <v>7</v>
      </c>
      <c r="M38" s="84">
        <f>'賓果 - 1分20卡'!M38</f>
        <v>8</v>
      </c>
      <c r="N38" s="84">
        <f>'賓果 - 1分20卡'!N38</f>
        <v>9</v>
      </c>
      <c r="O38" s="84">
        <f>'賓果 - 1分20卡'!O38</f>
        <v>10</v>
      </c>
      <c r="P38" s="84">
        <f>'賓果 - 1分20卡'!P38</f>
        <v>11</v>
      </c>
      <c r="Q38" s="84">
        <f>'賓果 - 1分20卡'!Q38</f>
        <v>12</v>
      </c>
      <c r="R38" s="84">
        <f>'賓果 - 1分20卡'!R38</f>
        <v>14</v>
      </c>
      <c r="S38" s="84">
        <f>'賓果 - 1分20卡'!S38</f>
        <v>15</v>
      </c>
      <c r="T38" s="84">
        <f>'賓果 - 1分20卡'!T38</f>
        <v>16</v>
      </c>
      <c r="U38" s="84">
        <f>'賓果 - 1分20卡'!U38</f>
        <v>17</v>
      </c>
      <c r="V38" s="84">
        <f>'賓果 - 1分20卡'!V38</f>
        <v>18</v>
      </c>
      <c r="W38" s="84">
        <f>'賓果 - 1分20卡'!W38</f>
        <v>19</v>
      </c>
      <c r="X38" s="84">
        <f>'賓果 - 1分20卡'!X38</f>
        <v>20</v>
      </c>
      <c r="Y38" s="84">
        <f>'賓果 - 1分20卡'!Y38</f>
        <v>21</v>
      </c>
    </row>
    <row r="39" ht="16.5" customHeight="1">
      <c r="A39" s="48" t="str">
        <f>'試算-賓果'!A53</f>
        <v>NPR</v>
      </c>
      <c r="B39" s="162" t="str">
        <f>'試算-賓果'!B53</f>
        <v>रू</v>
      </c>
      <c r="C39" s="160" t="str">
        <f>'試算-賓果'!C53</f>
        <v>尼泊爾盧比</v>
      </c>
      <c r="D39" s="50" t="str">
        <f>IF('試算-SLOT'!D39=1,"",'試算-SLOT'!D39)</f>
        <v/>
      </c>
      <c r="E39" s="50">
        <f>'試算-賓果'!K53</f>
        <v>0.2</v>
      </c>
      <c r="F39" s="50">
        <f>'賓果 - 1分20卡'!F39</f>
        <v>1</v>
      </c>
      <c r="G39" s="50">
        <f>'賓果 - 1分20卡'!G39</f>
        <v>2</v>
      </c>
      <c r="H39" s="50">
        <f>'賓果 - 1分20卡'!H39</f>
        <v>3</v>
      </c>
      <c r="I39" s="50">
        <f>'賓果 - 1分20卡'!I39</f>
        <v>4</v>
      </c>
      <c r="J39" s="50">
        <f>'賓果 - 1分20卡'!J39</f>
        <v>5</v>
      </c>
      <c r="K39" s="50">
        <f>'賓果 - 1分20卡'!K39</f>
        <v>7</v>
      </c>
      <c r="L39" s="50">
        <f>'賓果 - 1分20卡'!L39</f>
        <v>10</v>
      </c>
      <c r="M39" s="50">
        <f>'賓果 - 1分20卡'!M39</f>
        <v>13</v>
      </c>
      <c r="N39" s="50">
        <f>'賓果 - 1分20卡'!N39</f>
        <v>15</v>
      </c>
      <c r="O39" s="50">
        <f>'賓果 - 1分20卡'!O39</f>
        <v>16</v>
      </c>
      <c r="P39" s="50">
        <f>'賓果 - 1分20卡'!P39</f>
        <v>17</v>
      </c>
      <c r="Q39" s="50">
        <f>'賓果 - 1分20卡'!Q39</f>
        <v>18</v>
      </c>
      <c r="R39" s="50">
        <f>'賓果 - 1分20卡'!R39</f>
        <v>19</v>
      </c>
      <c r="S39" s="50">
        <f>'賓果 - 1分20卡'!S39</f>
        <v>20</v>
      </c>
      <c r="T39" s="50">
        <f>'賓果 - 1分20卡'!T39</f>
        <v>21</v>
      </c>
      <c r="U39" s="50">
        <f>'賓果 - 1分20卡'!U39</f>
        <v>22</v>
      </c>
      <c r="V39" s="50">
        <f>'賓果 - 1分20卡'!V39</f>
        <v>23</v>
      </c>
      <c r="W39" s="50">
        <f>'賓果 - 1分20卡'!W39</f>
        <v>24</v>
      </c>
      <c r="X39" s="50">
        <f>'賓果 - 1分20卡'!X39</f>
        <v>25</v>
      </c>
      <c r="Y39" s="50">
        <f>'賓果 - 1分20卡'!Y39</f>
        <v>26</v>
      </c>
    </row>
    <row r="40" ht="16.5" customHeight="1">
      <c r="A40" s="82" t="str">
        <f>'試算-賓果'!A54</f>
        <v>CHF</v>
      </c>
      <c r="B40" s="163" t="str">
        <f>'試算-賓果'!B54</f>
        <v>CHF</v>
      </c>
      <c r="C40" s="161" t="str">
        <f>'試算-賓果'!C54</f>
        <v>瑞士法郎</v>
      </c>
      <c r="D40" s="84" t="str">
        <f>IF('試算-SLOT'!D40=1,"",'試算-SLOT'!D40)</f>
        <v/>
      </c>
      <c r="E40" s="84">
        <f>'試算-賓果'!K54</f>
        <v>0.01</v>
      </c>
      <c r="F40" s="84">
        <f>'賓果 - 1分20卡'!F40</f>
        <v>1</v>
      </c>
      <c r="G40" s="84">
        <f>'賓果 - 1分20卡'!G40</f>
        <v>2</v>
      </c>
      <c r="H40" s="84">
        <f>'賓果 - 1分20卡'!H40</f>
        <v>3</v>
      </c>
      <c r="I40" s="84">
        <f>'賓果 - 1分20卡'!I40</f>
        <v>4</v>
      </c>
      <c r="J40" s="84">
        <f>'賓果 - 1分20卡'!J40</f>
        <v>5</v>
      </c>
      <c r="K40" s="84">
        <f>'賓果 - 1分20卡'!K40</f>
        <v>6</v>
      </c>
      <c r="L40" s="84">
        <f>'賓果 - 1分20卡'!L40</f>
        <v>7</v>
      </c>
      <c r="M40" s="84">
        <f>'賓果 - 1分20卡'!M40</f>
        <v>8</v>
      </c>
      <c r="N40" s="84">
        <f>'賓果 - 1分20卡'!N40</f>
        <v>9</v>
      </c>
      <c r="O40" s="84">
        <f>'賓果 - 1分20卡'!O40</f>
        <v>10</v>
      </c>
      <c r="P40" s="84">
        <f>'賓果 - 1分20卡'!P40</f>
        <v>11</v>
      </c>
      <c r="Q40" s="84">
        <f>'賓果 - 1分20卡'!Q40</f>
        <v>12</v>
      </c>
      <c r="R40" s="84">
        <f>'賓果 - 1分20卡'!R40</f>
        <v>14</v>
      </c>
      <c r="S40" s="84">
        <f>'賓果 - 1分20卡'!S40</f>
        <v>15</v>
      </c>
      <c r="T40" s="84">
        <f>'賓果 - 1分20卡'!T40</f>
        <v>16</v>
      </c>
      <c r="U40" s="84">
        <f>'賓果 - 1分20卡'!U40</f>
        <v>17</v>
      </c>
      <c r="V40" s="84">
        <f>'賓果 - 1分20卡'!V40</f>
        <v>18</v>
      </c>
      <c r="W40" s="84">
        <f>'賓果 - 1分20卡'!W40</f>
        <v>19</v>
      </c>
      <c r="X40" s="84">
        <f>'賓果 - 1分20卡'!X40</f>
        <v>20</v>
      </c>
      <c r="Y40" s="84">
        <f>'賓果 - 1分20卡'!Y40</f>
        <v>21</v>
      </c>
    </row>
    <row r="41" ht="16.5" customHeight="1">
      <c r="A41" s="82" t="str">
        <f>'試算-賓果'!A55</f>
        <v>CAD</v>
      </c>
      <c r="B41" s="163" t="str">
        <f>'試算-賓果'!B55</f>
        <v>$</v>
      </c>
      <c r="C41" s="161" t="str">
        <f>'試算-賓果'!C55</f>
        <v>加幣</v>
      </c>
      <c r="D41" s="84" t="str">
        <f>IF('試算-SLOT'!D41=1,"",'試算-SLOT'!D41)</f>
        <v/>
      </c>
      <c r="E41" s="84">
        <f>'試算-賓果'!K55</f>
        <v>0.01</v>
      </c>
      <c r="F41" s="84">
        <f>'賓果 - 1分20卡'!F41</f>
        <v>1</v>
      </c>
      <c r="G41" s="84">
        <f>'賓果 - 1分20卡'!G41</f>
        <v>2</v>
      </c>
      <c r="H41" s="84">
        <f>'賓果 - 1分20卡'!H41</f>
        <v>3</v>
      </c>
      <c r="I41" s="84">
        <f>'賓果 - 1分20卡'!I41</f>
        <v>4</v>
      </c>
      <c r="J41" s="84">
        <f>'賓果 - 1分20卡'!J41</f>
        <v>5</v>
      </c>
      <c r="K41" s="84">
        <f>'賓果 - 1分20卡'!K41</f>
        <v>6</v>
      </c>
      <c r="L41" s="84">
        <f>'賓果 - 1分20卡'!L41</f>
        <v>7</v>
      </c>
      <c r="M41" s="84">
        <f>'賓果 - 1分20卡'!M41</f>
        <v>8</v>
      </c>
      <c r="N41" s="84">
        <f>'賓果 - 1分20卡'!N41</f>
        <v>9</v>
      </c>
      <c r="O41" s="84">
        <f>'賓果 - 1分20卡'!O41</f>
        <v>10</v>
      </c>
      <c r="P41" s="84">
        <f>'賓果 - 1分20卡'!P41</f>
        <v>11</v>
      </c>
      <c r="Q41" s="84">
        <f>'賓果 - 1分20卡'!Q41</f>
        <v>12</v>
      </c>
      <c r="R41" s="84">
        <f>'賓果 - 1分20卡'!R41</f>
        <v>14</v>
      </c>
      <c r="S41" s="84">
        <f>'賓果 - 1分20卡'!S41</f>
        <v>15</v>
      </c>
      <c r="T41" s="84">
        <f>'賓果 - 1分20卡'!T41</f>
        <v>16</v>
      </c>
      <c r="U41" s="84">
        <f>'賓果 - 1分20卡'!U41</f>
        <v>17</v>
      </c>
      <c r="V41" s="84">
        <f>'賓果 - 1分20卡'!V41</f>
        <v>18</v>
      </c>
      <c r="W41" s="84">
        <f>'賓果 - 1分20卡'!W41</f>
        <v>19</v>
      </c>
      <c r="X41" s="84">
        <f>'賓果 - 1分20卡'!X41</f>
        <v>20</v>
      </c>
      <c r="Y41" s="84">
        <f>'賓果 - 1分20卡'!Y41</f>
        <v>21</v>
      </c>
    </row>
    <row r="42" ht="16.5" customHeight="1">
      <c r="A42" s="48" t="str">
        <f>'試算-賓果'!A56</f>
        <v>PEN</v>
      </c>
      <c r="B42" s="162" t="str">
        <f>'試算-賓果'!B56</f>
        <v>PEN</v>
      </c>
      <c r="C42" s="160" t="str">
        <f>'試算-賓果'!C56</f>
        <v>秘魯新索爾</v>
      </c>
      <c r="D42" s="50" t="str">
        <f>IF('試算-SLOT'!D42=1,"",'試算-SLOT'!D42)</f>
        <v/>
      </c>
      <c r="E42" s="50">
        <f>'試算-賓果'!K56</f>
        <v>0.01</v>
      </c>
      <c r="F42" s="50">
        <f>'賓果 - 1分20卡'!F42</f>
        <v>1</v>
      </c>
      <c r="G42" s="50">
        <f>'賓果 - 1分20卡'!G42</f>
        <v>2</v>
      </c>
      <c r="H42" s="50">
        <f>'賓果 - 1分20卡'!H42</f>
        <v>3</v>
      </c>
      <c r="I42" s="50">
        <f>'賓果 - 1分20卡'!I42</f>
        <v>4</v>
      </c>
      <c r="J42" s="50">
        <f>'賓果 - 1分20卡'!J42</f>
        <v>5</v>
      </c>
      <c r="K42" s="50">
        <f>'賓果 - 1分20卡'!K42</f>
        <v>7</v>
      </c>
      <c r="L42" s="50">
        <f>'賓果 - 1分20卡'!L42</f>
        <v>10</v>
      </c>
      <c r="M42" s="50">
        <f>'賓果 - 1分20卡'!M42</f>
        <v>13</v>
      </c>
      <c r="N42" s="50">
        <f>'賓果 - 1分20卡'!N42</f>
        <v>15</v>
      </c>
      <c r="O42" s="50">
        <f>'賓果 - 1分20卡'!O42</f>
        <v>16</v>
      </c>
      <c r="P42" s="50">
        <f>'賓果 - 1分20卡'!P42</f>
        <v>17</v>
      </c>
      <c r="Q42" s="50">
        <f>'賓果 - 1分20卡'!Q42</f>
        <v>18</v>
      </c>
      <c r="R42" s="50">
        <f>'賓果 - 1分20卡'!R42</f>
        <v>19</v>
      </c>
      <c r="S42" s="50">
        <f>'賓果 - 1分20卡'!S42</f>
        <v>20</v>
      </c>
      <c r="T42" s="50">
        <f>'賓果 - 1分20卡'!T42</f>
        <v>21</v>
      </c>
      <c r="U42" s="50">
        <f>'賓果 - 1分20卡'!U42</f>
        <v>22</v>
      </c>
      <c r="V42" s="50">
        <f>'賓果 - 1分20卡'!V42</f>
        <v>23</v>
      </c>
      <c r="W42" s="50">
        <f>'賓果 - 1分20卡'!W42</f>
        <v>24</v>
      </c>
      <c r="X42" s="50">
        <f>'賓果 - 1分20卡'!X42</f>
        <v>25</v>
      </c>
      <c r="Y42" s="50">
        <f>'賓果 - 1分20卡'!Y42</f>
        <v>26</v>
      </c>
    </row>
    <row r="43" ht="16.5" customHeight="1">
      <c r="A43" s="48" t="str">
        <f>'試算-賓果'!A57</f>
        <v>AED</v>
      </c>
      <c r="B43" s="162" t="str">
        <f>'試算-賓果'!B57</f>
        <v>AED</v>
      </c>
      <c r="C43" s="160" t="str">
        <f>'試算-賓果'!C57</f>
        <v>阿聯迪拉姆</v>
      </c>
      <c r="D43" s="50" t="str">
        <f>IF('試算-SLOT'!D43=1,"",'試算-SLOT'!D43)</f>
        <v/>
      </c>
      <c r="E43" s="50">
        <f>'試算-賓果'!K57</f>
        <v>0.01</v>
      </c>
      <c r="F43" s="50">
        <f>'賓果 - 1分20卡'!F43</f>
        <v>1</v>
      </c>
      <c r="G43" s="50">
        <f>'賓果 - 1分20卡'!G43</f>
        <v>2</v>
      </c>
      <c r="H43" s="50">
        <f>'賓果 - 1分20卡'!H43</f>
        <v>3</v>
      </c>
      <c r="I43" s="50">
        <f>'賓果 - 1分20卡'!I43</f>
        <v>4</v>
      </c>
      <c r="J43" s="50">
        <f>'賓果 - 1分20卡'!J43</f>
        <v>5</v>
      </c>
      <c r="K43" s="50">
        <f>'賓果 - 1分20卡'!K43</f>
        <v>7</v>
      </c>
      <c r="L43" s="50">
        <f>'賓果 - 1分20卡'!L43</f>
        <v>10</v>
      </c>
      <c r="M43" s="50">
        <f>'賓果 - 1分20卡'!M43</f>
        <v>13</v>
      </c>
      <c r="N43" s="50">
        <f>'賓果 - 1分20卡'!N43</f>
        <v>15</v>
      </c>
      <c r="O43" s="50">
        <f>'賓果 - 1分20卡'!O43</f>
        <v>16</v>
      </c>
      <c r="P43" s="50">
        <f>'賓果 - 1分20卡'!P43</f>
        <v>17</v>
      </c>
      <c r="Q43" s="50">
        <f>'賓果 - 1分20卡'!Q43</f>
        <v>18</v>
      </c>
      <c r="R43" s="50">
        <f>'賓果 - 1分20卡'!R43</f>
        <v>19</v>
      </c>
      <c r="S43" s="50">
        <f>'賓果 - 1分20卡'!S43</f>
        <v>20</v>
      </c>
      <c r="T43" s="50">
        <f>'賓果 - 1分20卡'!T43</f>
        <v>21</v>
      </c>
      <c r="U43" s="50">
        <f>'賓果 - 1分20卡'!U43</f>
        <v>22</v>
      </c>
      <c r="V43" s="50">
        <f>'賓果 - 1分20卡'!V43</f>
        <v>23</v>
      </c>
      <c r="W43" s="50">
        <f>'賓果 - 1分20卡'!W43</f>
        <v>24</v>
      </c>
      <c r="X43" s="50">
        <f>'賓果 - 1分20卡'!X43</f>
        <v>25</v>
      </c>
      <c r="Y43" s="50">
        <f>'賓果 - 1分20卡'!Y43</f>
        <v>26</v>
      </c>
    </row>
    <row r="44" ht="16.5" customHeight="1">
      <c r="A44" s="82" t="str">
        <f>'試算-賓果'!A58</f>
        <v>BND</v>
      </c>
      <c r="B44" s="163" t="str">
        <f>'試算-賓果'!B58</f>
        <v>B$</v>
      </c>
      <c r="C44" s="161" t="str">
        <f>'試算-賓果'!C58</f>
        <v>汶萊幣</v>
      </c>
      <c r="D44" s="84" t="str">
        <f>IF('試算-SLOT'!D44=1,"",'試算-SLOT'!D44)</f>
        <v/>
      </c>
      <c r="E44" s="84">
        <f>'試算-賓果'!K58</f>
        <v>0.01</v>
      </c>
      <c r="F44" s="84">
        <f>'賓果 - 1分20卡'!F44</f>
        <v>1</v>
      </c>
      <c r="G44" s="84">
        <f>'賓果 - 1分20卡'!G44</f>
        <v>2</v>
      </c>
      <c r="H44" s="84">
        <f>'賓果 - 1分20卡'!H44</f>
        <v>3</v>
      </c>
      <c r="I44" s="84">
        <f>'賓果 - 1分20卡'!I44</f>
        <v>4</v>
      </c>
      <c r="J44" s="84">
        <f>'賓果 - 1分20卡'!J44</f>
        <v>5</v>
      </c>
      <c r="K44" s="84">
        <f>'賓果 - 1分20卡'!K44</f>
        <v>6</v>
      </c>
      <c r="L44" s="84">
        <f>'賓果 - 1分20卡'!L44</f>
        <v>7</v>
      </c>
      <c r="M44" s="84">
        <f>'賓果 - 1分20卡'!M44</f>
        <v>8</v>
      </c>
      <c r="N44" s="84">
        <f>'賓果 - 1分20卡'!N44</f>
        <v>9</v>
      </c>
      <c r="O44" s="84">
        <f>'賓果 - 1分20卡'!O44</f>
        <v>10</v>
      </c>
      <c r="P44" s="84">
        <f>'賓果 - 1分20卡'!P44</f>
        <v>11</v>
      </c>
      <c r="Q44" s="84">
        <f>'賓果 - 1分20卡'!Q44</f>
        <v>12</v>
      </c>
      <c r="R44" s="84">
        <f>'賓果 - 1分20卡'!R44</f>
        <v>14</v>
      </c>
      <c r="S44" s="84">
        <f>'賓果 - 1分20卡'!S44</f>
        <v>15</v>
      </c>
      <c r="T44" s="84">
        <f>'賓果 - 1分20卡'!T44</f>
        <v>16</v>
      </c>
      <c r="U44" s="84">
        <f>'賓果 - 1分20卡'!U44</f>
        <v>17</v>
      </c>
      <c r="V44" s="84">
        <f>'賓果 - 1分20卡'!V44</f>
        <v>18</v>
      </c>
      <c r="W44" s="84">
        <f>'賓果 - 1分20卡'!W44</f>
        <v>19</v>
      </c>
      <c r="X44" s="84">
        <f>'賓果 - 1分20卡'!X44</f>
        <v>20</v>
      </c>
      <c r="Y44" s="84">
        <f>'賓果 - 1分20卡'!Y44</f>
        <v>21</v>
      </c>
    </row>
    <row r="45" ht="16.5" customHeight="1">
      <c r="A45" s="48" t="str">
        <f>'試算-賓果'!A59</f>
        <v>COP</v>
      </c>
      <c r="B45" s="162" t="str">
        <f>'試算-賓果'!B59</f>
        <v>$</v>
      </c>
      <c r="C45" s="160" t="str">
        <f>'試算-賓果'!C59</f>
        <v>哥倫比亞披索</v>
      </c>
      <c r="D45" s="50" t="str">
        <f>IF('試算-SLOT'!D45=1,"",'試算-SLOT'!D45)</f>
        <v/>
      </c>
      <c r="E45" s="50">
        <f>'試算-賓果'!K59</f>
        <v>5</v>
      </c>
      <c r="F45" s="50">
        <f>'賓果 - 1分20卡'!F45</f>
        <v>1</v>
      </c>
      <c r="G45" s="50">
        <f>'賓果 - 1分20卡'!G45</f>
        <v>2</v>
      </c>
      <c r="H45" s="50">
        <f>'賓果 - 1分20卡'!H45</f>
        <v>3</v>
      </c>
      <c r="I45" s="50">
        <f>'賓果 - 1分20卡'!I45</f>
        <v>4</v>
      </c>
      <c r="J45" s="50">
        <f>'賓果 - 1分20卡'!J45</f>
        <v>5</v>
      </c>
      <c r="K45" s="50">
        <f>'賓果 - 1分20卡'!K45</f>
        <v>7</v>
      </c>
      <c r="L45" s="50">
        <f>'賓果 - 1分20卡'!L45</f>
        <v>10</v>
      </c>
      <c r="M45" s="50">
        <f>'賓果 - 1分20卡'!M45</f>
        <v>13</v>
      </c>
      <c r="N45" s="50">
        <f>'賓果 - 1分20卡'!N45</f>
        <v>15</v>
      </c>
      <c r="O45" s="50">
        <f>'賓果 - 1分20卡'!O45</f>
        <v>16</v>
      </c>
      <c r="P45" s="50">
        <f>'賓果 - 1分20卡'!P45</f>
        <v>17</v>
      </c>
      <c r="Q45" s="50">
        <f>'賓果 - 1分20卡'!Q45</f>
        <v>18</v>
      </c>
      <c r="R45" s="50">
        <f>'賓果 - 1分20卡'!R45</f>
        <v>19</v>
      </c>
      <c r="S45" s="50">
        <f>'賓果 - 1分20卡'!S45</f>
        <v>20</v>
      </c>
      <c r="T45" s="50">
        <f>'賓果 - 1分20卡'!T45</f>
        <v>21</v>
      </c>
      <c r="U45" s="50">
        <f>'賓果 - 1分20卡'!U45</f>
        <v>22</v>
      </c>
      <c r="V45" s="50">
        <f>'賓果 - 1分20卡'!V45</f>
        <v>23</v>
      </c>
      <c r="W45" s="50">
        <f>'賓果 - 1分20卡'!W45</f>
        <v>24</v>
      </c>
      <c r="X45" s="50">
        <f>'賓果 - 1分20卡'!X45</f>
        <v>25</v>
      </c>
      <c r="Y45" s="50">
        <f>'賓果 - 1分20卡'!Y45</f>
        <v>26</v>
      </c>
    </row>
    <row r="46" ht="16.5" customHeight="1">
      <c r="A46" s="48" t="str">
        <f>'試算-賓果'!A60</f>
        <v>VNDO</v>
      </c>
      <c r="B46" s="162" t="str">
        <f>'試算-賓果'!B60</f>
        <v>₫</v>
      </c>
      <c r="C46" s="160" t="str">
        <f>'試算-賓果'!C60</f>
        <v>越南盾</v>
      </c>
      <c r="D46" s="50" t="str">
        <f>IF('試算-SLOT'!D46=1,"",'試算-SLOT'!D46)</f>
        <v/>
      </c>
      <c r="E46" s="50">
        <f>'試算-賓果'!K60</f>
        <v>40</v>
      </c>
      <c r="F46" s="50">
        <f>'賓果 - 1分20卡'!F46</f>
        <v>1</v>
      </c>
      <c r="G46" s="50">
        <f>'賓果 - 1分20卡'!G46</f>
        <v>2</v>
      </c>
      <c r="H46" s="50">
        <f>'賓果 - 1分20卡'!H46</f>
        <v>3</v>
      </c>
      <c r="I46" s="50">
        <f>'賓果 - 1分20卡'!I46</f>
        <v>4</v>
      </c>
      <c r="J46" s="50">
        <f>'賓果 - 1分20卡'!J46</f>
        <v>5</v>
      </c>
      <c r="K46" s="50">
        <f>'賓果 - 1分20卡'!K46</f>
        <v>7</v>
      </c>
      <c r="L46" s="50">
        <f>'賓果 - 1分20卡'!L46</f>
        <v>10</v>
      </c>
      <c r="M46" s="50">
        <f>'賓果 - 1分20卡'!M46</f>
        <v>13</v>
      </c>
      <c r="N46" s="50">
        <f>'賓果 - 1分20卡'!N46</f>
        <v>15</v>
      </c>
      <c r="O46" s="50">
        <f>'賓果 - 1分20卡'!O46</f>
        <v>16</v>
      </c>
      <c r="P46" s="50">
        <f>'賓果 - 1分20卡'!P46</f>
        <v>17</v>
      </c>
      <c r="Q46" s="50">
        <f>'賓果 - 1分20卡'!Q46</f>
        <v>18</v>
      </c>
      <c r="R46" s="50">
        <f>'賓果 - 1分20卡'!R46</f>
        <v>19</v>
      </c>
      <c r="S46" s="50">
        <f>'賓果 - 1分20卡'!S46</f>
        <v>20</v>
      </c>
      <c r="T46" s="50">
        <f>'賓果 - 1分20卡'!T46</f>
        <v>21</v>
      </c>
      <c r="U46" s="50">
        <f>'賓果 - 1分20卡'!U46</f>
        <v>22</v>
      </c>
      <c r="V46" s="50">
        <f>'賓果 - 1分20卡'!V46</f>
        <v>23</v>
      </c>
      <c r="W46" s="50">
        <f>'賓果 - 1分20卡'!W46</f>
        <v>24</v>
      </c>
      <c r="X46" s="50">
        <f>'賓果 - 1分20卡'!X46</f>
        <v>25</v>
      </c>
      <c r="Y46" s="50">
        <f>'賓果 - 1分20卡'!Y46</f>
        <v>26</v>
      </c>
    </row>
    <row r="47" ht="16.5" customHeight="1">
      <c r="A47" s="48" t="str">
        <f>'試算-賓果'!A61</f>
        <v>MYRC</v>
      </c>
      <c r="B47" s="50" t="str">
        <f>'試算-賓果'!B61</f>
        <v>RM</v>
      </c>
      <c r="C47" s="160" t="str">
        <f>'試算-賓果'!C61</f>
        <v>馬來西亞令吉</v>
      </c>
      <c r="D47" s="50">
        <f>IF('試算-SLOT'!D47=1,"",'試算-SLOT'!D47)</f>
        <v>0.01</v>
      </c>
      <c r="E47" s="50">
        <f>'試算-賓果'!K61</f>
        <v>1</v>
      </c>
      <c r="F47" s="50">
        <f>'賓果 - 1分20卡'!F47</f>
        <v>1</v>
      </c>
      <c r="G47" s="50">
        <f>'賓果 - 1分20卡'!G47</f>
        <v>2</v>
      </c>
      <c r="H47" s="50">
        <f>'賓果 - 1分20卡'!H47</f>
        <v>3</v>
      </c>
      <c r="I47" s="50">
        <f>'賓果 - 1分20卡'!I47</f>
        <v>4</v>
      </c>
      <c r="J47" s="50">
        <f>'賓果 - 1分20卡'!J47</f>
        <v>5</v>
      </c>
      <c r="K47" s="50">
        <f>'賓果 - 1分20卡'!K47</f>
        <v>7</v>
      </c>
      <c r="L47" s="50">
        <f>'賓果 - 1分20卡'!L47</f>
        <v>10</v>
      </c>
      <c r="M47" s="50">
        <f>'賓果 - 1分20卡'!M47</f>
        <v>13</v>
      </c>
      <c r="N47" s="50">
        <f>'賓果 - 1分20卡'!N47</f>
        <v>15</v>
      </c>
      <c r="O47" s="50">
        <f>'賓果 - 1分20卡'!O47</f>
        <v>16</v>
      </c>
      <c r="P47" s="50">
        <f>'賓果 - 1分20卡'!P47</f>
        <v>17</v>
      </c>
      <c r="Q47" s="50">
        <f>'賓果 - 1分20卡'!Q47</f>
        <v>18</v>
      </c>
      <c r="R47" s="50">
        <f>'賓果 - 1分20卡'!R47</f>
        <v>19</v>
      </c>
      <c r="S47" s="50">
        <f>'賓果 - 1分20卡'!S47</f>
        <v>20</v>
      </c>
      <c r="T47" s="50">
        <f>'賓果 - 1分20卡'!T47</f>
        <v>21</v>
      </c>
      <c r="U47" s="50">
        <f>'賓果 - 1分20卡'!U47</f>
        <v>22</v>
      </c>
      <c r="V47" s="50">
        <f>'賓果 - 1分20卡'!V47</f>
        <v>23</v>
      </c>
      <c r="W47" s="50">
        <f>'賓果 - 1分20卡'!W47</f>
        <v>24</v>
      </c>
      <c r="X47" s="50">
        <f>'賓果 - 1分20卡'!X47</f>
        <v>25</v>
      </c>
      <c r="Y47" s="50">
        <f>'賓果 - 1分20卡'!Y47</f>
        <v>26</v>
      </c>
    </row>
    <row r="48" ht="16.5" customHeight="1">
      <c r="A48" s="48" t="str">
        <f>'試算-賓果'!A62</f>
        <v>XSD</v>
      </c>
      <c r="B48" s="50" t="str">
        <f>'試算-賓果'!B62</f>
        <v/>
      </c>
      <c r="C48" s="160" t="str">
        <f>'試算-賓果'!C62</f>
        <v>星幣</v>
      </c>
      <c r="D48" s="50" t="str">
        <f>IF('試算-SLOT'!D48=1,"",'試算-SLOT'!D48)</f>
        <v/>
      </c>
      <c r="E48" s="50">
        <f>'試算-賓果'!K62</f>
        <v>10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>
        <v>7.0</v>
      </c>
      <c r="L48" s="50">
        <v>10.0</v>
      </c>
      <c r="M48" s="50">
        <v>13.0</v>
      </c>
      <c r="N48" s="50">
        <v>15.0</v>
      </c>
      <c r="O48" s="50">
        <v>16.0</v>
      </c>
      <c r="P48" s="50">
        <v>17.0</v>
      </c>
      <c r="Q48" s="50">
        <v>18.0</v>
      </c>
      <c r="R48" s="50">
        <v>19.0</v>
      </c>
      <c r="S48" s="50">
        <v>20.0</v>
      </c>
      <c r="T48" s="50">
        <v>21.0</v>
      </c>
      <c r="U48" s="50">
        <v>22.0</v>
      </c>
      <c r="V48" s="50">
        <v>23.0</v>
      </c>
      <c r="W48" s="50">
        <v>24.0</v>
      </c>
      <c r="X48" s="50">
        <v>25.0</v>
      </c>
      <c r="Y48" s="50">
        <v>26.0</v>
      </c>
    </row>
    <row r="49" ht="16.5" customHeight="1">
      <c r="A49" s="48" t="str">
        <f>'試算-賓果'!A63</f>
        <v>DZD</v>
      </c>
      <c r="B49" s="50" t="str">
        <f>'試算-賓果'!B63</f>
        <v>دج</v>
      </c>
      <c r="C49" s="160" t="str">
        <f>'試算-賓果'!C63</f>
        <v>阿爾及利亞第納爾</v>
      </c>
      <c r="D49" s="50" t="str">
        <f>IF('試算-SLOT'!D49=1,"",'試算-SLOT'!D49)</f>
        <v/>
      </c>
      <c r="E49" s="50">
        <f>'試算-賓果'!K63</f>
        <v>0.2</v>
      </c>
      <c r="F49" s="50">
        <v>1.0</v>
      </c>
      <c r="G49" s="50">
        <v>2.0</v>
      </c>
      <c r="H49" s="50">
        <v>3.0</v>
      </c>
      <c r="I49" s="50">
        <v>4.0</v>
      </c>
      <c r="J49" s="50">
        <v>5.0</v>
      </c>
      <c r="K49" s="50">
        <v>7.0</v>
      </c>
      <c r="L49" s="50">
        <v>10.0</v>
      </c>
      <c r="M49" s="50">
        <v>13.0</v>
      </c>
      <c r="N49" s="50">
        <v>15.0</v>
      </c>
      <c r="O49" s="50">
        <v>16.0</v>
      </c>
      <c r="P49" s="50">
        <v>17.0</v>
      </c>
      <c r="Q49" s="50">
        <v>18.0</v>
      </c>
      <c r="R49" s="50">
        <v>19.0</v>
      </c>
      <c r="S49" s="50">
        <v>20.0</v>
      </c>
      <c r="T49" s="50">
        <v>21.0</v>
      </c>
      <c r="U49" s="50">
        <v>22.0</v>
      </c>
      <c r="V49" s="50">
        <v>23.0</v>
      </c>
      <c r="W49" s="50">
        <v>24.0</v>
      </c>
      <c r="X49" s="50">
        <v>25.0</v>
      </c>
      <c r="Y49" s="50">
        <v>26.0</v>
      </c>
    </row>
    <row r="50" ht="16.5" customHeight="1">
      <c r="A50" s="48" t="str">
        <f>'試算-賓果'!A64</f>
        <v>MAD</v>
      </c>
      <c r="B50" s="50" t="str">
        <f>'試算-賓果'!B64</f>
        <v>DH</v>
      </c>
      <c r="C50" s="160" t="str">
        <f>'試算-賓果'!C64</f>
        <v>摩洛哥迪拉姆</v>
      </c>
      <c r="D50" s="50" t="str">
        <f>IF('試算-SLOT'!D50=1,"",'試算-SLOT'!D50)</f>
        <v/>
      </c>
      <c r="E50" s="50">
        <f>'試算-賓果'!K64</f>
        <v>0.02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>
        <v>7.0</v>
      </c>
      <c r="L50" s="50">
        <v>10.0</v>
      </c>
      <c r="M50" s="50">
        <v>13.0</v>
      </c>
      <c r="N50" s="50">
        <v>15.0</v>
      </c>
      <c r="O50" s="50">
        <v>16.0</v>
      </c>
      <c r="P50" s="50">
        <v>17.0</v>
      </c>
      <c r="Q50" s="50">
        <v>18.0</v>
      </c>
      <c r="R50" s="50">
        <v>19.0</v>
      </c>
      <c r="S50" s="50">
        <v>20.0</v>
      </c>
      <c r="T50" s="50">
        <v>21.0</v>
      </c>
      <c r="U50" s="50">
        <v>22.0</v>
      </c>
      <c r="V50" s="50">
        <v>23.0</v>
      </c>
      <c r="W50" s="50">
        <v>24.0</v>
      </c>
      <c r="X50" s="50">
        <v>25.0</v>
      </c>
      <c r="Y50" s="50">
        <v>26.0</v>
      </c>
    </row>
    <row r="51" ht="16.5" customHeight="1">
      <c r="A51" s="48" t="str">
        <f>'試算-賓果'!A65</f>
        <v>FRF</v>
      </c>
      <c r="B51" s="50" t="str">
        <f>'試算-賓果'!B65</f>
        <v>₣</v>
      </c>
      <c r="C51" s="160" t="str">
        <f>'試算-賓果'!C65</f>
        <v>法國法郎</v>
      </c>
      <c r="D51" s="50" t="str">
        <f>IF('試算-SLOT'!D51=1,"",'試算-SLOT'!D51)</f>
        <v/>
      </c>
      <c r="E51" s="50">
        <f>'試算-賓果'!K65</f>
        <v>0.01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>
        <v>7.0</v>
      </c>
      <c r="L51" s="50">
        <v>10.0</v>
      </c>
      <c r="M51" s="50">
        <v>13.0</v>
      </c>
      <c r="N51" s="50">
        <v>15.0</v>
      </c>
      <c r="O51" s="50">
        <v>16.0</v>
      </c>
      <c r="P51" s="50">
        <v>17.0</v>
      </c>
      <c r="Q51" s="50">
        <v>18.0</v>
      </c>
      <c r="R51" s="50">
        <v>19.0</v>
      </c>
      <c r="S51" s="50">
        <v>20.0</v>
      </c>
      <c r="T51" s="50">
        <v>21.0</v>
      </c>
      <c r="U51" s="50">
        <v>22.0</v>
      </c>
      <c r="V51" s="50">
        <v>23.0</v>
      </c>
      <c r="W51" s="50">
        <v>24.0</v>
      </c>
      <c r="X51" s="50">
        <v>25.0</v>
      </c>
      <c r="Y51" s="50">
        <v>26.0</v>
      </c>
    </row>
    <row r="52" ht="16.5" customHeight="1">
      <c r="A52" s="48" t="str">
        <f>'試算-賓果'!A66</f>
        <v>GHS</v>
      </c>
      <c r="B52" s="50" t="str">
        <f>'試算-賓果'!B66</f>
        <v>Gp</v>
      </c>
      <c r="C52" s="160" t="str">
        <f>'試算-賓果'!C66</f>
        <v>迦納塞地</v>
      </c>
      <c r="D52" s="50" t="str">
        <f>IF('試算-SLOT'!D52=1,"",'試算-SLOT'!D52)</f>
        <v/>
      </c>
      <c r="E52" s="50">
        <f>'試算-賓果'!K66</f>
        <v>0.02</v>
      </c>
      <c r="F52" s="50">
        <v>1.0</v>
      </c>
      <c r="G52" s="50">
        <v>2.0</v>
      </c>
      <c r="H52" s="50">
        <v>3.0</v>
      </c>
      <c r="I52" s="50">
        <v>4.0</v>
      </c>
      <c r="J52" s="50">
        <v>5.0</v>
      </c>
      <c r="K52" s="50">
        <v>7.0</v>
      </c>
      <c r="L52" s="50">
        <v>10.0</v>
      </c>
      <c r="M52" s="50">
        <v>13.0</v>
      </c>
      <c r="N52" s="50">
        <v>15.0</v>
      </c>
      <c r="O52" s="50">
        <v>16.0</v>
      </c>
      <c r="P52" s="50">
        <v>17.0</v>
      </c>
      <c r="Q52" s="50">
        <v>18.0</v>
      </c>
      <c r="R52" s="50">
        <v>19.0</v>
      </c>
      <c r="S52" s="50">
        <v>20.0</v>
      </c>
      <c r="T52" s="50">
        <v>21.0</v>
      </c>
      <c r="U52" s="50">
        <v>22.0</v>
      </c>
      <c r="V52" s="50">
        <v>23.0</v>
      </c>
      <c r="W52" s="50">
        <v>24.0</v>
      </c>
      <c r="X52" s="50">
        <v>25.0</v>
      </c>
      <c r="Y52" s="50">
        <v>26.0</v>
      </c>
    </row>
    <row r="53" ht="16.5" customHeight="1">
      <c r="A53" s="82" t="str">
        <f>'試算-賓果'!A67</f>
        <v>RCC</v>
      </c>
      <c r="B53" s="84" t="str">
        <f>'試算-賓果'!B67</f>
        <v/>
      </c>
      <c r="C53" s="161" t="str">
        <f>'試算-賓果'!C67</f>
        <v>RCC幣</v>
      </c>
      <c r="D53" s="84" t="str">
        <f>IF('試算-SLOT'!D53=1,"",'試算-SLOT'!D53)</f>
        <v/>
      </c>
      <c r="E53" s="84">
        <f>'試算-賓果'!K67</f>
        <v>0.01</v>
      </c>
      <c r="F53" s="84">
        <f>'賓果 - 1分20卡'!F13</f>
        <v>1</v>
      </c>
      <c r="G53" s="84">
        <f>'賓果 - 1分20卡'!G13</f>
        <v>2</v>
      </c>
      <c r="H53" s="84">
        <f>'賓果 - 1分20卡'!H13</f>
        <v>3</v>
      </c>
      <c r="I53" s="84">
        <f>'賓果 - 1分20卡'!I13</f>
        <v>4</v>
      </c>
      <c r="J53" s="84">
        <f>'賓果 - 1分20卡'!J13</f>
        <v>5</v>
      </c>
      <c r="K53" s="84">
        <f>'賓果 - 1分20卡'!K13</f>
        <v>6</v>
      </c>
      <c r="L53" s="84">
        <f>'賓果 - 1分20卡'!L13</f>
        <v>7</v>
      </c>
      <c r="M53" s="84">
        <f>'賓果 - 1分20卡'!M13</f>
        <v>8</v>
      </c>
      <c r="N53" s="84">
        <f>'賓果 - 1分20卡'!N13</f>
        <v>9</v>
      </c>
      <c r="O53" s="84">
        <f>'賓果 - 1分20卡'!O13</f>
        <v>10</v>
      </c>
      <c r="P53" s="84">
        <f>'賓果 - 1分20卡'!P13</f>
        <v>11</v>
      </c>
      <c r="Q53" s="84">
        <f>'賓果 - 1分20卡'!Q13</f>
        <v>12</v>
      </c>
      <c r="R53" s="84">
        <f>'賓果 - 1分20卡'!R13</f>
        <v>14</v>
      </c>
      <c r="S53" s="84">
        <f>'賓果 - 1分20卡'!S13</f>
        <v>15</v>
      </c>
      <c r="T53" s="84">
        <f>'賓果 - 1分20卡'!T13</f>
        <v>16</v>
      </c>
      <c r="U53" s="84">
        <f>'賓果 - 1分20卡'!U13</f>
        <v>17</v>
      </c>
      <c r="V53" s="84">
        <f>'賓果 - 1分20卡'!V13</f>
        <v>18</v>
      </c>
      <c r="W53" s="84">
        <f>'賓果 - 1分20卡'!W13</f>
        <v>19</v>
      </c>
      <c r="X53" s="84">
        <f>'賓果 - 1分20卡'!X13</f>
        <v>20</v>
      </c>
      <c r="Y53" s="84">
        <f>'賓果 - 1分20卡'!Y13</f>
        <v>21</v>
      </c>
    </row>
    <row r="54" ht="16.5" customHeight="1">
      <c r="A54" s="48" t="str">
        <f>'試算-賓果'!A68</f>
        <v>KBB</v>
      </c>
      <c r="B54" s="50" t="str">
        <f>'試算-賓果'!B68</f>
        <v/>
      </c>
      <c r="C54" s="160" t="str">
        <f>'試算-賓果'!C68</f>
        <v>爸幣</v>
      </c>
      <c r="D54" s="50" t="str">
        <f>IF('試算-SLOT'!D54=1,"",'試算-SLOT'!D54)</f>
        <v/>
      </c>
      <c r="E54" s="50">
        <f>'試算-賓果'!K68</f>
        <v>0.5</v>
      </c>
      <c r="F54" s="50">
        <f>'賓果 - 1分20卡'!F31</f>
        <v>1</v>
      </c>
      <c r="G54" s="50">
        <f>'賓果 - 1分20卡'!G31</f>
        <v>2</v>
      </c>
      <c r="H54" s="50">
        <f>'賓果 - 1分20卡'!H31</f>
        <v>3</v>
      </c>
      <c r="I54" s="50">
        <f>'賓果 - 1分20卡'!I31</f>
        <v>4</v>
      </c>
      <c r="J54" s="50">
        <f>'賓果 - 1分20卡'!J31</f>
        <v>5</v>
      </c>
      <c r="K54" s="50">
        <f>'賓果 - 1分20卡'!K31</f>
        <v>7</v>
      </c>
      <c r="L54" s="50">
        <f>'賓果 - 1分20卡'!L31</f>
        <v>10</v>
      </c>
      <c r="M54" s="50">
        <f>'賓果 - 1分20卡'!M31</f>
        <v>13</v>
      </c>
      <c r="N54" s="50">
        <f>'賓果 - 1分20卡'!N31</f>
        <v>15</v>
      </c>
      <c r="O54" s="50">
        <f>'賓果 - 1分20卡'!O31</f>
        <v>16</v>
      </c>
      <c r="P54" s="50">
        <f>'賓果 - 1分20卡'!P31</f>
        <v>17</v>
      </c>
      <c r="Q54" s="50">
        <f>'賓果 - 1分20卡'!Q31</f>
        <v>18</v>
      </c>
      <c r="R54" s="50">
        <f>'賓果 - 1分20卡'!R31</f>
        <v>19</v>
      </c>
      <c r="S54" s="50">
        <f>'賓果 - 1分20卡'!S31</f>
        <v>20</v>
      </c>
      <c r="T54" s="50">
        <f>'賓果 - 1分20卡'!T31</f>
        <v>21</v>
      </c>
      <c r="U54" s="50">
        <f>'賓果 - 1分20卡'!U31</f>
        <v>22</v>
      </c>
      <c r="V54" s="50">
        <f>'賓果 - 1分20卡'!V31</f>
        <v>23</v>
      </c>
      <c r="W54" s="50">
        <f>'賓果 - 1分20卡'!W31</f>
        <v>24</v>
      </c>
      <c r="X54" s="50">
        <f>'賓果 - 1分20卡'!X31</f>
        <v>25</v>
      </c>
      <c r="Y54" s="50">
        <f>'賓果 - 1分20卡'!Y31</f>
        <v>26</v>
      </c>
    </row>
    <row r="55" ht="16.5" customHeight="1">
      <c r="A55" s="48" t="str">
        <f>'試算-賓果'!A69</f>
        <v>XSMY</v>
      </c>
      <c r="B55" s="50" t="str">
        <f>'試算-賓果'!B69</f>
        <v/>
      </c>
      <c r="C55" s="160" t="str">
        <f>'試算-賓果'!C69</f>
        <v>星城馬來西亞</v>
      </c>
      <c r="D55" s="50" t="str">
        <f>IF('試算-SLOT'!D55=1,"",'試算-SLOT'!D55)</f>
        <v/>
      </c>
      <c r="E55" s="50">
        <f>'試算-賓果'!K69</f>
        <v>10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>
        <v>7.0</v>
      </c>
      <c r="L55" s="50">
        <v>10.0</v>
      </c>
      <c r="M55" s="50">
        <v>13.0</v>
      </c>
      <c r="N55" s="50">
        <v>15.0</v>
      </c>
      <c r="O55" s="50">
        <v>16.0</v>
      </c>
      <c r="P55" s="50">
        <v>17.0</v>
      </c>
      <c r="Q55" s="50">
        <v>18.0</v>
      </c>
      <c r="R55" s="50">
        <v>19.0</v>
      </c>
      <c r="S55" s="50">
        <v>20.0</v>
      </c>
      <c r="T55" s="50">
        <v>21.0</v>
      </c>
      <c r="U55" s="50">
        <v>22.0</v>
      </c>
      <c r="V55" s="50">
        <v>23.0</v>
      </c>
      <c r="W55" s="50">
        <v>24.0</v>
      </c>
      <c r="X55" s="50">
        <v>25.0</v>
      </c>
      <c r="Y55" s="50">
        <v>26.0</v>
      </c>
    </row>
    <row r="56" ht="16.5" customHeight="1">
      <c r="A56" s="57"/>
      <c r="B56" s="57"/>
      <c r="C56" s="57"/>
      <c r="D56" s="57"/>
      <c r="E56" s="164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 ht="16.5" customHeight="1">
      <c r="A57" s="40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</row>
    <row r="58" ht="16.5" customHeight="1">
      <c r="A58" s="74" t="str">
        <f t="shared" ref="A58:Y58" si="1">A5</f>
        <v>貨幣簡稱</v>
      </c>
      <c r="B58" s="50" t="str">
        <f t="shared" si="1"/>
        <v>貨幣符號</v>
      </c>
      <c r="C58" s="50" t="str">
        <f t="shared" si="1"/>
        <v>中文名稱</v>
      </c>
      <c r="D58" s="50" t="str">
        <f t="shared" si="1"/>
        <v>貨幣轉換</v>
      </c>
      <c r="E58" s="50" t="str">
        <f t="shared" si="1"/>
        <v>Denom</v>
      </c>
      <c r="F58" s="50" t="str">
        <f t="shared" si="1"/>
        <v>第 1 組</v>
      </c>
      <c r="G58" s="50" t="str">
        <f t="shared" si="1"/>
        <v>第 2 組</v>
      </c>
      <c r="H58" s="50" t="str">
        <f t="shared" si="1"/>
        <v>第 3 組</v>
      </c>
      <c r="I58" s="50" t="str">
        <f t="shared" si="1"/>
        <v>第 4 組</v>
      </c>
      <c r="J58" s="50" t="str">
        <f t="shared" si="1"/>
        <v>第 5 組</v>
      </c>
      <c r="K58" s="50" t="str">
        <f t="shared" si="1"/>
        <v>第 6 組</v>
      </c>
      <c r="L58" s="50" t="str">
        <f t="shared" si="1"/>
        <v>第 7 組</v>
      </c>
      <c r="M58" s="50" t="str">
        <f t="shared" si="1"/>
        <v>第 8 組</v>
      </c>
      <c r="N58" s="50" t="str">
        <f t="shared" si="1"/>
        <v>第 9 組</v>
      </c>
      <c r="O58" s="50" t="str">
        <f t="shared" si="1"/>
        <v>第 10 組</v>
      </c>
      <c r="P58" s="50" t="str">
        <f t="shared" si="1"/>
        <v>第 11 組</v>
      </c>
      <c r="Q58" s="50" t="str">
        <f t="shared" si="1"/>
        <v>第 12 組</v>
      </c>
      <c r="R58" s="50" t="str">
        <f t="shared" si="1"/>
        <v>第 13 組</v>
      </c>
      <c r="S58" s="50" t="str">
        <f t="shared" si="1"/>
        <v>第 14 組</v>
      </c>
      <c r="T58" s="50" t="str">
        <f t="shared" si="1"/>
        <v>第 15 組</v>
      </c>
      <c r="U58" s="50" t="str">
        <f t="shared" si="1"/>
        <v>第 16 組</v>
      </c>
      <c r="V58" s="50" t="str">
        <f t="shared" si="1"/>
        <v>第 17 組</v>
      </c>
      <c r="W58" s="50" t="str">
        <f t="shared" si="1"/>
        <v>第 18 組</v>
      </c>
      <c r="X58" s="50" t="str">
        <f t="shared" si="1"/>
        <v>第 19 組</v>
      </c>
      <c r="Y58" s="50" t="str">
        <f t="shared" si="1"/>
        <v>第 20 組</v>
      </c>
      <c r="Z58" s="165"/>
      <c r="AA58" s="117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166" t="str">
        <f t="shared" si="2"/>
        <v>泰銖</v>
      </c>
      <c r="D59" s="50" t="str">
        <f t="shared" si="2"/>
        <v/>
      </c>
      <c r="E59" s="167">
        <f t="shared" si="2"/>
        <v>0.05</v>
      </c>
      <c r="F59" s="65">
        <f t="shared" ref="F59:Y59" si="3">HLOOKUP(F6,$F$1:$AI$2,2) * $D$1 * $E59</f>
        <v>0.5</v>
      </c>
      <c r="G59" s="65">
        <f t="shared" si="3"/>
        <v>1</v>
      </c>
      <c r="H59" s="65">
        <f t="shared" si="3"/>
        <v>1.5</v>
      </c>
      <c r="I59" s="65">
        <f t="shared" si="3"/>
        <v>2</v>
      </c>
      <c r="J59" s="65">
        <f t="shared" si="3"/>
        <v>2.5</v>
      </c>
      <c r="K59" s="65">
        <f t="shared" si="3"/>
        <v>3.5</v>
      </c>
      <c r="L59" s="65">
        <f t="shared" si="3"/>
        <v>5</v>
      </c>
      <c r="M59" s="65">
        <f t="shared" si="3"/>
        <v>7.5</v>
      </c>
      <c r="N59" s="65">
        <f t="shared" si="3"/>
        <v>10</v>
      </c>
      <c r="O59" s="65">
        <f t="shared" si="3"/>
        <v>12.5</v>
      </c>
      <c r="P59" s="65">
        <f t="shared" si="3"/>
        <v>15</v>
      </c>
      <c r="Q59" s="65">
        <f t="shared" si="3"/>
        <v>17.5</v>
      </c>
      <c r="R59" s="65">
        <f t="shared" si="3"/>
        <v>20</v>
      </c>
      <c r="S59" s="65">
        <f t="shared" si="3"/>
        <v>22.5</v>
      </c>
      <c r="T59" s="65">
        <f t="shared" si="3"/>
        <v>25</v>
      </c>
      <c r="U59" s="65">
        <f t="shared" si="3"/>
        <v>27.5</v>
      </c>
      <c r="V59" s="65">
        <f t="shared" si="3"/>
        <v>32.5</v>
      </c>
      <c r="W59" s="65">
        <f t="shared" si="3"/>
        <v>37.5</v>
      </c>
      <c r="X59" s="65">
        <f t="shared" si="3"/>
        <v>50</v>
      </c>
      <c r="Y59" s="65">
        <f t="shared" si="3"/>
        <v>62.5</v>
      </c>
      <c r="Z59" s="168"/>
      <c r="AA59" s="80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166" t="str">
        <f t="shared" si="4"/>
        <v>港幣</v>
      </c>
      <c r="D60" s="50" t="str">
        <f t="shared" si="4"/>
        <v/>
      </c>
      <c r="E60" s="167">
        <f t="shared" si="4"/>
        <v>0.01</v>
      </c>
      <c r="F60" s="65">
        <f t="shared" ref="F60:Y60" si="5">HLOOKUP(F7,$F$1:$AI$2,2) * $D$1 * $E60</f>
        <v>0.1</v>
      </c>
      <c r="G60" s="65">
        <f t="shared" si="5"/>
        <v>0.2</v>
      </c>
      <c r="H60" s="65">
        <f t="shared" si="5"/>
        <v>0.3</v>
      </c>
      <c r="I60" s="65">
        <f t="shared" si="5"/>
        <v>0.4</v>
      </c>
      <c r="J60" s="65">
        <f t="shared" si="5"/>
        <v>0.5</v>
      </c>
      <c r="K60" s="65">
        <f t="shared" si="5"/>
        <v>0.7</v>
      </c>
      <c r="L60" s="65">
        <f t="shared" si="5"/>
        <v>1</v>
      </c>
      <c r="M60" s="65">
        <f t="shared" si="5"/>
        <v>1.5</v>
      </c>
      <c r="N60" s="65">
        <f t="shared" si="5"/>
        <v>2</v>
      </c>
      <c r="O60" s="65">
        <f t="shared" si="5"/>
        <v>2.5</v>
      </c>
      <c r="P60" s="65">
        <f t="shared" si="5"/>
        <v>3</v>
      </c>
      <c r="Q60" s="65">
        <f t="shared" si="5"/>
        <v>3.5</v>
      </c>
      <c r="R60" s="65">
        <f t="shared" si="5"/>
        <v>4</v>
      </c>
      <c r="S60" s="65">
        <f t="shared" si="5"/>
        <v>4.5</v>
      </c>
      <c r="T60" s="65">
        <f t="shared" si="5"/>
        <v>5</v>
      </c>
      <c r="U60" s="65">
        <f t="shared" si="5"/>
        <v>5.5</v>
      </c>
      <c r="V60" s="65">
        <f t="shared" si="5"/>
        <v>6.5</v>
      </c>
      <c r="W60" s="65">
        <f t="shared" si="5"/>
        <v>7.5</v>
      </c>
      <c r="X60" s="65">
        <f t="shared" si="5"/>
        <v>10</v>
      </c>
      <c r="Y60" s="65">
        <f t="shared" si="5"/>
        <v>12.5</v>
      </c>
      <c r="Z60" s="168"/>
      <c r="AA60" s="80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166" t="str">
        <f t="shared" si="6"/>
        <v>印度盧比</v>
      </c>
      <c r="D61" s="50" t="str">
        <f t="shared" si="6"/>
        <v/>
      </c>
      <c r="E61" s="167">
        <f t="shared" si="6"/>
        <v>0.1</v>
      </c>
      <c r="F61" s="65">
        <f t="shared" ref="F61:Y61" si="7">HLOOKUP(F8,$F$1:$AI$2,2) * $D$1 * $E61</f>
        <v>1</v>
      </c>
      <c r="G61" s="65">
        <f t="shared" si="7"/>
        <v>2</v>
      </c>
      <c r="H61" s="65">
        <f t="shared" si="7"/>
        <v>3</v>
      </c>
      <c r="I61" s="65">
        <f t="shared" si="7"/>
        <v>4</v>
      </c>
      <c r="J61" s="65">
        <f t="shared" si="7"/>
        <v>5</v>
      </c>
      <c r="K61" s="65">
        <f t="shared" si="7"/>
        <v>7</v>
      </c>
      <c r="L61" s="65">
        <f t="shared" si="7"/>
        <v>10</v>
      </c>
      <c r="M61" s="65">
        <f t="shared" si="7"/>
        <v>15</v>
      </c>
      <c r="N61" s="65">
        <f t="shared" si="7"/>
        <v>20</v>
      </c>
      <c r="O61" s="65">
        <f t="shared" si="7"/>
        <v>25</v>
      </c>
      <c r="P61" s="65">
        <f t="shared" si="7"/>
        <v>30</v>
      </c>
      <c r="Q61" s="65">
        <f t="shared" si="7"/>
        <v>35</v>
      </c>
      <c r="R61" s="65">
        <f t="shared" si="7"/>
        <v>40</v>
      </c>
      <c r="S61" s="65">
        <f t="shared" si="7"/>
        <v>45</v>
      </c>
      <c r="T61" s="65">
        <f t="shared" si="7"/>
        <v>50</v>
      </c>
      <c r="U61" s="65">
        <f t="shared" si="7"/>
        <v>55</v>
      </c>
      <c r="V61" s="65">
        <f t="shared" si="7"/>
        <v>65</v>
      </c>
      <c r="W61" s="65">
        <f t="shared" si="7"/>
        <v>75</v>
      </c>
      <c r="X61" s="65">
        <f t="shared" si="7"/>
        <v>100</v>
      </c>
      <c r="Y61" s="65">
        <f t="shared" si="7"/>
        <v>125</v>
      </c>
      <c r="Z61" s="168"/>
      <c r="AA61" s="80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166" t="str">
        <f t="shared" si="8"/>
        <v>印尼盧比(K)</v>
      </c>
      <c r="D62" s="50">
        <f t="shared" si="8"/>
        <v>1000</v>
      </c>
      <c r="E62" s="167">
        <f t="shared" si="8"/>
        <v>0.02</v>
      </c>
      <c r="F62" s="65">
        <f t="shared" ref="F62:Y62" si="9">HLOOKUP(F9,$F$1:$AI$2,2) * $D$1 * $E62</f>
        <v>0.2</v>
      </c>
      <c r="G62" s="65">
        <f t="shared" si="9"/>
        <v>0.4</v>
      </c>
      <c r="H62" s="65">
        <f t="shared" si="9"/>
        <v>0.6</v>
      </c>
      <c r="I62" s="65">
        <f t="shared" si="9"/>
        <v>0.8</v>
      </c>
      <c r="J62" s="65">
        <f t="shared" si="9"/>
        <v>1</v>
      </c>
      <c r="K62" s="65">
        <f t="shared" si="9"/>
        <v>1.4</v>
      </c>
      <c r="L62" s="65">
        <f t="shared" si="9"/>
        <v>2</v>
      </c>
      <c r="M62" s="65">
        <f t="shared" si="9"/>
        <v>3</v>
      </c>
      <c r="N62" s="65">
        <f t="shared" si="9"/>
        <v>4</v>
      </c>
      <c r="O62" s="65">
        <f t="shared" si="9"/>
        <v>5</v>
      </c>
      <c r="P62" s="65">
        <f t="shared" si="9"/>
        <v>6</v>
      </c>
      <c r="Q62" s="65">
        <f t="shared" si="9"/>
        <v>7</v>
      </c>
      <c r="R62" s="65">
        <f t="shared" si="9"/>
        <v>8</v>
      </c>
      <c r="S62" s="65">
        <f t="shared" si="9"/>
        <v>9</v>
      </c>
      <c r="T62" s="65">
        <f t="shared" si="9"/>
        <v>10</v>
      </c>
      <c r="U62" s="65">
        <f t="shared" si="9"/>
        <v>11</v>
      </c>
      <c r="V62" s="65">
        <f t="shared" si="9"/>
        <v>13</v>
      </c>
      <c r="W62" s="65">
        <f t="shared" si="9"/>
        <v>15</v>
      </c>
      <c r="X62" s="65">
        <f t="shared" si="9"/>
        <v>20</v>
      </c>
      <c r="Y62" s="65">
        <f t="shared" si="9"/>
        <v>25</v>
      </c>
      <c r="Z62" s="168"/>
      <c r="AA62" s="80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166" t="str">
        <f t="shared" si="10"/>
        <v>越南盾(K)</v>
      </c>
      <c r="D63" s="50">
        <f t="shared" si="10"/>
        <v>1000</v>
      </c>
      <c r="E63" s="167">
        <f t="shared" si="10"/>
        <v>0.04</v>
      </c>
      <c r="F63" s="65">
        <f t="shared" ref="F63:Y63" si="11">HLOOKUP(F10,$F$1:$AI$2,2) * $D$1 * $E63</f>
        <v>0.4</v>
      </c>
      <c r="G63" s="65">
        <f t="shared" si="11"/>
        <v>0.8</v>
      </c>
      <c r="H63" s="65">
        <f t="shared" si="11"/>
        <v>1.2</v>
      </c>
      <c r="I63" s="65">
        <f t="shared" si="11"/>
        <v>1.6</v>
      </c>
      <c r="J63" s="65">
        <f t="shared" si="11"/>
        <v>2</v>
      </c>
      <c r="K63" s="65">
        <f t="shared" si="11"/>
        <v>2.8</v>
      </c>
      <c r="L63" s="65">
        <f t="shared" si="11"/>
        <v>4</v>
      </c>
      <c r="M63" s="65">
        <f t="shared" si="11"/>
        <v>6</v>
      </c>
      <c r="N63" s="65">
        <f t="shared" si="11"/>
        <v>8</v>
      </c>
      <c r="O63" s="65">
        <f t="shared" si="11"/>
        <v>10</v>
      </c>
      <c r="P63" s="65">
        <f t="shared" si="11"/>
        <v>12</v>
      </c>
      <c r="Q63" s="65">
        <f t="shared" si="11"/>
        <v>14</v>
      </c>
      <c r="R63" s="65">
        <f t="shared" si="11"/>
        <v>16</v>
      </c>
      <c r="S63" s="65">
        <f t="shared" si="11"/>
        <v>18</v>
      </c>
      <c r="T63" s="65">
        <f t="shared" si="11"/>
        <v>20</v>
      </c>
      <c r="U63" s="65">
        <f t="shared" si="11"/>
        <v>22</v>
      </c>
      <c r="V63" s="65">
        <f t="shared" si="11"/>
        <v>26</v>
      </c>
      <c r="W63" s="65">
        <f t="shared" si="11"/>
        <v>30</v>
      </c>
      <c r="X63" s="65">
        <f t="shared" si="11"/>
        <v>40</v>
      </c>
      <c r="Y63" s="65">
        <f t="shared" si="11"/>
        <v>50</v>
      </c>
      <c r="Z63" s="168"/>
      <c r="AA63" s="80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166" t="str">
        <f t="shared" si="12"/>
        <v>馬來西亞令吉</v>
      </c>
      <c r="D64" s="50" t="str">
        <f t="shared" si="12"/>
        <v/>
      </c>
      <c r="E64" s="167">
        <f t="shared" si="12"/>
        <v>0.01</v>
      </c>
      <c r="F64" s="65">
        <f t="shared" ref="F64:Y64" si="13">HLOOKUP(F11,$F$1:$AI$2,2) * $D$1 * $E64</f>
        <v>0.1</v>
      </c>
      <c r="G64" s="65">
        <f t="shared" si="13"/>
        <v>0.2</v>
      </c>
      <c r="H64" s="65">
        <f t="shared" si="13"/>
        <v>0.3</v>
      </c>
      <c r="I64" s="65">
        <f t="shared" si="13"/>
        <v>0.4</v>
      </c>
      <c r="J64" s="65">
        <f t="shared" si="13"/>
        <v>0.5</v>
      </c>
      <c r="K64" s="65">
        <f t="shared" si="13"/>
        <v>0.7</v>
      </c>
      <c r="L64" s="65">
        <f t="shared" si="13"/>
        <v>1</v>
      </c>
      <c r="M64" s="65">
        <f t="shared" si="13"/>
        <v>1.5</v>
      </c>
      <c r="N64" s="65">
        <f t="shared" si="13"/>
        <v>2</v>
      </c>
      <c r="O64" s="65">
        <f t="shared" si="13"/>
        <v>2.5</v>
      </c>
      <c r="P64" s="65">
        <f t="shared" si="13"/>
        <v>3</v>
      </c>
      <c r="Q64" s="65">
        <f t="shared" si="13"/>
        <v>3.5</v>
      </c>
      <c r="R64" s="65">
        <f t="shared" si="13"/>
        <v>4</v>
      </c>
      <c r="S64" s="65">
        <f t="shared" si="13"/>
        <v>4.5</v>
      </c>
      <c r="T64" s="65">
        <f t="shared" si="13"/>
        <v>5</v>
      </c>
      <c r="U64" s="65">
        <f t="shared" si="13"/>
        <v>5.5</v>
      </c>
      <c r="V64" s="65">
        <f t="shared" si="13"/>
        <v>6.5</v>
      </c>
      <c r="W64" s="65">
        <f t="shared" si="13"/>
        <v>7.5</v>
      </c>
      <c r="X64" s="65">
        <f t="shared" si="13"/>
        <v>10</v>
      </c>
      <c r="Y64" s="65">
        <f t="shared" si="13"/>
        <v>12.5</v>
      </c>
      <c r="Z64" s="168"/>
      <c r="AA64" s="80"/>
    </row>
    <row r="65" ht="16.5" customHeight="1">
      <c r="A65" s="48" t="str">
        <f t="shared" ref="A65:E65" si="14">A12</f>
        <v>SGD</v>
      </c>
      <c r="B65" s="48" t="str">
        <f t="shared" si="14"/>
        <v>S$</v>
      </c>
      <c r="C65" s="166" t="str">
        <f t="shared" si="14"/>
        <v>新加坡幣</v>
      </c>
      <c r="D65" s="50" t="str">
        <f t="shared" si="14"/>
        <v/>
      </c>
      <c r="E65" s="167">
        <f t="shared" si="14"/>
        <v>0.01</v>
      </c>
      <c r="F65" s="65">
        <f t="shared" ref="F65:Y65" si="15">HLOOKUP(F12,$F$1:$AI$2,2) * $D$1 * $E65</f>
        <v>0.1</v>
      </c>
      <c r="G65" s="65">
        <f t="shared" si="15"/>
        <v>0.2</v>
      </c>
      <c r="H65" s="65">
        <f t="shared" si="15"/>
        <v>0.3</v>
      </c>
      <c r="I65" s="65">
        <f t="shared" si="15"/>
        <v>0.4</v>
      </c>
      <c r="J65" s="65">
        <f t="shared" si="15"/>
        <v>0.5</v>
      </c>
      <c r="K65" s="65">
        <f t="shared" si="15"/>
        <v>0.6</v>
      </c>
      <c r="L65" s="65">
        <f t="shared" si="15"/>
        <v>0.7</v>
      </c>
      <c r="M65" s="65">
        <f t="shared" si="15"/>
        <v>0.8</v>
      </c>
      <c r="N65" s="65">
        <f t="shared" si="15"/>
        <v>0.9</v>
      </c>
      <c r="O65" s="65">
        <f t="shared" si="15"/>
        <v>1</v>
      </c>
      <c r="P65" s="65">
        <f t="shared" si="15"/>
        <v>1.2</v>
      </c>
      <c r="Q65" s="65">
        <f t="shared" si="15"/>
        <v>1.4</v>
      </c>
      <c r="R65" s="65">
        <f t="shared" si="15"/>
        <v>1.6</v>
      </c>
      <c r="S65" s="65">
        <f t="shared" si="15"/>
        <v>2</v>
      </c>
      <c r="T65" s="65">
        <f t="shared" si="15"/>
        <v>2.5</v>
      </c>
      <c r="U65" s="65">
        <f t="shared" si="15"/>
        <v>3</v>
      </c>
      <c r="V65" s="65">
        <f t="shared" si="15"/>
        <v>3.5</v>
      </c>
      <c r="W65" s="65">
        <f t="shared" si="15"/>
        <v>4</v>
      </c>
      <c r="X65" s="65">
        <f t="shared" si="15"/>
        <v>4.5</v>
      </c>
      <c r="Y65" s="65">
        <f t="shared" si="15"/>
        <v>5</v>
      </c>
      <c r="Z65" s="168"/>
      <c r="AA65" s="80"/>
    </row>
    <row r="66" ht="16.5" customHeight="1">
      <c r="A66" s="48" t="str">
        <f t="shared" ref="A66:E66" si="16">A13</f>
        <v>USD</v>
      </c>
      <c r="B66" s="48" t="str">
        <f t="shared" si="16"/>
        <v>$</v>
      </c>
      <c r="C66" s="166" t="str">
        <f t="shared" si="16"/>
        <v>美元</v>
      </c>
      <c r="D66" s="50" t="str">
        <f t="shared" si="16"/>
        <v/>
      </c>
      <c r="E66" s="167">
        <f t="shared" si="16"/>
        <v>0.01</v>
      </c>
      <c r="F66" s="65">
        <f t="shared" ref="F66:Y66" si="17">HLOOKUP(F13,$F$1:$AI$2,2) * $D$1 * $E66</f>
        <v>0.1</v>
      </c>
      <c r="G66" s="65">
        <f t="shared" si="17"/>
        <v>0.2</v>
      </c>
      <c r="H66" s="65">
        <f t="shared" si="17"/>
        <v>0.3</v>
      </c>
      <c r="I66" s="65">
        <f t="shared" si="17"/>
        <v>0.4</v>
      </c>
      <c r="J66" s="65">
        <f t="shared" si="17"/>
        <v>0.5</v>
      </c>
      <c r="K66" s="65">
        <f t="shared" si="17"/>
        <v>0.6</v>
      </c>
      <c r="L66" s="65">
        <f t="shared" si="17"/>
        <v>0.7</v>
      </c>
      <c r="M66" s="65">
        <f t="shared" si="17"/>
        <v>0.8</v>
      </c>
      <c r="N66" s="65">
        <f t="shared" si="17"/>
        <v>0.9</v>
      </c>
      <c r="O66" s="65">
        <f t="shared" si="17"/>
        <v>1</v>
      </c>
      <c r="P66" s="65">
        <f t="shared" si="17"/>
        <v>1.2</v>
      </c>
      <c r="Q66" s="65">
        <f t="shared" si="17"/>
        <v>1.4</v>
      </c>
      <c r="R66" s="65">
        <f t="shared" si="17"/>
        <v>1.6</v>
      </c>
      <c r="S66" s="65">
        <f t="shared" si="17"/>
        <v>2</v>
      </c>
      <c r="T66" s="65">
        <f t="shared" si="17"/>
        <v>2.5</v>
      </c>
      <c r="U66" s="65">
        <f t="shared" si="17"/>
        <v>3</v>
      </c>
      <c r="V66" s="65">
        <f t="shared" si="17"/>
        <v>3.5</v>
      </c>
      <c r="W66" s="65">
        <f t="shared" si="17"/>
        <v>4</v>
      </c>
      <c r="X66" s="65">
        <f t="shared" si="17"/>
        <v>4.5</v>
      </c>
      <c r="Y66" s="65">
        <f t="shared" si="17"/>
        <v>5</v>
      </c>
      <c r="Z66" s="168"/>
      <c r="AA66" s="80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166" t="str">
        <f t="shared" si="18"/>
        <v>孟加拉塔卡</v>
      </c>
      <c r="D67" s="50" t="str">
        <f t="shared" si="18"/>
        <v/>
      </c>
      <c r="E67" s="167">
        <f t="shared" si="18"/>
        <v>0.1</v>
      </c>
      <c r="F67" s="65">
        <f t="shared" ref="F67:Y67" si="19">HLOOKUP(F14,$F$1:$AI$2,2) * $D$1 * $E67</f>
        <v>1</v>
      </c>
      <c r="G67" s="65">
        <f t="shared" si="19"/>
        <v>2</v>
      </c>
      <c r="H67" s="65">
        <f t="shared" si="19"/>
        <v>3</v>
      </c>
      <c r="I67" s="65">
        <f t="shared" si="19"/>
        <v>4</v>
      </c>
      <c r="J67" s="65">
        <f t="shared" si="19"/>
        <v>5</v>
      </c>
      <c r="K67" s="65">
        <f t="shared" si="19"/>
        <v>7</v>
      </c>
      <c r="L67" s="65">
        <f t="shared" si="19"/>
        <v>10</v>
      </c>
      <c r="M67" s="65">
        <f t="shared" si="19"/>
        <v>15</v>
      </c>
      <c r="N67" s="65">
        <f t="shared" si="19"/>
        <v>20</v>
      </c>
      <c r="O67" s="65">
        <f t="shared" si="19"/>
        <v>25</v>
      </c>
      <c r="P67" s="65">
        <f t="shared" si="19"/>
        <v>30</v>
      </c>
      <c r="Q67" s="65">
        <f t="shared" si="19"/>
        <v>35</v>
      </c>
      <c r="R67" s="65">
        <f t="shared" si="19"/>
        <v>40</v>
      </c>
      <c r="S67" s="65">
        <f t="shared" si="19"/>
        <v>45</v>
      </c>
      <c r="T67" s="65">
        <f t="shared" si="19"/>
        <v>50</v>
      </c>
      <c r="U67" s="65">
        <f t="shared" si="19"/>
        <v>55</v>
      </c>
      <c r="V67" s="65">
        <f t="shared" si="19"/>
        <v>65</v>
      </c>
      <c r="W67" s="65">
        <f t="shared" si="19"/>
        <v>75</v>
      </c>
      <c r="X67" s="65">
        <f t="shared" si="19"/>
        <v>100</v>
      </c>
      <c r="Y67" s="65">
        <f t="shared" si="19"/>
        <v>125</v>
      </c>
      <c r="Z67" s="168"/>
      <c r="AA67" s="80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166" t="str">
        <f t="shared" si="20"/>
        <v>巴基斯坦盧比</v>
      </c>
      <c r="D68" s="50" t="str">
        <f t="shared" si="20"/>
        <v/>
      </c>
      <c r="E68" s="167">
        <f t="shared" si="20"/>
        <v>0.25</v>
      </c>
      <c r="F68" s="65">
        <f t="shared" ref="F68:Y68" si="21">HLOOKUP(F15,$F$1:$AI$2,2) * $D$1 * $E68</f>
        <v>2.5</v>
      </c>
      <c r="G68" s="65">
        <f t="shared" si="21"/>
        <v>5</v>
      </c>
      <c r="H68" s="65">
        <f t="shared" si="21"/>
        <v>7.5</v>
      </c>
      <c r="I68" s="65">
        <f t="shared" si="21"/>
        <v>10</v>
      </c>
      <c r="J68" s="65">
        <f t="shared" si="21"/>
        <v>12.5</v>
      </c>
      <c r="K68" s="65">
        <f t="shared" si="21"/>
        <v>17.5</v>
      </c>
      <c r="L68" s="65">
        <f t="shared" si="21"/>
        <v>25</v>
      </c>
      <c r="M68" s="65">
        <f t="shared" si="21"/>
        <v>37.5</v>
      </c>
      <c r="N68" s="65">
        <f t="shared" si="21"/>
        <v>50</v>
      </c>
      <c r="O68" s="65">
        <f t="shared" si="21"/>
        <v>62.5</v>
      </c>
      <c r="P68" s="65">
        <f t="shared" si="21"/>
        <v>75</v>
      </c>
      <c r="Q68" s="65">
        <f t="shared" si="21"/>
        <v>87.5</v>
      </c>
      <c r="R68" s="65">
        <f t="shared" si="21"/>
        <v>100</v>
      </c>
      <c r="S68" s="65">
        <f t="shared" si="21"/>
        <v>112.5</v>
      </c>
      <c r="T68" s="65">
        <f t="shared" si="21"/>
        <v>125</v>
      </c>
      <c r="U68" s="65">
        <f t="shared" si="21"/>
        <v>137.5</v>
      </c>
      <c r="V68" s="65">
        <f t="shared" si="21"/>
        <v>162.5</v>
      </c>
      <c r="W68" s="65">
        <f t="shared" si="21"/>
        <v>187.5</v>
      </c>
      <c r="X68" s="65">
        <f t="shared" si="21"/>
        <v>250</v>
      </c>
      <c r="Y68" s="65">
        <f t="shared" si="21"/>
        <v>312.5</v>
      </c>
      <c r="Z68" s="168"/>
      <c r="AA68" s="80"/>
    </row>
    <row r="69" ht="16.5" customHeight="1">
      <c r="A69" s="48" t="str">
        <f t="shared" ref="A69:E69" si="22">A16</f>
        <v>MMK</v>
      </c>
      <c r="B69" s="48" t="str">
        <f t="shared" si="22"/>
        <v>K</v>
      </c>
      <c r="C69" s="166" t="str">
        <f t="shared" si="22"/>
        <v>緬甸元(K)</v>
      </c>
      <c r="D69" s="50">
        <f t="shared" si="22"/>
        <v>1000</v>
      </c>
      <c r="E69" s="167">
        <f t="shared" si="22"/>
        <v>0.01</v>
      </c>
      <c r="F69" s="65">
        <f t="shared" ref="F69:Y69" si="23">HLOOKUP(F16,$F$1:$AI$2,2) * $D$1 * $E69</f>
        <v>0.1</v>
      </c>
      <c r="G69" s="65">
        <f t="shared" si="23"/>
        <v>0.2</v>
      </c>
      <c r="H69" s="65">
        <f t="shared" si="23"/>
        <v>0.3</v>
      </c>
      <c r="I69" s="65">
        <f t="shared" si="23"/>
        <v>0.4</v>
      </c>
      <c r="J69" s="65">
        <f t="shared" si="23"/>
        <v>0.5</v>
      </c>
      <c r="K69" s="65">
        <f t="shared" si="23"/>
        <v>0.6</v>
      </c>
      <c r="L69" s="65">
        <f t="shared" si="23"/>
        <v>0.7</v>
      </c>
      <c r="M69" s="65">
        <f t="shared" si="23"/>
        <v>0.8</v>
      </c>
      <c r="N69" s="65">
        <f t="shared" si="23"/>
        <v>0.9</v>
      </c>
      <c r="O69" s="65">
        <f t="shared" si="23"/>
        <v>1</v>
      </c>
      <c r="P69" s="65">
        <f t="shared" si="23"/>
        <v>1.2</v>
      </c>
      <c r="Q69" s="65">
        <f t="shared" si="23"/>
        <v>1.4</v>
      </c>
      <c r="R69" s="65">
        <f t="shared" si="23"/>
        <v>1.6</v>
      </c>
      <c r="S69" s="65">
        <f t="shared" si="23"/>
        <v>2</v>
      </c>
      <c r="T69" s="65">
        <f t="shared" si="23"/>
        <v>2.5</v>
      </c>
      <c r="U69" s="65">
        <f t="shared" si="23"/>
        <v>3</v>
      </c>
      <c r="V69" s="65">
        <f t="shared" si="23"/>
        <v>3.5</v>
      </c>
      <c r="W69" s="65">
        <f t="shared" si="23"/>
        <v>4</v>
      </c>
      <c r="X69" s="65">
        <f t="shared" si="23"/>
        <v>4.5</v>
      </c>
      <c r="Y69" s="65">
        <f t="shared" si="23"/>
        <v>5</v>
      </c>
      <c r="Z69" s="168"/>
      <c r="AA69" s="80"/>
    </row>
    <row r="70" ht="16.5" customHeight="1">
      <c r="A70" s="48" t="str">
        <f t="shared" ref="A70:E70" si="24">A17</f>
        <v>MMH</v>
      </c>
      <c r="B70" s="48" t="str">
        <f t="shared" si="24"/>
        <v>K</v>
      </c>
      <c r="C70" s="166" t="str">
        <f t="shared" si="24"/>
        <v>緬甸元(H)</v>
      </c>
      <c r="D70" s="50">
        <f t="shared" si="24"/>
        <v>100</v>
      </c>
      <c r="E70" s="167">
        <f t="shared" si="24"/>
        <v>0.1</v>
      </c>
      <c r="F70" s="65">
        <f t="shared" ref="F70:Y70" si="25">HLOOKUP(F17,$F$1:$AI$2,2) * $D$1 * $E70</f>
        <v>1</v>
      </c>
      <c r="G70" s="65">
        <f t="shared" si="25"/>
        <v>2</v>
      </c>
      <c r="H70" s="65">
        <f t="shared" si="25"/>
        <v>3</v>
      </c>
      <c r="I70" s="65">
        <f t="shared" si="25"/>
        <v>4</v>
      </c>
      <c r="J70" s="65">
        <f t="shared" si="25"/>
        <v>5</v>
      </c>
      <c r="K70" s="65">
        <f t="shared" si="25"/>
        <v>6</v>
      </c>
      <c r="L70" s="65">
        <f t="shared" si="25"/>
        <v>7</v>
      </c>
      <c r="M70" s="65">
        <f t="shared" si="25"/>
        <v>8</v>
      </c>
      <c r="N70" s="65">
        <f t="shared" si="25"/>
        <v>9</v>
      </c>
      <c r="O70" s="65">
        <f t="shared" si="25"/>
        <v>10</v>
      </c>
      <c r="P70" s="65">
        <f t="shared" si="25"/>
        <v>12</v>
      </c>
      <c r="Q70" s="65">
        <f t="shared" si="25"/>
        <v>14</v>
      </c>
      <c r="R70" s="65">
        <f t="shared" si="25"/>
        <v>16</v>
      </c>
      <c r="S70" s="65">
        <f t="shared" si="25"/>
        <v>20</v>
      </c>
      <c r="T70" s="65">
        <f t="shared" si="25"/>
        <v>25</v>
      </c>
      <c r="U70" s="65">
        <f t="shared" si="25"/>
        <v>30</v>
      </c>
      <c r="V70" s="65">
        <f t="shared" si="25"/>
        <v>35</v>
      </c>
      <c r="W70" s="65">
        <f t="shared" si="25"/>
        <v>40</v>
      </c>
      <c r="X70" s="65">
        <f t="shared" si="25"/>
        <v>45</v>
      </c>
      <c r="Y70" s="65">
        <f t="shared" si="25"/>
        <v>50</v>
      </c>
      <c r="Z70" s="168"/>
      <c r="AA70" s="80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166" t="str">
        <f t="shared" si="26"/>
        <v>菲律賓披索</v>
      </c>
      <c r="D71" s="50" t="str">
        <f t="shared" si="26"/>
        <v/>
      </c>
      <c r="E71" s="167">
        <f t="shared" si="26"/>
        <v>0.1</v>
      </c>
      <c r="F71" s="65">
        <f t="shared" ref="F71:Y71" si="27">HLOOKUP(F18,$F$1:$AI$2,2) * $D$1 * $E71</f>
        <v>1</v>
      </c>
      <c r="G71" s="65">
        <f t="shared" si="27"/>
        <v>2</v>
      </c>
      <c r="H71" s="65">
        <f t="shared" si="27"/>
        <v>3</v>
      </c>
      <c r="I71" s="65">
        <f t="shared" si="27"/>
        <v>4</v>
      </c>
      <c r="J71" s="65">
        <f t="shared" si="27"/>
        <v>5</v>
      </c>
      <c r="K71" s="65">
        <f t="shared" si="27"/>
        <v>7</v>
      </c>
      <c r="L71" s="65">
        <f t="shared" si="27"/>
        <v>10</v>
      </c>
      <c r="M71" s="65">
        <f t="shared" si="27"/>
        <v>15</v>
      </c>
      <c r="N71" s="65">
        <f t="shared" si="27"/>
        <v>20</v>
      </c>
      <c r="O71" s="65">
        <f t="shared" si="27"/>
        <v>25</v>
      </c>
      <c r="P71" s="65">
        <f t="shared" si="27"/>
        <v>30</v>
      </c>
      <c r="Q71" s="65">
        <f t="shared" si="27"/>
        <v>35</v>
      </c>
      <c r="R71" s="65">
        <f t="shared" si="27"/>
        <v>40</v>
      </c>
      <c r="S71" s="65">
        <f t="shared" si="27"/>
        <v>45</v>
      </c>
      <c r="T71" s="65">
        <f t="shared" si="27"/>
        <v>50</v>
      </c>
      <c r="U71" s="65">
        <f t="shared" si="27"/>
        <v>55</v>
      </c>
      <c r="V71" s="65">
        <f t="shared" si="27"/>
        <v>65</v>
      </c>
      <c r="W71" s="65">
        <f t="shared" si="27"/>
        <v>75</v>
      </c>
      <c r="X71" s="65">
        <f t="shared" si="27"/>
        <v>100</v>
      </c>
      <c r="Y71" s="65">
        <f t="shared" si="27"/>
        <v>125</v>
      </c>
      <c r="Z71" s="168"/>
      <c r="AA71" s="80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166" t="str">
        <f t="shared" si="28"/>
        <v>人民幣</v>
      </c>
      <c r="D72" s="50" t="str">
        <f t="shared" si="28"/>
        <v/>
      </c>
      <c r="E72" s="167">
        <f t="shared" si="28"/>
        <v>0.01</v>
      </c>
      <c r="F72" s="65">
        <f t="shared" ref="F72:Y72" si="29">HLOOKUP(F19,$F$1:$AI$2,2) * $D$1 * $E72</f>
        <v>0.1</v>
      </c>
      <c r="G72" s="65">
        <f t="shared" si="29"/>
        <v>0.2</v>
      </c>
      <c r="H72" s="65">
        <f t="shared" si="29"/>
        <v>0.3</v>
      </c>
      <c r="I72" s="65">
        <f t="shared" si="29"/>
        <v>0.4</v>
      </c>
      <c r="J72" s="65">
        <f t="shared" si="29"/>
        <v>0.5</v>
      </c>
      <c r="K72" s="65">
        <f t="shared" si="29"/>
        <v>0.7</v>
      </c>
      <c r="L72" s="65">
        <f t="shared" si="29"/>
        <v>1</v>
      </c>
      <c r="M72" s="65">
        <f t="shared" si="29"/>
        <v>1.5</v>
      </c>
      <c r="N72" s="65">
        <f t="shared" si="29"/>
        <v>2</v>
      </c>
      <c r="O72" s="65">
        <f t="shared" si="29"/>
        <v>2.5</v>
      </c>
      <c r="P72" s="65">
        <f t="shared" si="29"/>
        <v>3</v>
      </c>
      <c r="Q72" s="65">
        <f t="shared" si="29"/>
        <v>3.5</v>
      </c>
      <c r="R72" s="65">
        <f t="shared" si="29"/>
        <v>4</v>
      </c>
      <c r="S72" s="65">
        <f t="shared" si="29"/>
        <v>4.5</v>
      </c>
      <c r="T72" s="65">
        <f t="shared" si="29"/>
        <v>5</v>
      </c>
      <c r="U72" s="65">
        <f t="shared" si="29"/>
        <v>5.5</v>
      </c>
      <c r="V72" s="65">
        <f t="shared" si="29"/>
        <v>6.5</v>
      </c>
      <c r="W72" s="65">
        <f t="shared" si="29"/>
        <v>7.5</v>
      </c>
      <c r="X72" s="65">
        <f t="shared" si="29"/>
        <v>10</v>
      </c>
      <c r="Y72" s="65">
        <f t="shared" si="29"/>
        <v>12.5</v>
      </c>
      <c r="Z72" s="168"/>
      <c r="AA72" s="80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166" t="str">
        <f t="shared" si="30"/>
        <v>墨⻄哥披索</v>
      </c>
      <c r="D73" s="50" t="str">
        <f t="shared" si="30"/>
        <v/>
      </c>
      <c r="E73" s="167">
        <f t="shared" si="30"/>
        <v>0.02</v>
      </c>
      <c r="F73" s="65">
        <f t="shared" ref="F73:Y73" si="31">HLOOKUP(F20,$F$1:$AI$2,2) * $D$1 * $E73</f>
        <v>0.2</v>
      </c>
      <c r="G73" s="65">
        <f t="shared" si="31"/>
        <v>0.4</v>
      </c>
      <c r="H73" s="65">
        <f t="shared" si="31"/>
        <v>0.6</v>
      </c>
      <c r="I73" s="65">
        <f t="shared" si="31"/>
        <v>0.8</v>
      </c>
      <c r="J73" s="65">
        <f t="shared" si="31"/>
        <v>1</v>
      </c>
      <c r="K73" s="65">
        <f t="shared" si="31"/>
        <v>1.4</v>
      </c>
      <c r="L73" s="65">
        <f t="shared" si="31"/>
        <v>2</v>
      </c>
      <c r="M73" s="65">
        <f t="shared" si="31"/>
        <v>3</v>
      </c>
      <c r="N73" s="65">
        <f t="shared" si="31"/>
        <v>4</v>
      </c>
      <c r="O73" s="65">
        <f t="shared" si="31"/>
        <v>5</v>
      </c>
      <c r="P73" s="65">
        <f t="shared" si="31"/>
        <v>6</v>
      </c>
      <c r="Q73" s="65">
        <f t="shared" si="31"/>
        <v>7</v>
      </c>
      <c r="R73" s="65">
        <f t="shared" si="31"/>
        <v>8</v>
      </c>
      <c r="S73" s="65">
        <f t="shared" si="31"/>
        <v>9</v>
      </c>
      <c r="T73" s="65">
        <f t="shared" si="31"/>
        <v>10</v>
      </c>
      <c r="U73" s="65">
        <f t="shared" si="31"/>
        <v>11</v>
      </c>
      <c r="V73" s="65">
        <f t="shared" si="31"/>
        <v>13</v>
      </c>
      <c r="W73" s="65">
        <f t="shared" si="31"/>
        <v>15</v>
      </c>
      <c r="X73" s="65">
        <f t="shared" si="31"/>
        <v>20</v>
      </c>
      <c r="Y73" s="65">
        <f t="shared" si="31"/>
        <v>25</v>
      </c>
      <c r="Z73" s="169"/>
      <c r="AA73" s="80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166" t="str">
        <f t="shared" si="32"/>
        <v>巴西雷亞爾</v>
      </c>
      <c r="D74" s="50" t="str">
        <f t="shared" si="32"/>
        <v/>
      </c>
      <c r="E74" s="167">
        <f t="shared" si="32"/>
        <v>0.01</v>
      </c>
      <c r="F74" s="65">
        <f t="shared" ref="F74:Y74" si="33">HLOOKUP(F21,$F$1:$AI$2,2) * $D$1 * $E74</f>
        <v>0.1</v>
      </c>
      <c r="G74" s="65">
        <f t="shared" si="33"/>
        <v>0.2</v>
      </c>
      <c r="H74" s="65">
        <f t="shared" si="33"/>
        <v>0.3</v>
      </c>
      <c r="I74" s="65">
        <f t="shared" si="33"/>
        <v>0.4</v>
      </c>
      <c r="J74" s="65">
        <f t="shared" si="33"/>
        <v>0.5</v>
      </c>
      <c r="K74" s="65">
        <f t="shared" si="33"/>
        <v>0.7</v>
      </c>
      <c r="L74" s="65">
        <f t="shared" si="33"/>
        <v>1</v>
      </c>
      <c r="M74" s="65">
        <f t="shared" si="33"/>
        <v>1.5</v>
      </c>
      <c r="N74" s="65">
        <f t="shared" si="33"/>
        <v>2</v>
      </c>
      <c r="O74" s="65">
        <f t="shared" si="33"/>
        <v>2.5</v>
      </c>
      <c r="P74" s="65">
        <f t="shared" si="33"/>
        <v>3</v>
      </c>
      <c r="Q74" s="65">
        <f t="shared" si="33"/>
        <v>3.5</v>
      </c>
      <c r="R74" s="65">
        <f t="shared" si="33"/>
        <v>4</v>
      </c>
      <c r="S74" s="65">
        <f t="shared" si="33"/>
        <v>4.5</v>
      </c>
      <c r="T74" s="65">
        <f t="shared" si="33"/>
        <v>5</v>
      </c>
      <c r="U74" s="65">
        <f t="shared" si="33"/>
        <v>5.5</v>
      </c>
      <c r="V74" s="65">
        <f t="shared" si="33"/>
        <v>6.5</v>
      </c>
      <c r="W74" s="65">
        <f t="shared" si="33"/>
        <v>7.5</v>
      </c>
      <c r="X74" s="65">
        <f t="shared" si="33"/>
        <v>10</v>
      </c>
      <c r="Y74" s="65">
        <f t="shared" si="33"/>
        <v>12.5</v>
      </c>
      <c r="Z74" s="169"/>
      <c r="AA74" s="80"/>
    </row>
    <row r="75" ht="16.5" customHeight="1">
      <c r="A75" s="48" t="str">
        <f t="shared" ref="A75:E75" si="34">A22</f>
        <v>AUD</v>
      </c>
      <c r="B75" s="48" t="str">
        <f t="shared" si="34"/>
        <v>A$</v>
      </c>
      <c r="C75" s="166" t="str">
        <f t="shared" si="34"/>
        <v>澳洲元</v>
      </c>
      <c r="D75" s="127" t="str">
        <f t="shared" si="34"/>
        <v/>
      </c>
      <c r="E75" s="167">
        <f t="shared" si="34"/>
        <v>0.01</v>
      </c>
      <c r="F75" s="65">
        <f t="shared" ref="F75:Y75" si="35">HLOOKUP(F22,$F$1:$AI$2,2) * $D$1 * $E75</f>
        <v>0.1</v>
      </c>
      <c r="G75" s="65">
        <f t="shared" si="35"/>
        <v>0.2</v>
      </c>
      <c r="H75" s="65">
        <f t="shared" si="35"/>
        <v>0.3</v>
      </c>
      <c r="I75" s="65">
        <f t="shared" si="35"/>
        <v>0.4</v>
      </c>
      <c r="J75" s="65">
        <f t="shared" si="35"/>
        <v>0.5</v>
      </c>
      <c r="K75" s="65">
        <f t="shared" si="35"/>
        <v>0.6</v>
      </c>
      <c r="L75" s="65">
        <f t="shared" si="35"/>
        <v>0.7</v>
      </c>
      <c r="M75" s="65">
        <f t="shared" si="35"/>
        <v>0.8</v>
      </c>
      <c r="N75" s="65">
        <f t="shared" si="35"/>
        <v>0.9</v>
      </c>
      <c r="O75" s="65">
        <f t="shared" si="35"/>
        <v>1</v>
      </c>
      <c r="P75" s="65">
        <f t="shared" si="35"/>
        <v>1.2</v>
      </c>
      <c r="Q75" s="65">
        <f t="shared" si="35"/>
        <v>1.4</v>
      </c>
      <c r="R75" s="65">
        <f t="shared" si="35"/>
        <v>1.6</v>
      </c>
      <c r="S75" s="65">
        <f t="shared" si="35"/>
        <v>2</v>
      </c>
      <c r="T75" s="65">
        <f t="shared" si="35"/>
        <v>2.5</v>
      </c>
      <c r="U75" s="65">
        <f t="shared" si="35"/>
        <v>3</v>
      </c>
      <c r="V75" s="65">
        <f t="shared" si="35"/>
        <v>3.5</v>
      </c>
      <c r="W75" s="65">
        <f t="shared" si="35"/>
        <v>4</v>
      </c>
      <c r="X75" s="65">
        <f t="shared" si="35"/>
        <v>4.5</v>
      </c>
      <c r="Y75" s="65">
        <f t="shared" si="35"/>
        <v>5</v>
      </c>
      <c r="Z75" s="169"/>
      <c r="AA75" s="80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166" t="str">
        <f t="shared" si="36"/>
        <v>日圓</v>
      </c>
      <c r="D76" s="127" t="str">
        <f t="shared" si="36"/>
        <v/>
      </c>
      <c r="E76" s="167">
        <f t="shared" si="36"/>
        <v>0.2</v>
      </c>
      <c r="F76" s="65">
        <f t="shared" ref="F76:Y76" si="37">HLOOKUP(F23,$F$1:$AI$2,2) * $D$1 * $E76</f>
        <v>2</v>
      </c>
      <c r="G76" s="65">
        <f t="shared" si="37"/>
        <v>4</v>
      </c>
      <c r="H76" s="65">
        <f t="shared" si="37"/>
        <v>6</v>
      </c>
      <c r="I76" s="65">
        <f t="shared" si="37"/>
        <v>8</v>
      </c>
      <c r="J76" s="65">
        <f t="shared" si="37"/>
        <v>10</v>
      </c>
      <c r="K76" s="65">
        <f t="shared" si="37"/>
        <v>14</v>
      </c>
      <c r="L76" s="65">
        <f t="shared" si="37"/>
        <v>20</v>
      </c>
      <c r="M76" s="65">
        <f t="shared" si="37"/>
        <v>30</v>
      </c>
      <c r="N76" s="65">
        <f t="shared" si="37"/>
        <v>40</v>
      </c>
      <c r="O76" s="65">
        <f t="shared" si="37"/>
        <v>50</v>
      </c>
      <c r="P76" s="65">
        <f t="shared" si="37"/>
        <v>60</v>
      </c>
      <c r="Q76" s="65">
        <f t="shared" si="37"/>
        <v>70</v>
      </c>
      <c r="R76" s="65">
        <f t="shared" si="37"/>
        <v>80</v>
      </c>
      <c r="S76" s="65">
        <f t="shared" si="37"/>
        <v>90</v>
      </c>
      <c r="T76" s="65">
        <f t="shared" si="37"/>
        <v>100</v>
      </c>
      <c r="U76" s="65">
        <f t="shared" si="37"/>
        <v>110</v>
      </c>
      <c r="V76" s="65">
        <f t="shared" si="37"/>
        <v>130</v>
      </c>
      <c r="W76" s="65">
        <f t="shared" si="37"/>
        <v>150</v>
      </c>
      <c r="X76" s="65">
        <f t="shared" si="37"/>
        <v>200</v>
      </c>
      <c r="Y76" s="65">
        <f t="shared" si="37"/>
        <v>250</v>
      </c>
      <c r="Z76" s="169"/>
      <c r="AA76" s="80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166" t="str">
        <f t="shared" si="38"/>
        <v>韓圓</v>
      </c>
      <c r="D77" s="127" t="str">
        <f t="shared" si="38"/>
        <v/>
      </c>
      <c r="E77" s="167">
        <f t="shared" si="38"/>
        <v>2</v>
      </c>
      <c r="F77" s="65">
        <f t="shared" ref="F77:Y77" si="39">HLOOKUP(F24,$F$1:$AI$2,2) * $D$1 * $E77</f>
        <v>20</v>
      </c>
      <c r="G77" s="65">
        <f t="shared" si="39"/>
        <v>40</v>
      </c>
      <c r="H77" s="65">
        <f t="shared" si="39"/>
        <v>60</v>
      </c>
      <c r="I77" s="65">
        <f t="shared" si="39"/>
        <v>80</v>
      </c>
      <c r="J77" s="65">
        <f t="shared" si="39"/>
        <v>100</v>
      </c>
      <c r="K77" s="65">
        <f t="shared" si="39"/>
        <v>140</v>
      </c>
      <c r="L77" s="65">
        <f t="shared" si="39"/>
        <v>200</v>
      </c>
      <c r="M77" s="65">
        <f t="shared" si="39"/>
        <v>300</v>
      </c>
      <c r="N77" s="65">
        <f t="shared" si="39"/>
        <v>400</v>
      </c>
      <c r="O77" s="65">
        <f t="shared" si="39"/>
        <v>500</v>
      </c>
      <c r="P77" s="65">
        <f t="shared" si="39"/>
        <v>600</v>
      </c>
      <c r="Q77" s="65">
        <f t="shared" si="39"/>
        <v>700</v>
      </c>
      <c r="R77" s="65">
        <f t="shared" si="39"/>
        <v>800</v>
      </c>
      <c r="S77" s="65">
        <f t="shared" si="39"/>
        <v>900</v>
      </c>
      <c r="T77" s="65">
        <f t="shared" si="39"/>
        <v>1000</v>
      </c>
      <c r="U77" s="65">
        <f t="shared" si="39"/>
        <v>1100</v>
      </c>
      <c r="V77" s="65">
        <f t="shared" si="39"/>
        <v>1300</v>
      </c>
      <c r="W77" s="65">
        <f t="shared" si="39"/>
        <v>1500</v>
      </c>
      <c r="X77" s="65">
        <f t="shared" si="39"/>
        <v>2000</v>
      </c>
      <c r="Y77" s="65">
        <f t="shared" si="39"/>
        <v>2500</v>
      </c>
      <c r="Z77" s="169"/>
      <c r="AA77" s="80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166" t="str">
        <f t="shared" si="40"/>
        <v>智利披索</v>
      </c>
      <c r="D78" s="127" t="str">
        <f t="shared" si="40"/>
        <v/>
      </c>
      <c r="E78" s="167">
        <f t="shared" si="40"/>
        <v>1</v>
      </c>
      <c r="F78" s="65">
        <f t="shared" ref="F78:Y78" si="41">HLOOKUP(F25,$F$1:$AI$2,2) * $D$1 * $E78</f>
        <v>10</v>
      </c>
      <c r="G78" s="65">
        <f t="shared" si="41"/>
        <v>20</v>
      </c>
      <c r="H78" s="65">
        <f t="shared" si="41"/>
        <v>30</v>
      </c>
      <c r="I78" s="65">
        <f t="shared" si="41"/>
        <v>40</v>
      </c>
      <c r="J78" s="65">
        <f t="shared" si="41"/>
        <v>50</v>
      </c>
      <c r="K78" s="65">
        <f t="shared" si="41"/>
        <v>70</v>
      </c>
      <c r="L78" s="65">
        <f t="shared" si="41"/>
        <v>100</v>
      </c>
      <c r="M78" s="65">
        <f t="shared" si="41"/>
        <v>150</v>
      </c>
      <c r="N78" s="65">
        <f t="shared" si="41"/>
        <v>200</v>
      </c>
      <c r="O78" s="65">
        <f t="shared" si="41"/>
        <v>250</v>
      </c>
      <c r="P78" s="65">
        <f t="shared" si="41"/>
        <v>300</v>
      </c>
      <c r="Q78" s="65">
        <f t="shared" si="41"/>
        <v>350</v>
      </c>
      <c r="R78" s="65">
        <f t="shared" si="41"/>
        <v>400</v>
      </c>
      <c r="S78" s="65">
        <f t="shared" si="41"/>
        <v>450</v>
      </c>
      <c r="T78" s="65">
        <f t="shared" si="41"/>
        <v>500</v>
      </c>
      <c r="U78" s="65">
        <f t="shared" si="41"/>
        <v>550</v>
      </c>
      <c r="V78" s="65">
        <f t="shared" si="41"/>
        <v>650</v>
      </c>
      <c r="W78" s="65">
        <f t="shared" si="41"/>
        <v>750</v>
      </c>
      <c r="X78" s="65">
        <f t="shared" si="41"/>
        <v>1000</v>
      </c>
      <c r="Y78" s="65">
        <f t="shared" si="41"/>
        <v>1250</v>
      </c>
      <c r="Z78" s="169"/>
      <c r="AA78" s="80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166" t="str">
        <f t="shared" si="42"/>
        <v>緬甸元</v>
      </c>
      <c r="D79" s="50" t="str">
        <f t="shared" si="42"/>
        <v/>
      </c>
      <c r="E79" s="167">
        <f t="shared" si="42"/>
        <v>2</v>
      </c>
      <c r="F79" s="65">
        <f t="shared" ref="F79:Y79" si="43">HLOOKUP(F26,$F$1:$AI$2,2) * $D$1 * $E79</f>
        <v>20</v>
      </c>
      <c r="G79" s="65">
        <f t="shared" si="43"/>
        <v>40</v>
      </c>
      <c r="H79" s="65">
        <f t="shared" si="43"/>
        <v>60</v>
      </c>
      <c r="I79" s="65">
        <f t="shared" si="43"/>
        <v>80</v>
      </c>
      <c r="J79" s="65">
        <f t="shared" si="43"/>
        <v>100</v>
      </c>
      <c r="K79" s="65">
        <f t="shared" si="43"/>
        <v>140</v>
      </c>
      <c r="L79" s="65">
        <f t="shared" si="43"/>
        <v>200</v>
      </c>
      <c r="M79" s="65">
        <f t="shared" si="43"/>
        <v>300</v>
      </c>
      <c r="N79" s="65">
        <f t="shared" si="43"/>
        <v>400</v>
      </c>
      <c r="O79" s="65">
        <f t="shared" si="43"/>
        <v>500</v>
      </c>
      <c r="P79" s="65">
        <f t="shared" si="43"/>
        <v>600</v>
      </c>
      <c r="Q79" s="65">
        <f t="shared" si="43"/>
        <v>700</v>
      </c>
      <c r="R79" s="65">
        <f t="shared" si="43"/>
        <v>800</v>
      </c>
      <c r="S79" s="65">
        <f t="shared" si="43"/>
        <v>900</v>
      </c>
      <c r="T79" s="65">
        <f t="shared" si="43"/>
        <v>1000</v>
      </c>
      <c r="U79" s="65">
        <f t="shared" si="43"/>
        <v>1100</v>
      </c>
      <c r="V79" s="65">
        <f t="shared" si="43"/>
        <v>1300</v>
      </c>
      <c r="W79" s="65">
        <f t="shared" si="43"/>
        <v>1500</v>
      </c>
      <c r="X79" s="65">
        <f t="shared" si="43"/>
        <v>2000</v>
      </c>
      <c r="Y79" s="65">
        <f t="shared" si="43"/>
        <v>2500</v>
      </c>
      <c r="Z79" s="170"/>
      <c r="AA79" s="80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166" t="str">
        <f t="shared" si="44"/>
        <v>印尼盧比</v>
      </c>
      <c r="D80" s="50" t="str">
        <f t="shared" si="44"/>
        <v/>
      </c>
      <c r="E80" s="167">
        <f t="shared" si="44"/>
        <v>20</v>
      </c>
      <c r="F80" s="65">
        <f t="shared" ref="F80:Y80" si="45">HLOOKUP(F27,$F$1:$AI$2,2) * $D$1 * $E80</f>
        <v>200</v>
      </c>
      <c r="G80" s="65">
        <f t="shared" si="45"/>
        <v>400</v>
      </c>
      <c r="H80" s="65">
        <f t="shared" si="45"/>
        <v>600</v>
      </c>
      <c r="I80" s="65">
        <f t="shared" si="45"/>
        <v>800</v>
      </c>
      <c r="J80" s="65">
        <f t="shared" si="45"/>
        <v>1000</v>
      </c>
      <c r="K80" s="65">
        <f t="shared" si="45"/>
        <v>1400</v>
      </c>
      <c r="L80" s="65">
        <f t="shared" si="45"/>
        <v>2000</v>
      </c>
      <c r="M80" s="65">
        <f t="shared" si="45"/>
        <v>3000</v>
      </c>
      <c r="N80" s="65">
        <f t="shared" si="45"/>
        <v>4000</v>
      </c>
      <c r="O80" s="65">
        <f t="shared" si="45"/>
        <v>5000</v>
      </c>
      <c r="P80" s="65">
        <f t="shared" si="45"/>
        <v>6000</v>
      </c>
      <c r="Q80" s="65">
        <f t="shared" si="45"/>
        <v>7000</v>
      </c>
      <c r="R80" s="65">
        <f t="shared" si="45"/>
        <v>8000</v>
      </c>
      <c r="S80" s="65">
        <f t="shared" si="45"/>
        <v>9000</v>
      </c>
      <c r="T80" s="65">
        <f t="shared" si="45"/>
        <v>10000</v>
      </c>
      <c r="U80" s="65">
        <f t="shared" si="45"/>
        <v>11000</v>
      </c>
      <c r="V80" s="65">
        <f t="shared" si="45"/>
        <v>13000</v>
      </c>
      <c r="W80" s="65">
        <f t="shared" si="45"/>
        <v>15000</v>
      </c>
      <c r="X80" s="65">
        <f t="shared" si="45"/>
        <v>20000</v>
      </c>
      <c r="Y80" s="65">
        <f t="shared" si="45"/>
        <v>25000</v>
      </c>
      <c r="Z80" s="170"/>
      <c r="AA80" s="80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166" t="str">
        <f t="shared" si="46"/>
        <v>盧布</v>
      </c>
      <c r="D81" s="50" t="str">
        <f t="shared" si="46"/>
        <v/>
      </c>
      <c r="E81" s="167">
        <f t="shared" si="46"/>
        <v>0.1</v>
      </c>
      <c r="F81" s="65">
        <f t="shared" ref="F81:Y81" si="47">HLOOKUP(F28,$F$1:$AI$2,2) * $D$1 * $E81</f>
        <v>1</v>
      </c>
      <c r="G81" s="65">
        <f t="shared" si="47"/>
        <v>2</v>
      </c>
      <c r="H81" s="65">
        <f t="shared" si="47"/>
        <v>3</v>
      </c>
      <c r="I81" s="65">
        <f t="shared" si="47"/>
        <v>4</v>
      </c>
      <c r="J81" s="65">
        <f t="shared" si="47"/>
        <v>5</v>
      </c>
      <c r="K81" s="65">
        <f t="shared" si="47"/>
        <v>7</v>
      </c>
      <c r="L81" s="65">
        <f t="shared" si="47"/>
        <v>10</v>
      </c>
      <c r="M81" s="65">
        <f t="shared" si="47"/>
        <v>15</v>
      </c>
      <c r="N81" s="65">
        <f t="shared" si="47"/>
        <v>20</v>
      </c>
      <c r="O81" s="65">
        <f t="shared" si="47"/>
        <v>25</v>
      </c>
      <c r="P81" s="65">
        <f t="shared" si="47"/>
        <v>30</v>
      </c>
      <c r="Q81" s="65">
        <f t="shared" si="47"/>
        <v>35</v>
      </c>
      <c r="R81" s="65">
        <f t="shared" si="47"/>
        <v>40</v>
      </c>
      <c r="S81" s="65">
        <f t="shared" si="47"/>
        <v>45</v>
      </c>
      <c r="T81" s="65">
        <f t="shared" si="47"/>
        <v>50</v>
      </c>
      <c r="U81" s="65">
        <f t="shared" si="47"/>
        <v>55</v>
      </c>
      <c r="V81" s="65">
        <f t="shared" si="47"/>
        <v>65</v>
      </c>
      <c r="W81" s="65">
        <f t="shared" si="47"/>
        <v>75</v>
      </c>
      <c r="X81" s="65">
        <f t="shared" si="47"/>
        <v>100</v>
      </c>
      <c r="Y81" s="65">
        <f t="shared" si="47"/>
        <v>125</v>
      </c>
      <c r="Z81" s="170"/>
      <c r="AA81" s="80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166" t="str">
        <f t="shared" si="48"/>
        <v>斯里蘭卡盧比</v>
      </c>
      <c r="D82" s="50" t="str">
        <f t="shared" si="48"/>
        <v/>
      </c>
      <c r="E82" s="167">
        <f t="shared" si="48"/>
        <v>0.5</v>
      </c>
      <c r="F82" s="65">
        <f t="shared" ref="F82:Y82" si="49">HLOOKUP(F29,$F$1:$AI$2,2) * $D$1 * $E82</f>
        <v>5</v>
      </c>
      <c r="G82" s="65">
        <f t="shared" si="49"/>
        <v>10</v>
      </c>
      <c r="H82" s="65">
        <f t="shared" si="49"/>
        <v>15</v>
      </c>
      <c r="I82" s="65">
        <f t="shared" si="49"/>
        <v>20</v>
      </c>
      <c r="J82" s="65">
        <f t="shared" si="49"/>
        <v>25</v>
      </c>
      <c r="K82" s="65">
        <f t="shared" si="49"/>
        <v>35</v>
      </c>
      <c r="L82" s="65">
        <f t="shared" si="49"/>
        <v>50</v>
      </c>
      <c r="M82" s="65">
        <f t="shared" si="49"/>
        <v>75</v>
      </c>
      <c r="N82" s="65">
        <f t="shared" si="49"/>
        <v>100</v>
      </c>
      <c r="O82" s="65">
        <f t="shared" si="49"/>
        <v>125</v>
      </c>
      <c r="P82" s="65">
        <f t="shared" si="49"/>
        <v>150</v>
      </c>
      <c r="Q82" s="65">
        <f t="shared" si="49"/>
        <v>175</v>
      </c>
      <c r="R82" s="65">
        <f t="shared" si="49"/>
        <v>200</v>
      </c>
      <c r="S82" s="65">
        <f t="shared" si="49"/>
        <v>225</v>
      </c>
      <c r="T82" s="65">
        <f t="shared" si="49"/>
        <v>250</v>
      </c>
      <c r="U82" s="65">
        <f t="shared" si="49"/>
        <v>275</v>
      </c>
      <c r="V82" s="65">
        <f t="shared" si="49"/>
        <v>325</v>
      </c>
      <c r="W82" s="65">
        <f t="shared" si="49"/>
        <v>375</v>
      </c>
      <c r="X82" s="65">
        <f t="shared" si="49"/>
        <v>500</v>
      </c>
      <c r="Y82" s="65">
        <f t="shared" si="49"/>
        <v>625</v>
      </c>
      <c r="Z82" s="170"/>
      <c r="AA82" s="80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166" t="str">
        <f t="shared" si="50"/>
        <v>衣索比亞比爾</v>
      </c>
      <c r="D83" s="50" t="str">
        <f t="shared" si="50"/>
        <v/>
      </c>
      <c r="E83" s="167">
        <f t="shared" si="50"/>
        <v>0.05</v>
      </c>
      <c r="F83" s="65">
        <f t="shared" ref="F83:Y83" si="51">HLOOKUP(F30,$F$1:$AI$2,2) * $D$1 * $E83</f>
        <v>0.5</v>
      </c>
      <c r="G83" s="65">
        <f t="shared" si="51"/>
        <v>1</v>
      </c>
      <c r="H83" s="65">
        <f t="shared" si="51"/>
        <v>1.5</v>
      </c>
      <c r="I83" s="65">
        <f t="shared" si="51"/>
        <v>2</v>
      </c>
      <c r="J83" s="65">
        <f t="shared" si="51"/>
        <v>2.5</v>
      </c>
      <c r="K83" s="65">
        <f t="shared" si="51"/>
        <v>3.5</v>
      </c>
      <c r="L83" s="65">
        <f t="shared" si="51"/>
        <v>5</v>
      </c>
      <c r="M83" s="65">
        <f t="shared" si="51"/>
        <v>7.5</v>
      </c>
      <c r="N83" s="65">
        <f t="shared" si="51"/>
        <v>10</v>
      </c>
      <c r="O83" s="65">
        <f t="shared" si="51"/>
        <v>12.5</v>
      </c>
      <c r="P83" s="65">
        <f t="shared" si="51"/>
        <v>15</v>
      </c>
      <c r="Q83" s="65">
        <f t="shared" si="51"/>
        <v>17.5</v>
      </c>
      <c r="R83" s="65">
        <f t="shared" si="51"/>
        <v>20</v>
      </c>
      <c r="S83" s="65">
        <f t="shared" si="51"/>
        <v>22.5</v>
      </c>
      <c r="T83" s="65">
        <f t="shared" si="51"/>
        <v>25</v>
      </c>
      <c r="U83" s="65">
        <f t="shared" si="51"/>
        <v>27.5</v>
      </c>
      <c r="V83" s="65">
        <f t="shared" si="51"/>
        <v>32.5</v>
      </c>
      <c r="W83" s="65">
        <f t="shared" si="51"/>
        <v>37.5</v>
      </c>
      <c r="X83" s="65">
        <f t="shared" si="51"/>
        <v>50</v>
      </c>
      <c r="Y83" s="65">
        <f t="shared" si="51"/>
        <v>62.5</v>
      </c>
      <c r="Z83" s="170"/>
      <c r="AA83" s="80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166" t="str">
        <f t="shared" si="52"/>
        <v>烏干達先令</v>
      </c>
      <c r="D84" s="50" t="str">
        <f t="shared" si="52"/>
        <v/>
      </c>
      <c r="E84" s="167">
        <f t="shared" si="52"/>
        <v>5</v>
      </c>
      <c r="F84" s="65">
        <f t="shared" ref="F84:Y84" si="53">HLOOKUP(F31,$F$1:$AI$2,2) * $D$1 * $E84</f>
        <v>50</v>
      </c>
      <c r="G84" s="65">
        <f t="shared" si="53"/>
        <v>100</v>
      </c>
      <c r="H84" s="65">
        <f t="shared" si="53"/>
        <v>150</v>
      </c>
      <c r="I84" s="65">
        <f t="shared" si="53"/>
        <v>200</v>
      </c>
      <c r="J84" s="65">
        <f t="shared" si="53"/>
        <v>250</v>
      </c>
      <c r="K84" s="65">
        <f t="shared" si="53"/>
        <v>350</v>
      </c>
      <c r="L84" s="65">
        <f t="shared" si="53"/>
        <v>500</v>
      </c>
      <c r="M84" s="65">
        <f t="shared" si="53"/>
        <v>750</v>
      </c>
      <c r="N84" s="65">
        <f t="shared" si="53"/>
        <v>1000</v>
      </c>
      <c r="O84" s="65">
        <f t="shared" si="53"/>
        <v>1250</v>
      </c>
      <c r="P84" s="65">
        <f t="shared" si="53"/>
        <v>1500</v>
      </c>
      <c r="Q84" s="65">
        <f t="shared" si="53"/>
        <v>1750</v>
      </c>
      <c r="R84" s="65">
        <f t="shared" si="53"/>
        <v>2000</v>
      </c>
      <c r="S84" s="65">
        <f t="shared" si="53"/>
        <v>2250</v>
      </c>
      <c r="T84" s="65">
        <f t="shared" si="53"/>
        <v>2500</v>
      </c>
      <c r="U84" s="65">
        <f t="shared" si="53"/>
        <v>2750</v>
      </c>
      <c r="V84" s="65">
        <f t="shared" si="53"/>
        <v>3250</v>
      </c>
      <c r="W84" s="65">
        <f t="shared" si="53"/>
        <v>3750</v>
      </c>
      <c r="X84" s="65">
        <f t="shared" si="53"/>
        <v>5000</v>
      </c>
      <c r="Y84" s="65">
        <f t="shared" si="53"/>
        <v>6250</v>
      </c>
      <c r="Z84" s="170"/>
      <c r="AA84" s="80"/>
    </row>
    <row r="85" ht="16.5" customHeight="1">
      <c r="A85" s="48" t="str">
        <f t="shared" ref="A85:E85" si="54">A32</f>
        <v>EUR</v>
      </c>
      <c r="B85" s="48" t="str">
        <f t="shared" si="54"/>
        <v>€</v>
      </c>
      <c r="C85" s="166" t="str">
        <f t="shared" si="54"/>
        <v>歐元</v>
      </c>
      <c r="D85" s="162" t="str">
        <f t="shared" si="54"/>
        <v/>
      </c>
      <c r="E85" s="167">
        <f t="shared" si="54"/>
        <v>0.01</v>
      </c>
      <c r="F85" s="171">
        <f t="shared" ref="F85:Y85" si="55">HLOOKUP(F32,$F$1:$AI$2,2) * $D$1 * $E85</f>
        <v>0.1</v>
      </c>
      <c r="G85" s="171">
        <f t="shared" si="55"/>
        <v>0.2</v>
      </c>
      <c r="H85" s="171">
        <f t="shared" si="55"/>
        <v>0.3</v>
      </c>
      <c r="I85" s="171">
        <f t="shared" si="55"/>
        <v>0.4</v>
      </c>
      <c r="J85" s="171">
        <f t="shared" si="55"/>
        <v>0.5</v>
      </c>
      <c r="K85" s="171">
        <f t="shared" si="55"/>
        <v>0.6</v>
      </c>
      <c r="L85" s="171">
        <f t="shared" si="55"/>
        <v>0.7</v>
      </c>
      <c r="M85" s="171">
        <f t="shared" si="55"/>
        <v>0.8</v>
      </c>
      <c r="N85" s="171">
        <f t="shared" si="55"/>
        <v>0.9</v>
      </c>
      <c r="O85" s="171">
        <f t="shared" si="55"/>
        <v>1</v>
      </c>
      <c r="P85" s="171">
        <f t="shared" si="55"/>
        <v>1.2</v>
      </c>
      <c r="Q85" s="171">
        <f t="shared" si="55"/>
        <v>1.4</v>
      </c>
      <c r="R85" s="171">
        <f t="shared" si="55"/>
        <v>1.6</v>
      </c>
      <c r="S85" s="171">
        <f t="shared" si="55"/>
        <v>2</v>
      </c>
      <c r="T85" s="171">
        <f t="shared" si="55"/>
        <v>2.5</v>
      </c>
      <c r="U85" s="171">
        <f t="shared" si="55"/>
        <v>3</v>
      </c>
      <c r="V85" s="171">
        <f t="shared" si="55"/>
        <v>3.5</v>
      </c>
      <c r="W85" s="171">
        <f t="shared" si="55"/>
        <v>4</v>
      </c>
      <c r="X85" s="171">
        <f t="shared" si="55"/>
        <v>4.5</v>
      </c>
      <c r="Y85" s="171">
        <f t="shared" si="55"/>
        <v>5</v>
      </c>
      <c r="Z85" s="170"/>
      <c r="AA85" s="80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166" t="str">
        <f t="shared" si="56"/>
        <v>阿根廷披索</v>
      </c>
      <c r="D86" s="162" t="str">
        <f t="shared" si="56"/>
        <v/>
      </c>
      <c r="E86" s="167">
        <f t="shared" si="56"/>
        <v>0.25</v>
      </c>
      <c r="F86" s="171">
        <f t="shared" ref="F86:Y86" si="57">HLOOKUP(F33,$F$1:$AI$2,2) * $D$1 * $E86</f>
        <v>2.5</v>
      </c>
      <c r="G86" s="171">
        <f t="shared" si="57"/>
        <v>5</v>
      </c>
      <c r="H86" s="171">
        <f t="shared" si="57"/>
        <v>7.5</v>
      </c>
      <c r="I86" s="171">
        <f t="shared" si="57"/>
        <v>10</v>
      </c>
      <c r="J86" s="171">
        <f t="shared" si="57"/>
        <v>12.5</v>
      </c>
      <c r="K86" s="171">
        <f t="shared" si="57"/>
        <v>17.5</v>
      </c>
      <c r="L86" s="171">
        <f t="shared" si="57"/>
        <v>25</v>
      </c>
      <c r="M86" s="171">
        <f t="shared" si="57"/>
        <v>37.5</v>
      </c>
      <c r="N86" s="171">
        <f t="shared" si="57"/>
        <v>50</v>
      </c>
      <c r="O86" s="171">
        <f t="shared" si="57"/>
        <v>62.5</v>
      </c>
      <c r="P86" s="171">
        <f t="shared" si="57"/>
        <v>75</v>
      </c>
      <c r="Q86" s="171">
        <f t="shared" si="57"/>
        <v>87.5</v>
      </c>
      <c r="R86" s="171">
        <f t="shared" si="57"/>
        <v>100</v>
      </c>
      <c r="S86" s="171">
        <f t="shared" si="57"/>
        <v>112.5</v>
      </c>
      <c r="T86" s="171">
        <f t="shared" si="57"/>
        <v>125</v>
      </c>
      <c r="U86" s="171">
        <f t="shared" si="57"/>
        <v>137.5</v>
      </c>
      <c r="V86" s="171">
        <f t="shared" si="57"/>
        <v>162.5</v>
      </c>
      <c r="W86" s="171">
        <f t="shared" si="57"/>
        <v>187.5</v>
      </c>
      <c r="X86" s="171">
        <f t="shared" si="57"/>
        <v>250</v>
      </c>
      <c r="Y86" s="171">
        <f t="shared" si="57"/>
        <v>312.5</v>
      </c>
      <c r="Z86" s="170"/>
      <c r="AA86" s="80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166" t="str">
        <f t="shared" si="58"/>
        <v>奈及利亞奈拉</v>
      </c>
      <c r="D87" s="162" t="str">
        <f t="shared" si="58"/>
        <v/>
      </c>
      <c r="E87" s="167">
        <f t="shared" si="58"/>
        <v>1</v>
      </c>
      <c r="F87" s="171">
        <f t="shared" ref="F87:Y87" si="59">HLOOKUP(F34,$F$1:$AI$2,2) * $D$1 * $E87</f>
        <v>10</v>
      </c>
      <c r="G87" s="171">
        <f t="shared" si="59"/>
        <v>20</v>
      </c>
      <c r="H87" s="171">
        <f t="shared" si="59"/>
        <v>30</v>
      </c>
      <c r="I87" s="171">
        <f t="shared" si="59"/>
        <v>40</v>
      </c>
      <c r="J87" s="171">
        <f t="shared" si="59"/>
        <v>50</v>
      </c>
      <c r="K87" s="171">
        <f t="shared" si="59"/>
        <v>70</v>
      </c>
      <c r="L87" s="171">
        <f t="shared" si="59"/>
        <v>100</v>
      </c>
      <c r="M87" s="171">
        <f t="shared" si="59"/>
        <v>150</v>
      </c>
      <c r="N87" s="171">
        <f t="shared" si="59"/>
        <v>200</v>
      </c>
      <c r="O87" s="171">
        <f t="shared" si="59"/>
        <v>250</v>
      </c>
      <c r="P87" s="171">
        <f t="shared" si="59"/>
        <v>300</v>
      </c>
      <c r="Q87" s="171">
        <f t="shared" si="59"/>
        <v>350</v>
      </c>
      <c r="R87" s="171">
        <f t="shared" si="59"/>
        <v>400</v>
      </c>
      <c r="S87" s="171">
        <f t="shared" si="59"/>
        <v>450</v>
      </c>
      <c r="T87" s="171">
        <f t="shared" si="59"/>
        <v>500</v>
      </c>
      <c r="U87" s="171">
        <f t="shared" si="59"/>
        <v>550</v>
      </c>
      <c r="V87" s="171">
        <f t="shared" si="59"/>
        <v>650</v>
      </c>
      <c r="W87" s="171">
        <f t="shared" si="59"/>
        <v>750</v>
      </c>
      <c r="X87" s="171">
        <f t="shared" si="59"/>
        <v>1000</v>
      </c>
      <c r="Y87" s="171">
        <f t="shared" si="59"/>
        <v>1250</v>
      </c>
      <c r="Z87" s="170"/>
      <c r="AA87" s="80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166" t="str">
        <f t="shared" si="60"/>
        <v>肯亞先令</v>
      </c>
      <c r="D88" s="162" t="str">
        <f t="shared" si="60"/>
        <v/>
      </c>
      <c r="E88" s="167">
        <f t="shared" si="60"/>
        <v>0.2</v>
      </c>
      <c r="F88" s="171">
        <f t="shared" ref="F88:Y88" si="61">HLOOKUP(F35,$F$1:$AI$2,2) * $D$1 * $E88</f>
        <v>2</v>
      </c>
      <c r="G88" s="171">
        <f t="shared" si="61"/>
        <v>4</v>
      </c>
      <c r="H88" s="171">
        <f t="shared" si="61"/>
        <v>6</v>
      </c>
      <c r="I88" s="171">
        <f t="shared" si="61"/>
        <v>8</v>
      </c>
      <c r="J88" s="171">
        <f t="shared" si="61"/>
        <v>10</v>
      </c>
      <c r="K88" s="171">
        <f t="shared" si="61"/>
        <v>14</v>
      </c>
      <c r="L88" s="171">
        <f t="shared" si="61"/>
        <v>20</v>
      </c>
      <c r="M88" s="171">
        <f t="shared" si="61"/>
        <v>30</v>
      </c>
      <c r="N88" s="171">
        <f t="shared" si="61"/>
        <v>40</v>
      </c>
      <c r="O88" s="171">
        <f t="shared" si="61"/>
        <v>50</v>
      </c>
      <c r="P88" s="171">
        <f t="shared" si="61"/>
        <v>60</v>
      </c>
      <c r="Q88" s="171">
        <f t="shared" si="61"/>
        <v>70</v>
      </c>
      <c r="R88" s="171">
        <f t="shared" si="61"/>
        <v>80</v>
      </c>
      <c r="S88" s="171">
        <f t="shared" si="61"/>
        <v>90</v>
      </c>
      <c r="T88" s="171">
        <f t="shared" si="61"/>
        <v>100</v>
      </c>
      <c r="U88" s="171">
        <f t="shared" si="61"/>
        <v>110</v>
      </c>
      <c r="V88" s="171">
        <f t="shared" si="61"/>
        <v>130</v>
      </c>
      <c r="W88" s="171">
        <f t="shared" si="61"/>
        <v>150</v>
      </c>
      <c r="X88" s="171">
        <f t="shared" si="61"/>
        <v>200</v>
      </c>
      <c r="Y88" s="171">
        <f t="shared" si="61"/>
        <v>250</v>
      </c>
      <c r="Z88" s="170"/>
      <c r="AA88" s="80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166" t="str">
        <f t="shared" si="62"/>
        <v>南非鍰</v>
      </c>
      <c r="D89" s="162" t="str">
        <f t="shared" si="62"/>
        <v/>
      </c>
      <c r="E89" s="167">
        <f t="shared" si="62"/>
        <v>0.02</v>
      </c>
      <c r="F89" s="171">
        <f t="shared" ref="F89:Y89" si="63">HLOOKUP(F36,$F$1:$AI$2,2) * $D$1 * $E89</f>
        <v>0.2</v>
      </c>
      <c r="G89" s="171">
        <f t="shared" si="63"/>
        <v>0.4</v>
      </c>
      <c r="H89" s="171">
        <f t="shared" si="63"/>
        <v>0.6</v>
      </c>
      <c r="I89" s="171">
        <f t="shared" si="63"/>
        <v>0.8</v>
      </c>
      <c r="J89" s="171">
        <f t="shared" si="63"/>
        <v>1</v>
      </c>
      <c r="K89" s="171">
        <f t="shared" si="63"/>
        <v>1.4</v>
      </c>
      <c r="L89" s="171">
        <f t="shared" si="63"/>
        <v>2</v>
      </c>
      <c r="M89" s="171">
        <f t="shared" si="63"/>
        <v>3</v>
      </c>
      <c r="N89" s="171">
        <f t="shared" si="63"/>
        <v>4</v>
      </c>
      <c r="O89" s="171">
        <f t="shared" si="63"/>
        <v>5</v>
      </c>
      <c r="P89" s="171">
        <f t="shared" si="63"/>
        <v>6</v>
      </c>
      <c r="Q89" s="171">
        <f t="shared" si="63"/>
        <v>7</v>
      </c>
      <c r="R89" s="171">
        <f t="shared" si="63"/>
        <v>8</v>
      </c>
      <c r="S89" s="171">
        <f t="shared" si="63"/>
        <v>9</v>
      </c>
      <c r="T89" s="171">
        <f t="shared" si="63"/>
        <v>10</v>
      </c>
      <c r="U89" s="171">
        <f t="shared" si="63"/>
        <v>11</v>
      </c>
      <c r="V89" s="171">
        <f t="shared" si="63"/>
        <v>13</v>
      </c>
      <c r="W89" s="171">
        <f t="shared" si="63"/>
        <v>15</v>
      </c>
      <c r="X89" s="171">
        <f t="shared" si="63"/>
        <v>20</v>
      </c>
      <c r="Y89" s="171">
        <f t="shared" si="63"/>
        <v>25</v>
      </c>
      <c r="Z89" s="170"/>
      <c r="AA89" s="80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166" t="str">
        <f t="shared" si="64"/>
        <v>土耳其里拉</v>
      </c>
      <c r="D90" s="162" t="str">
        <f t="shared" si="64"/>
        <v/>
      </c>
      <c r="E90" s="167">
        <f t="shared" si="64"/>
        <v>0.04</v>
      </c>
      <c r="F90" s="171">
        <f t="shared" ref="F90:Y90" si="65">HLOOKUP(F37,$F$1:$AI$2,2) * $D$1 * $E90</f>
        <v>0.4</v>
      </c>
      <c r="G90" s="171">
        <f t="shared" si="65"/>
        <v>0.8</v>
      </c>
      <c r="H90" s="171">
        <f t="shared" si="65"/>
        <v>1.2</v>
      </c>
      <c r="I90" s="171">
        <f t="shared" si="65"/>
        <v>1.6</v>
      </c>
      <c r="J90" s="171">
        <f t="shared" si="65"/>
        <v>2</v>
      </c>
      <c r="K90" s="171">
        <f t="shared" si="65"/>
        <v>2.8</v>
      </c>
      <c r="L90" s="171">
        <f t="shared" si="65"/>
        <v>4</v>
      </c>
      <c r="M90" s="171">
        <f t="shared" si="65"/>
        <v>6</v>
      </c>
      <c r="N90" s="171">
        <f t="shared" si="65"/>
        <v>8</v>
      </c>
      <c r="O90" s="171">
        <f t="shared" si="65"/>
        <v>10</v>
      </c>
      <c r="P90" s="171">
        <f t="shared" si="65"/>
        <v>12</v>
      </c>
      <c r="Q90" s="171">
        <f t="shared" si="65"/>
        <v>14</v>
      </c>
      <c r="R90" s="171">
        <f t="shared" si="65"/>
        <v>16</v>
      </c>
      <c r="S90" s="171">
        <f t="shared" si="65"/>
        <v>18</v>
      </c>
      <c r="T90" s="171">
        <f t="shared" si="65"/>
        <v>20</v>
      </c>
      <c r="U90" s="171">
        <f t="shared" si="65"/>
        <v>22</v>
      </c>
      <c r="V90" s="171">
        <f t="shared" si="65"/>
        <v>26</v>
      </c>
      <c r="W90" s="171">
        <f t="shared" si="65"/>
        <v>30</v>
      </c>
      <c r="X90" s="171">
        <f t="shared" si="65"/>
        <v>40</v>
      </c>
      <c r="Y90" s="171">
        <f t="shared" si="65"/>
        <v>50</v>
      </c>
      <c r="Z90" s="170"/>
      <c r="AA90" s="80"/>
    </row>
    <row r="91" ht="16.5" customHeight="1">
      <c r="A91" s="48" t="str">
        <f t="shared" ref="A91:E91" si="66">A38</f>
        <v>GBP</v>
      </c>
      <c r="B91" s="48" t="str">
        <f t="shared" si="66"/>
        <v>£</v>
      </c>
      <c r="C91" s="166" t="str">
        <f t="shared" si="66"/>
        <v>英鎊</v>
      </c>
      <c r="D91" s="162" t="str">
        <f t="shared" si="66"/>
        <v/>
      </c>
      <c r="E91" s="167">
        <f t="shared" si="66"/>
        <v>0.01</v>
      </c>
      <c r="F91" s="171">
        <f t="shared" ref="F91:Y91" si="67">HLOOKUP(F38,$F$1:$AI$2,2) * $D$1 * $E91</f>
        <v>0.1</v>
      </c>
      <c r="G91" s="171">
        <f t="shared" si="67"/>
        <v>0.2</v>
      </c>
      <c r="H91" s="171">
        <f t="shared" si="67"/>
        <v>0.3</v>
      </c>
      <c r="I91" s="171">
        <f t="shared" si="67"/>
        <v>0.4</v>
      </c>
      <c r="J91" s="171">
        <f t="shared" si="67"/>
        <v>0.5</v>
      </c>
      <c r="K91" s="171">
        <f t="shared" si="67"/>
        <v>0.6</v>
      </c>
      <c r="L91" s="171">
        <f t="shared" si="67"/>
        <v>0.7</v>
      </c>
      <c r="M91" s="171">
        <f t="shared" si="67"/>
        <v>0.8</v>
      </c>
      <c r="N91" s="171">
        <f t="shared" si="67"/>
        <v>0.9</v>
      </c>
      <c r="O91" s="171">
        <f t="shared" si="67"/>
        <v>1</v>
      </c>
      <c r="P91" s="171">
        <f t="shared" si="67"/>
        <v>1.2</v>
      </c>
      <c r="Q91" s="171">
        <f t="shared" si="67"/>
        <v>1.4</v>
      </c>
      <c r="R91" s="171">
        <f t="shared" si="67"/>
        <v>1.6</v>
      </c>
      <c r="S91" s="171">
        <f t="shared" si="67"/>
        <v>2</v>
      </c>
      <c r="T91" s="171">
        <f t="shared" si="67"/>
        <v>2.5</v>
      </c>
      <c r="U91" s="171">
        <f t="shared" si="67"/>
        <v>3</v>
      </c>
      <c r="V91" s="171">
        <f t="shared" si="67"/>
        <v>3.5</v>
      </c>
      <c r="W91" s="171">
        <f t="shared" si="67"/>
        <v>4</v>
      </c>
      <c r="X91" s="171">
        <f t="shared" si="67"/>
        <v>4.5</v>
      </c>
      <c r="Y91" s="171">
        <f t="shared" si="67"/>
        <v>5</v>
      </c>
      <c r="Z91" s="170"/>
      <c r="AA91" s="80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166" t="str">
        <f t="shared" si="68"/>
        <v>尼泊爾盧比</v>
      </c>
      <c r="D92" s="162" t="str">
        <f t="shared" si="68"/>
        <v/>
      </c>
      <c r="E92" s="167">
        <f t="shared" si="68"/>
        <v>0.2</v>
      </c>
      <c r="F92" s="171">
        <f t="shared" ref="F92:Y92" si="69">HLOOKUP(F39,$F$1:$AI$2,2) * $D$1 * $E92</f>
        <v>2</v>
      </c>
      <c r="G92" s="171">
        <f t="shared" si="69"/>
        <v>4</v>
      </c>
      <c r="H92" s="171">
        <f t="shared" si="69"/>
        <v>6</v>
      </c>
      <c r="I92" s="171">
        <f t="shared" si="69"/>
        <v>8</v>
      </c>
      <c r="J92" s="171">
        <f t="shared" si="69"/>
        <v>10</v>
      </c>
      <c r="K92" s="171">
        <f t="shared" si="69"/>
        <v>14</v>
      </c>
      <c r="L92" s="171">
        <f t="shared" si="69"/>
        <v>20</v>
      </c>
      <c r="M92" s="171">
        <f t="shared" si="69"/>
        <v>30</v>
      </c>
      <c r="N92" s="171">
        <f t="shared" si="69"/>
        <v>40</v>
      </c>
      <c r="O92" s="171">
        <f t="shared" si="69"/>
        <v>50</v>
      </c>
      <c r="P92" s="171">
        <f t="shared" si="69"/>
        <v>60</v>
      </c>
      <c r="Q92" s="171">
        <f t="shared" si="69"/>
        <v>70</v>
      </c>
      <c r="R92" s="171">
        <f t="shared" si="69"/>
        <v>80</v>
      </c>
      <c r="S92" s="171">
        <f t="shared" si="69"/>
        <v>90</v>
      </c>
      <c r="T92" s="171">
        <f t="shared" si="69"/>
        <v>100</v>
      </c>
      <c r="U92" s="171">
        <f t="shared" si="69"/>
        <v>110</v>
      </c>
      <c r="V92" s="171">
        <f t="shared" si="69"/>
        <v>130</v>
      </c>
      <c r="W92" s="171">
        <f t="shared" si="69"/>
        <v>150</v>
      </c>
      <c r="X92" s="171">
        <f t="shared" si="69"/>
        <v>200</v>
      </c>
      <c r="Y92" s="171">
        <f t="shared" si="69"/>
        <v>250</v>
      </c>
      <c r="Z92" s="170"/>
      <c r="AA92" s="80"/>
    </row>
    <row r="93" ht="16.5" customHeight="1">
      <c r="A93" s="48" t="str">
        <f t="shared" ref="A93:E93" si="70">A40</f>
        <v>CHF</v>
      </c>
      <c r="B93" s="48" t="str">
        <f t="shared" si="70"/>
        <v>CHF</v>
      </c>
      <c r="C93" s="166" t="str">
        <f t="shared" si="70"/>
        <v>瑞士法郎</v>
      </c>
      <c r="D93" s="162" t="str">
        <f t="shared" si="70"/>
        <v/>
      </c>
      <c r="E93" s="167">
        <f t="shared" si="70"/>
        <v>0.01</v>
      </c>
      <c r="F93" s="171">
        <f t="shared" ref="F93:Y93" si="71">HLOOKUP(F40,$F$1:$AI$2,2) * $D$1 * $E93</f>
        <v>0.1</v>
      </c>
      <c r="G93" s="171">
        <f t="shared" si="71"/>
        <v>0.2</v>
      </c>
      <c r="H93" s="171">
        <f t="shared" si="71"/>
        <v>0.3</v>
      </c>
      <c r="I93" s="171">
        <f t="shared" si="71"/>
        <v>0.4</v>
      </c>
      <c r="J93" s="171">
        <f t="shared" si="71"/>
        <v>0.5</v>
      </c>
      <c r="K93" s="171">
        <f t="shared" si="71"/>
        <v>0.6</v>
      </c>
      <c r="L93" s="171">
        <f t="shared" si="71"/>
        <v>0.7</v>
      </c>
      <c r="M93" s="171">
        <f t="shared" si="71"/>
        <v>0.8</v>
      </c>
      <c r="N93" s="171">
        <f t="shared" si="71"/>
        <v>0.9</v>
      </c>
      <c r="O93" s="171">
        <f t="shared" si="71"/>
        <v>1</v>
      </c>
      <c r="P93" s="171">
        <f t="shared" si="71"/>
        <v>1.2</v>
      </c>
      <c r="Q93" s="171">
        <f t="shared" si="71"/>
        <v>1.4</v>
      </c>
      <c r="R93" s="171">
        <f t="shared" si="71"/>
        <v>1.6</v>
      </c>
      <c r="S93" s="171">
        <f t="shared" si="71"/>
        <v>2</v>
      </c>
      <c r="T93" s="171">
        <f t="shared" si="71"/>
        <v>2.5</v>
      </c>
      <c r="U93" s="171">
        <f t="shared" si="71"/>
        <v>3</v>
      </c>
      <c r="V93" s="171">
        <f t="shared" si="71"/>
        <v>3.5</v>
      </c>
      <c r="W93" s="171">
        <f t="shared" si="71"/>
        <v>4</v>
      </c>
      <c r="X93" s="171">
        <f t="shared" si="71"/>
        <v>4.5</v>
      </c>
      <c r="Y93" s="171">
        <f t="shared" si="71"/>
        <v>5</v>
      </c>
      <c r="Z93" s="170"/>
      <c r="AA93" s="80"/>
    </row>
    <row r="94" ht="16.5" customHeight="1">
      <c r="A94" s="48" t="str">
        <f t="shared" ref="A94:E94" si="72">A41</f>
        <v>CAD</v>
      </c>
      <c r="B94" s="48" t="str">
        <f t="shared" si="72"/>
        <v>$</v>
      </c>
      <c r="C94" s="166" t="str">
        <f t="shared" si="72"/>
        <v>加幣</v>
      </c>
      <c r="D94" s="162" t="str">
        <f t="shared" si="72"/>
        <v/>
      </c>
      <c r="E94" s="167">
        <f t="shared" si="72"/>
        <v>0.01</v>
      </c>
      <c r="F94" s="171">
        <f t="shared" ref="F94:Y94" si="73">HLOOKUP(F41,$F$1:$AI$2,2) * $D$1 * $E94</f>
        <v>0.1</v>
      </c>
      <c r="G94" s="171">
        <f t="shared" si="73"/>
        <v>0.2</v>
      </c>
      <c r="H94" s="171">
        <f t="shared" si="73"/>
        <v>0.3</v>
      </c>
      <c r="I94" s="171">
        <f t="shared" si="73"/>
        <v>0.4</v>
      </c>
      <c r="J94" s="171">
        <f t="shared" si="73"/>
        <v>0.5</v>
      </c>
      <c r="K94" s="171">
        <f t="shared" si="73"/>
        <v>0.6</v>
      </c>
      <c r="L94" s="171">
        <f t="shared" si="73"/>
        <v>0.7</v>
      </c>
      <c r="M94" s="171">
        <f t="shared" si="73"/>
        <v>0.8</v>
      </c>
      <c r="N94" s="171">
        <f t="shared" si="73"/>
        <v>0.9</v>
      </c>
      <c r="O94" s="171">
        <f t="shared" si="73"/>
        <v>1</v>
      </c>
      <c r="P94" s="171">
        <f t="shared" si="73"/>
        <v>1.2</v>
      </c>
      <c r="Q94" s="171">
        <f t="shared" si="73"/>
        <v>1.4</v>
      </c>
      <c r="R94" s="171">
        <f t="shared" si="73"/>
        <v>1.6</v>
      </c>
      <c r="S94" s="171">
        <f t="shared" si="73"/>
        <v>2</v>
      </c>
      <c r="T94" s="171">
        <f t="shared" si="73"/>
        <v>2.5</v>
      </c>
      <c r="U94" s="171">
        <f t="shared" si="73"/>
        <v>3</v>
      </c>
      <c r="V94" s="171">
        <f t="shared" si="73"/>
        <v>3.5</v>
      </c>
      <c r="W94" s="171">
        <f t="shared" si="73"/>
        <v>4</v>
      </c>
      <c r="X94" s="171">
        <f t="shared" si="73"/>
        <v>4.5</v>
      </c>
      <c r="Y94" s="171">
        <f t="shared" si="73"/>
        <v>5</v>
      </c>
      <c r="Z94" s="170"/>
      <c r="AA94" s="80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166" t="str">
        <f t="shared" si="74"/>
        <v>秘魯新索爾</v>
      </c>
      <c r="D95" s="162" t="str">
        <f t="shared" si="74"/>
        <v/>
      </c>
      <c r="E95" s="167">
        <f t="shared" si="74"/>
        <v>0.01</v>
      </c>
      <c r="F95" s="171">
        <f t="shared" ref="F95:Y95" si="75">HLOOKUP(F42,$F$1:$AI$2,2) * $D$1 * $E95</f>
        <v>0.1</v>
      </c>
      <c r="G95" s="171">
        <f t="shared" si="75"/>
        <v>0.2</v>
      </c>
      <c r="H95" s="171">
        <f t="shared" si="75"/>
        <v>0.3</v>
      </c>
      <c r="I95" s="171">
        <f t="shared" si="75"/>
        <v>0.4</v>
      </c>
      <c r="J95" s="171">
        <f t="shared" si="75"/>
        <v>0.5</v>
      </c>
      <c r="K95" s="171">
        <f t="shared" si="75"/>
        <v>0.7</v>
      </c>
      <c r="L95" s="171">
        <f t="shared" si="75"/>
        <v>1</v>
      </c>
      <c r="M95" s="171">
        <f t="shared" si="75"/>
        <v>1.5</v>
      </c>
      <c r="N95" s="171">
        <f t="shared" si="75"/>
        <v>2</v>
      </c>
      <c r="O95" s="171">
        <f t="shared" si="75"/>
        <v>2.5</v>
      </c>
      <c r="P95" s="171">
        <f t="shared" si="75"/>
        <v>3</v>
      </c>
      <c r="Q95" s="171">
        <f t="shared" si="75"/>
        <v>3.5</v>
      </c>
      <c r="R95" s="171">
        <f t="shared" si="75"/>
        <v>4</v>
      </c>
      <c r="S95" s="171">
        <f t="shared" si="75"/>
        <v>4.5</v>
      </c>
      <c r="T95" s="171">
        <f t="shared" si="75"/>
        <v>5</v>
      </c>
      <c r="U95" s="171">
        <f t="shared" si="75"/>
        <v>5.5</v>
      </c>
      <c r="V95" s="171">
        <f t="shared" si="75"/>
        <v>6.5</v>
      </c>
      <c r="W95" s="171">
        <f t="shared" si="75"/>
        <v>7.5</v>
      </c>
      <c r="X95" s="171">
        <f t="shared" si="75"/>
        <v>10</v>
      </c>
      <c r="Y95" s="171">
        <f t="shared" si="75"/>
        <v>12.5</v>
      </c>
      <c r="Z95" s="170"/>
      <c r="AA95" s="80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166" t="str">
        <f t="shared" si="76"/>
        <v>阿聯迪拉姆</v>
      </c>
      <c r="D96" s="162" t="str">
        <f t="shared" si="76"/>
        <v/>
      </c>
      <c r="E96" s="167">
        <f t="shared" si="76"/>
        <v>0.01</v>
      </c>
      <c r="F96" s="171">
        <f t="shared" ref="F96:Y96" si="77">HLOOKUP(F43,$F$1:$AI$2,2) * $D$1 * $E96</f>
        <v>0.1</v>
      </c>
      <c r="G96" s="171">
        <f t="shared" si="77"/>
        <v>0.2</v>
      </c>
      <c r="H96" s="171">
        <f t="shared" si="77"/>
        <v>0.3</v>
      </c>
      <c r="I96" s="171">
        <f t="shared" si="77"/>
        <v>0.4</v>
      </c>
      <c r="J96" s="171">
        <f t="shared" si="77"/>
        <v>0.5</v>
      </c>
      <c r="K96" s="171">
        <f t="shared" si="77"/>
        <v>0.7</v>
      </c>
      <c r="L96" s="171">
        <f t="shared" si="77"/>
        <v>1</v>
      </c>
      <c r="M96" s="171">
        <f t="shared" si="77"/>
        <v>1.5</v>
      </c>
      <c r="N96" s="171">
        <f t="shared" si="77"/>
        <v>2</v>
      </c>
      <c r="O96" s="171">
        <f t="shared" si="77"/>
        <v>2.5</v>
      </c>
      <c r="P96" s="171">
        <f t="shared" si="77"/>
        <v>3</v>
      </c>
      <c r="Q96" s="171">
        <f t="shared" si="77"/>
        <v>3.5</v>
      </c>
      <c r="R96" s="171">
        <f t="shared" si="77"/>
        <v>4</v>
      </c>
      <c r="S96" s="171">
        <f t="shared" si="77"/>
        <v>4.5</v>
      </c>
      <c r="T96" s="171">
        <f t="shared" si="77"/>
        <v>5</v>
      </c>
      <c r="U96" s="171">
        <f t="shared" si="77"/>
        <v>5.5</v>
      </c>
      <c r="V96" s="171">
        <f t="shared" si="77"/>
        <v>6.5</v>
      </c>
      <c r="W96" s="171">
        <f t="shared" si="77"/>
        <v>7.5</v>
      </c>
      <c r="X96" s="171">
        <f t="shared" si="77"/>
        <v>10</v>
      </c>
      <c r="Y96" s="171">
        <f t="shared" si="77"/>
        <v>12.5</v>
      </c>
      <c r="Z96" s="170"/>
      <c r="AA96" s="80"/>
    </row>
    <row r="97" ht="16.5" customHeight="1">
      <c r="A97" s="48" t="str">
        <f t="shared" ref="A97:E97" si="78">A44</f>
        <v>BND</v>
      </c>
      <c r="B97" s="48" t="str">
        <f t="shared" si="78"/>
        <v>B$</v>
      </c>
      <c r="C97" s="166" t="str">
        <f t="shared" si="78"/>
        <v>汶萊幣</v>
      </c>
      <c r="D97" s="162" t="str">
        <f t="shared" si="78"/>
        <v/>
      </c>
      <c r="E97" s="167">
        <f t="shared" si="78"/>
        <v>0.01</v>
      </c>
      <c r="F97" s="171">
        <f t="shared" ref="F97:Y97" si="79">HLOOKUP(F44,$F$1:$AI$2,2) * $D$1 * $E97</f>
        <v>0.1</v>
      </c>
      <c r="G97" s="171">
        <f t="shared" si="79"/>
        <v>0.2</v>
      </c>
      <c r="H97" s="171">
        <f t="shared" si="79"/>
        <v>0.3</v>
      </c>
      <c r="I97" s="171">
        <f t="shared" si="79"/>
        <v>0.4</v>
      </c>
      <c r="J97" s="171">
        <f t="shared" si="79"/>
        <v>0.5</v>
      </c>
      <c r="K97" s="171">
        <f t="shared" si="79"/>
        <v>0.6</v>
      </c>
      <c r="L97" s="171">
        <f t="shared" si="79"/>
        <v>0.7</v>
      </c>
      <c r="M97" s="171">
        <f t="shared" si="79"/>
        <v>0.8</v>
      </c>
      <c r="N97" s="171">
        <f t="shared" si="79"/>
        <v>0.9</v>
      </c>
      <c r="O97" s="171">
        <f t="shared" si="79"/>
        <v>1</v>
      </c>
      <c r="P97" s="171">
        <f t="shared" si="79"/>
        <v>1.2</v>
      </c>
      <c r="Q97" s="171">
        <f t="shared" si="79"/>
        <v>1.4</v>
      </c>
      <c r="R97" s="171">
        <f t="shared" si="79"/>
        <v>1.6</v>
      </c>
      <c r="S97" s="171">
        <f t="shared" si="79"/>
        <v>2</v>
      </c>
      <c r="T97" s="171">
        <f t="shared" si="79"/>
        <v>2.5</v>
      </c>
      <c r="U97" s="171">
        <f t="shared" si="79"/>
        <v>3</v>
      </c>
      <c r="V97" s="171">
        <f t="shared" si="79"/>
        <v>3.5</v>
      </c>
      <c r="W97" s="171">
        <f t="shared" si="79"/>
        <v>4</v>
      </c>
      <c r="X97" s="171">
        <f t="shared" si="79"/>
        <v>4.5</v>
      </c>
      <c r="Y97" s="171">
        <f t="shared" si="79"/>
        <v>5</v>
      </c>
      <c r="Z97" s="170"/>
      <c r="AA97" s="80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166" t="str">
        <f t="shared" si="80"/>
        <v>哥倫比亞披索</v>
      </c>
      <c r="D98" s="162" t="str">
        <f t="shared" si="80"/>
        <v/>
      </c>
      <c r="E98" s="167">
        <f t="shared" si="80"/>
        <v>5</v>
      </c>
      <c r="F98" s="171">
        <f t="shared" ref="F98:Y98" si="81">HLOOKUP(F45,$F$1:$AI$2,2) * $D$1 * $E98</f>
        <v>50</v>
      </c>
      <c r="G98" s="171">
        <f t="shared" si="81"/>
        <v>100</v>
      </c>
      <c r="H98" s="171">
        <f t="shared" si="81"/>
        <v>150</v>
      </c>
      <c r="I98" s="171">
        <f t="shared" si="81"/>
        <v>200</v>
      </c>
      <c r="J98" s="171">
        <f t="shared" si="81"/>
        <v>250</v>
      </c>
      <c r="K98" s="171">
        <f t="shared" si="81"/>
        <v>350</v>
      </c>
      <c r="L98" s="171">
        <f t="shared" si="81"/>
        <v>500</v>
      </c>
      <c r="M98" s="171">
        <f t="shared" si="81"/>
        <v>750</v>
      </c>
      <c r="N98" s="171">
        <f t="shared" si="81"/>
        <v>1000</v>
      </c>
      <c r="O98" s="171">
        <f t="shared" si="81"/>
        <v>1250</v>
      </c>
      <c r="P98" s="171">
        <f t="shared" si="81"/>
        <v>1500</v>
      </c>
      <c r="Q98" s="171">
        <f t="shared" si="81"/>
        <v>1750</v>
      </c>
      <c r="R98" s="171">
        <f t="shared" si="81"/>
        <v>2000</v>
      </c>
      <c r="S98" s="171">
        <f t="shared" si="81"/>
        <v>2250</v>
      </c>
      <c r="T98" s="171">
        <f t="shared" si="81"/>
        <v>2500</v>
      </c>
      <c r="U98" s="171">
        <f t="shared" si="81"/>
        <v>2750</v>
      </c>
      <c r="V98" s="171">
        <f t="shared" si="81"/>
        <v>3250</v>
      </c>
      <c r="W98" s="171">
        <f t="shared" si="81"/>
        <v>3750</v>
      </c>
      <c r="X98" s="171">
        <f t="shared" si="81"/>
        <v>5000</v>
      </c>
      <c r="Y98" s="171">
        <f t="shared" si="81"/>
        <v>6250</v>
      </c>
      <c r="Z98" s="170"/>
      <c r="AA98" s="80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166" t="str">
        <f t="shared" si="82"/>
        <v>越南盾</v>
      </c>
      <c r="D99" s="162" t="str">
        <f t="shared" si="82"/>
        <v/>
      </c>
      <c r="E99" s="167">
        <f t="shared" si="82"/>
        <v>40</v>
      </c>
      <c r="F99" s="171">
        <f t="shared" ref="F99:Y99" si="83">HLOOKUP(F46,$F$1:$AI$2,2) * $D$1 * $E99</f>
        <v>400</v>
      </c>
      <c r="G99" s="171">
        <f t="shared" si="83"/>
        <v>800</v>
      </c>
      <c r="H99" s="171">
        <f t="shared" si="83"/>
        <v>1200</v>
      </c>
      <c r="I99" s="171">
        <f t="shared" si="83"/>
        <v>1600</v>
      </c>
      <c r="J99" s="171">
        <f t="shared" si="83"/>
        <v>2000</v>
      </c>
      <c r="K99" s="171">
        <f t="shared" si="83"/>
        <v>2800</v>
      </c>
      <c r="L99" s="171">
        <f t="shared" si="83"/>
        <v>4000</v>
      </c>
      <c r="M99" s="171">
        <f t="shared" si="83"/>
        <v>6000</v>
      </c>
      <c r="N99" s="171">
        <f t="shared" si="83"/>
        <v>8000</v>
      </c>
      <c r="O99" s="171">
        <f t="shared" si="83"/>
        <v>10000</v>
      </c>
      <c r="P99" s="171">
        <f t="shared" si="83"/>
        <v>12000</v>
      </c>
      <c r="Q99" s="171">
        <f t="shared" si="83"/>
        <v>14000</v>
      </c>
      <c r="R99" s="171">
        <f t="shared" si="83"/>
        <v>16000</v>
      </c>
      <c r="S99" s="171">
        <f t="shared" si="83"/>
        <v>18000</v>
      </c>
      <c r="T99" s="171">
        <f t="shared" si="83"/>
        <v>20000</v>
      </c>
      <c r="U99" s="171">
        <f t="shared" si="83"/>
        <v>22000</v>
      </c>
      <c r="V99" s="171">
        <f t="shared" si="83"/>
        <v>26000</v>
      </c>
      <c r="W99" s="171">
        <f t="shared" si="83"/>
        <v>30000</v>
      </c>
      <c r="X99" s="171">
        <f t="shared" si="83"/>
        <v>40000</v>
      </c>
      <c r="Y99" s="171">
        <f t="shared" si="83"/>
        <v>50000</v>
      </c>
      <c r="Z99" s="170"/>
      <c r="AA99" s="80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166" t="str">
        <f t="shared" si="84"/>
        <v>馬來西亞令吉</v>
      </c>
      <c r="D100" s="162">
        <f t="shared" si="84"/>
        <v>0.01</v>
      </c>
      <c r="E100" s="167">
        <f t="shared" si="84"/>
        <v>1</v>
      </c>
      <c r="F100" s="171">
        <f t="shared" ref="F100:Y100" si="85">HLOOKUP(F47,$F$1:$AI$2,2) * $D$1 * $E100</f>
        <v>10</v>
      </c>
      <c r="G100" s="171">
        <f t="shared" si="85"/>
        <v>20</v>
      </c>
      <c r="H100" s="171">
        <f t="shared" si="85"/>
        <v>30</v>
      </c>
      <c r="I100" s="171">
        <f t="shared" si="85"/>
        <v>40</v>
      </c>
      <c r="J100" s="171">
        <f t="shared" si="85"/>
        <v>50</v>
      </c>
      <c r="K100" s="171">
        <f t="shared" si="85"/>
        <v>70</v>
      </c>
      <c r="L100" s="171">
        <f t="shared" si="85"/>
        <v>100</v>
      </c>
      <c r="M100" s="171">
        <f t="shared" si="85"/>
        <v>150</v>
      </c>
      <c r="N100" s="171">
        <f t="shared" si="85"/>
        <v>200</v>
      </c>
      <c r="O100" s="171">
        <f t="shared" si="85"/>
        <v>250</v>
      </c>
      <c r="P100" s="171">
        <f t="shared" si="85"/>
        <v>300</v>
      </c>
      <c r="Q100" s="171">
        <f t="shared" si="85"/>
        <v>350</v>
      </c>
      <c r="R100" s="171">
        <f t="shared" si="85"/>
        <v>400</v>
      </c>
      <c r="S100" s="171">
        <f t="shared" si="85"/>
        <v>450</v>
      </c>
      <c r="T100" s="171">
        <f t="shared" si="85"/>
        <v>500</v>
      </c>
      <c r="U100" s="171">
        <f t="shared" si="85"/>
        <v>550</v>
      </c>
      <c r="V100" s="171">
        <f t="shared" si="85"/>
        <v>650</v>
      </c>
      <c r="W100" s="171">
        <f t="shared" si="85"/>
        <v>750</v>
      </c>
      <c r="X100" s="171">
        <f t="shared" si="85"/>
        <v>1000</v>
      </c>
      <c r="Y100" s="171">
        <f t="shared" si="85"/>
        <v>1250</v>
      </c>
      <c r="Z100" s="170"/>
      <c r="AA100" s="81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166" t="str">
        <f t="shared" si="86"/>
        <v>星幣</v>
      </c>
      <c r="D101" s="162" t="str">
        <f t="shared" si="86"/>
        <v/>
      </c>
      <c r="E101" s="167">
        <f t="shared" si="86"/>
        <v>10</v>
      </c>
      <c r="F101" s="171">
        <f t="shared" ref="F101:Y101" si="87">HLOOKUP(F48,$F$1:$AI$2,2) * $D$1 * $E101</f>
        <v>100</v>
      </c>
      <c r="G101" s="171">
        <f t="shared" si="87"/>
        <v>200</v>
      </c>
      <c r="H101" s="171">
        <f t="shared" si="87"/>
        <v>300</v>
      </c>
      <c r="I101" s="171">
        <f t="shared" si="87"/>
        <v>400</v>
      </c>
      <c r="J101" s="171">
        <f t="shared" si="87"/>
        <v>500</v>
      </c>
      <c r="K101" s="171">
        <f t="shared" si="87"/>
        <v>700</v>
      </c>
      <c r="L101" s="171">
        <f t="shared" si="87"/>
        <v>1000</v>
      </c>
      <c r="M101" s="171">
        <f t="shared" si="87"/>
        <v>1500</v>
      </c>
      <c r="N101" s="171">
        <f t="shared" si="87"/>
        <v>2000</v>
      </c>
      <c r="O101" s="171">
        <f t="shared" si="87"/>
        <v>2500</v>
      </c>
      <c r="P101" s="171">
        <f t="shared" si="87"/>
        <v>3000</v>
      </c>
      <c r="Q101" s="171">
        <f t="shared" si="87"/>
        <v>3500</v>
      </c>
      <c r="R101" s="171">
        <f t="shared" si="87"/>
        <v>4000</v>
      </c>
      <c r="S101" s="171">
        <f t="shared" si="87"/>
        <v>4500</v>
      </c>
      <c r="T101" s="171">
        <f t="shared" si="87"/>
        <v>5000</v>
      </c>
      <c r="U101" s="171">
        <f t="shared" si="87"/>
        <v>5500</v>
      </c>
      <c r="V101" s="171">
        <f t="shared" si="87"/>
        <v>6500</v>
      </c>
      <c r="W101" s="171">
        <f t="shared" si="87"/>
        <v>7500</v>
      </c>
      <c r="X101" s="171">
        <f t="shared" si="87"/>
        <v>10000</v>
      </c>
      <c r="Y101" s="171">
        <f t="shared" si="87"/>
        <v>12500</v>
      </c>
      <c r="Z101" s="53"/>
      <c r="AA101" s="172"/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166" t="str">
        <f t="shared" si="88"/>
        <v>阿爾及利亞第納爾</v>
      </c>
      <c r="D102" s="162" t="str">
        <f t="shared" si="88"/>
        <v/>
      </c>
      <c r="E102" s="167">
        <f t="shared" si="88"/>
        <v>0.2</v>
      </c>
      <c r="F102" s="171">
        <f t="shared" ref="F102:Y102" si="89">HLOOKUP(F49,$F$1:$AI$2,2) * $D$1 * $E102</f>
        <v>2</v>
      </c>
      <c r="G102" s="171">
        <f t="shared" si="89"/>
        <v>4</v>
      </c>
      <c r="H102" s="171">
        <f t="shared" si="89"/>
        <v>6</v>
      </c>
      <c r="I102" s="171">
        <f t="shared" si="89"/>
        <v>8</v>
      </c>
      <c r="J102" s="171">
        <f t="shared" si="89"/>
        <v>10</v>
      </c>
      <c r="K102" s="171">
        <f t="shared" si="89"/>
        <v>14</v>
      </c>
      <c r="L102" s="171">
        <f t="shared" si="89"/>
        <v>20</v>
      </c>
      <c r="M102" s="171">
        <f t="shared" si="89"/>
        <v>30</v>
      </c>
      <c r="N102" s="171">
        <f t="shared" si="89"/>
        <v>40</v>
      </c>
      <c r="O102" s="171">
        <f t="shared" si="89"/>
        <v>50</v>
      </c>
      <c r="P102" s="171">
        <f t="shared" si="89"/>
        <v>60</v>
      </c>
      <c r="Q102" s="171">
        <f t="shared" si="89"/>
        <v>70</v>
      </c>
      <c r="R102" s="171">
        <f t="shared" si="89"/>
        <v>80</v>
      </c>
      <c r="S102" s="171">
        <f t="shared" si="89"/>
        <v>90</v>
      </c>
      <c r="T102" s="171">
        <f t="shared" si="89"/>
        <v>100</v>
      </c>
      <c r="U102" s="171">
        <f t="shared" si="89"/>
        <v>110</v>
      </c>
      <c r="V102" s="171">
        <f t="shared" si="89"/>
        <v>130</v>
      </c>
      <c r="W102" s="171">
        <f t="shared" si="89"/>
        <v>150</v>
      </c>
      <c r="X102" s="171">
        <f t="shared" si="89"/>
        <v>200</v>
      </c>
      <c r="Y102" s="171">
        <f t="shared" si="89"/>
        <v>250</v>
      </c>
      <c r="Z102" s="53"/>
      <c r="AA102" s="172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166" t="str">
        <f t="shared" si="90"/>
        <v>摩洛哥迪拉姆</v>
      </c>
      <c r="D103" s="162" t="str">
        <f t="shared" si="90"/>
        <v/>
      </c>
      <c r="E103" s="167">
        <f t="shared" si="90"/>
        <v>0.02</v>
      </c>
      <c r="F103" s="171">
        <f t="shared" ref="F103:Y103" si="91">HLOOKUP(F50,$F$1:$AI$2,2) * $D$1 * $E103</f>
        <v>0.2</v>
      </c>
      <c r="G103" s="171">
        <f t="shared" si="91"/>
        <v>0.4</v>
      </c>
      <c r="H103" s="171">
        <f t="shared" si="91"/>
        <v>0.6</v>
      </c>
      <c r="I103" s="171">
        <f t="shared" si="91"/>
        <v>0.8</v>
      </c>
      <c r="J103" s="171">
        <f t="shared" si="91"/>
        <v>1</v>
      </c>
      <c r="K103" s="171">
        <f t="shared" si="91"/>
        <v>1.4</v>
      </c>
      <c r="L103" s="171">
        <f t="shared" si="91"/>
        <v>2</v>
      </c>
      <c r="M103" s="171">
        <f t="shared" si="91"/>
        <v>3</v>
      </c>
      <c r="N103" s="171">
        <f t="shared" si="91"/>
        <v>4</v>
      </c>
      <c r="O103" s="171">
        <f t="shared" si="91"/>
        <v>5</v>
      </c>
      <c r="P103" s="171">
        <f t="shared" si="91"/>
        <v>6</v>
      </c>
      <c r="Q103" s="171">
        <f t="shared" si="91"/>
        <v>7</v>
      </c>
      <c r="R103" s="171">
        <f t="shared" si="91"/>
        <v>8</v>
      </c>
      <c r="S103" s="171">
        <f t="shared" si="91"/>
        <v>9</v>
      </c>
      <c r="T103" s="171">
        <f t="shared" si="91"/>
        <v>10</v>
      </c>
      <c r="U103" s="171">
        <f t="shared" si="91"/>
        <v>11</v>
      </c>
      <c r="V103" s="171">
        <f t="shared" si="91"/>
        <v>13</v>
      </c>
      <c r="W103" s="171">
        <f t="shared" si="91"/>
        <v>15</v>
      </c>
      <c r="X103" s="171">
        <f t="shared" si="91"/>
        <v>20</v>
      </c>
      <c r="Y103" s="171">
        <f t="shared" si="91"/>
        <v>25</v>
      </c>
      <c r="Z103" s="53"/>
      <c r="AA103" s="172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166" t="str">
        <f t="shared" si="92"/>
        <v>法國法郎</v>
      </c>
      <c r="D104" s="162" t="str">
        <f t="shared" si="92"/>
        <v/>
      </c>
      <c r="E104" s="167">
        <f t="shared" si="92"/>
        <v>0.01</v>
      </c>
      <c r="F104" s="171">
        <f t="shared" ref="F104:Y104" si="93">HLOOKUP(F51,$F$1:$AI$2,2) * $D$1 * $E104</f>
        <v>0.1</v>
      </c>
      <c r="G104" s="171">
        <f t="shared" si="93"/>
        <v>0.2</v>
      </c>
      <c r="H104" s="171">
        <f t="shared" si="93"/>
        <v>0.3</v>
      </c>
      <c r="I104" s="171">
        <f t="shared" si="93"/>
        <v>0.4</v>
      </c>
      <c r="J104" s="171">
        <f t="shared" si="93"/>
        <v>0.5</v>
      </c>
      <c r="K104" s="171">
        <f t="shared" si="93"/>
        <v>0.7</v>
      </c>
      <c r="L104" s="171">
        <f t="shared" si="93"/>
        <v>1</v>
      </c>
      <c r="M104" s="171">
        <f t="shared" si="93"/>
        <v>1.5</v>
      </c>
      <c r="N104" s="171">
        <f t="shared" si="93"/>
        <v>2</v>
      </c>
      <c r="O104" s="171">
        <f t="shared" si="93"/>
        <v>2.5</v>
      </c>
      <c r="P104" s="171">
        <f t="shared" si="93"/>
        <v>3</v>
      </c>
      <c r="Q104" s="171">
        <f t="shared" si="93"/>
        <v>3.5</v>
      </c>
      <c r="R104" s="171">
        <f t="shared" si="93"/>
        <v>4</v>
      </c>
      <c r="S104" s="171">
        <f t="shared" si="93"/>
        <v>4.5</v>
      </c>
      <c r="T104" s="171">
        <f t="shared" si="93"/>
        <v>5</v>
      </c>
      <c r="U104" s="171">
        <f t="shared" si="93"/>
        <v>5.5</v>
      </c>
      <c r="V104" s="171">
        <f t="shared" si="93"/>
        <v>6.5</v>
      </c>
      <c r="W104" s="171">
        <f t="shared" si="93"/>
        <v>7.5</v>
      </c>
      <c r="X104" s="171">
        <f t="shared" si="93"/>
        <v>10</v>
      </c>
      <c r="Y104" s="171">
        <f t="shared" si="93"/>
        <v>12.5</v>
      </c>
      <c r="Z104" s="53"/>
      <c r="AA104" s="172"/>
    </row>
    <row r="105" ht="16.5" customHeight="1">
      <c r="A105" s="48" t="str">
        <f t="shared" ref="A105:E105" si="94">A52</f>
        <v>GHS</v>
      </c>
      <c r="B105" s="48" t="str">
        <f t="shared" si="94"/>
        <v>Gp</v>
      </c>
      <c r="C105" s="166" t="str">
        <f t="shared" si="94"/>
        <v>迦納塞地</v>
      </c>
      <c r="D105" s="162" t="str">
        <f t="shared" si="94"/>
        <v/>
      </c>
      <c r="E105" s="167">
        <f t="shared" si="94"/>
        <v>0.02</v>
      </c>
      <c r="F105" s="171">
        <f t="shared" ref="F105:Y105" si="95">HLOOKUP(F52,$F$1:$AI$2,2) * $D$1 * $E105</f>
        <v>0.2</v>
      </c>
      <c r="G105" s="171">
        <f t="shared" si="95"/>
        <v>0.4</v>
      </c>
      <c r="H105" s="171">
        <f t="shared" si="95"/>
        <v>0.6</v>
      </c>
      <c r="I105" s="171">
        <f t="shared" si="95"/>
        <v>0.8</v>
      </c>
      <c r="J105" s="171">
        <f t="shared" si="95"/>
        <v>1</v>
      </c>
      <c r="K105" s="171">
        <f t="shared" si="95"/>
        <v>1.4</v>
      </c>
      <c r="L105" s="171">
        <f t="shared" si="95"/>
        <v>2</v>
      </c>
      <c r="M105" s="171">
        <f t="shared" si="95"/>
        <v>3</v>
      </c>
      <c r="N105" s="171">
        <f t="shared" si="95"/>
        <v>4</v>
      </c>
      <c r="O105" s="171">
        <f t="shared" si="95"/>
        <v>5</v>
      </c>
      <c r="P105" s="171">
        <f t="shared" si="95"/>
        <v>6</v>
      </c>
      <c r="Q105" s="171">
        <f t="shared" si="95"/>
        <v>7</v>
      </c>
      <c r="R105" s="171">
        <f t="shared" si="95"/>
        <v>8</v>
      </c>
      <c r="S105" s="171">
        <f t="shared" si="95"/>
        <v>9</v>
      </c>
      <c r="T105" s="171">
        <f t="shared" si="95"/>
        <v>10</v>
      </c>
      <c r="U105" s="171">
        <f t="shared" si="95"/>
        <v>11</v>
      </c>
      <c r="V105" s="171">
        <f t="shared" si="95"/>
        <v>13</v>
      </c>
      <c r="W105" s="171">
        <f t="shared" si="95"/>
        <v>15</v>
      </c>
      <c r="X105" s="171">
        <f t="shared" si="95"/>
        <v>20</v>
      </c>
      <c r="Y105" s="171">
        <f t="shared" si="95"/>
        <v>25</v>
      </c>
      <c r="Z105" s="53"/>
      <c r="AA105" s="172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166" t="str">
        <f t="shared" si="96"/>
        <v>RCC幣</v>
      </c>
      <c r="D106" s="162" t="str">
        <f t="shared" si="96"/>
        <v/>
      </c>
      <c r="E106" s="167">
        <f t="shared" si="96"/>
        <v>0.01</v>
      </c>
      <c r="F106" s="171">
        <f t="shared" ref="F106:Y106" si="97">HLOOKUP(F53,$F$1:$AI$2,2) * $D$1 * $E106</f>
        <v>0.1</v>
      </c>
      <c r="G106" s="171">
        <f t="shared" si="97"/>
        <v>0.2</v>
      </c>
      <c r="H106" s="171">
        <f t="shared" si="97"/>
        <v>0.3</v>
      </c>
      <c r="I106" s="171">
        <f t="shared" si="97"/>
        <v>0.4</v>
      </c>
      <c r="J106" s="171">
        <f t="shared" si="97"/>
        <v>0.5</v>
      </c>
      <c r="K106" s="171">
        <f t="shared" si="97"/>
        <v>0.6</v>
      </c>
      <c r="L106" s="171">
        <f t="shared" si="97"/>
        <v>0.7</v>
      </c>
      <c r="M106" s="171">
        <f t="shared" si="97"/>
        <v>0.8</v>
      </c>
      <c r="N106" s="171">
        <f t="shared" si="97"/>
        <v>0.9</v>
      </c>
      <c r="O106" s="171">
        <f t="shared" si="97"/>
        <v>1</v>
      </c>
      <c r="P106" s="171">
        <f t="shared" si="97"/>
        <v>1.2</v>
      </c>
      <c r="Q106" s="171">
        <f t="shared" si="97"/>
        <v>1.4</v>
      </c>
      <c r="R106" s="171">
        <f t="shared" si="97"/>
        <v>1.6</v>
      </c>
      <c r="S106" s="171">
        <f t="shared" si="97"/>
        <v>2</v>
      </c>
      <c r="T106" s="171">
        <f t="shared" si="97"/>
        <v>2.5</v>
      </c>
      <c r="U106" s="171">
        <f t="shared" si="97"/>
        <v>3</v>
      </c>
      <c r="V106" s="171">
        <f t="shared" si="97"/>
        <v>3.5</v>
      </c>
      <c r="W106" s="171">
        <f t="shared" si="97"/>
        <v>4</v>
      </c>
      <c r="X106" s="171">
        <f t="shared" si="97"/>
        <v>4.5</v>
      </c>
      <c r="Y106" s="171">
        <f t="shared" si="97"/>
        <v>5</v>
      </c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166" t="str">
        <f t="shared" si="98"/>
        <v>爸幣</v>
      </c>
      <c r="D107" s="162" t="str">
        <f t="shared" si="98"/>
        <v/>
      </c>
      <c r="E107" s="167">
        <f t="shared" si="98"/>
        <v>0.5</v>
      </c>
      <c r="F107" s="171">
        <f t="shared" ref="F107:Y107" si="99">HLOOKUP(F54,$F$1:$AI$2,2) * $D$1 * $E107</f>
        <v>5</v>
      </c>
      <c r="G107" s="171">
        <f t="shared" si="99"/>
        <v>10</v>
      </c>
      <c r="H107" s="171">
        <f t="shared" si="99"/>
        <v>15</v>
      </c>
      <c r="I107" s="171">
        <f t="shared" si="99"/>
        <v>20</v>
      </c>
      <c r="J107" s="171">
        <f t="shared" si="99"/>
        <v>25</v>
      </c>
      <c r="K107" s="171">
        <f t="shared" si="99"/>
        <v>35</v>
      </c>
      <c r="L107" s="171">
        <f t="shared" si="99"/>
        <v>50</v>
      </c>
      <c r="M107" s="171">
        <f t="shared" si="99"/>
        <v>75</v>
      </c>
      <c r="N107" s="171">
        <f t="shared" si="99"/>
        <v>100</v>
      </c>
      <c r="O107" s="171">
        <f t="shared" si="99"/>
        <v>125</v>
      </c>
      <c r="P107" s="171">
        <f t="shared" si="99"/>
        <v>150</v>
      </c>
      <c r="Q107" s="171">
        <f t="shared" si="99"/>
        <v>175</v>
      </c>
      <c r="R107" s="171">
        <f t="shared" si="99"/>
        <v>200</v>
      </c>
      <c r="S107" s="171">
        <f t="shared" si="99"/>
        <v>225</v>
      </c>
      <c r="T107" s="171">
        <f t="shared" si="99"/>
        <v>250</v>
      </c>
      <c r="U107" s="171">
        <f t="shared" si="99"/>
        <v>275</v>
      </c>
      <c r="V107" s="171">
        <f t="shared" si="99"/>
        <v>325</v>
      </c>
      <c r="W107" s="171">
        <f t="shared" si="99"/>
        <v>375</v>
      </c>
      <c r="X107" s="171">
        <f t="shared" si="99"/>
        <v>500</v>
      </c>
      <c r="Y107" s="171">
        <f t="shared" si="99"/>
        <v>625</v>
      </c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166" t="str">
        <f t="shared" si="100"/>
        <v>星城馬來西亞</v>
      </c>
      <c r="D108" s="162" t="str">
        <f t="shared" si="100"/>
        <v/>
      </c>
      <c r="E108" s="167">
        <f t="shared" si="100"/>
        <v>10</v>
      </c>
      <c r="F108" s="171">
        <f t="shared" ref="F108:Y108" si="101">HLOOKUP(F55,$F$1:$AI$2,2) * $D$1 * $E108</f>
        <v>100</v>
      </c>
      <c r="G108" s="171">
        <f t="shared" si="101"/>
        <v>200</v>
      </c>
      <c r="H108" s="171">
        <f t="shared" si="101"/>
        <v>300</v>
      </c>
      <c r="I108" s="171">
        <f t="shared" si="101"/>
        <v>400</v>
      </c>
      <c r="J108" s="171">
        <f t="shared" si="101"/>
        <v>500</v>
      </c>
      <c r="K108" s="171">
        <f t="shared" si="101"/>
        <v>700</v>
      </c>
      <c r="L108" s="171">
        <f t="shared" si="101"/>
        <v>1000</v>
      </c>
      <c r="M108" s="171">
        <f t="shared" si="101"/>
        <v>1500</v>
      </c>
      <c r="N108" s="171">
        <f t="shared" si="101"/>
        <v>2000</v>
      </c>
      <c r="O108" s="171">
        <f t="shared" si="101"/>
        <v>2500</v>
      </c>
      <c r="P108" s="171">
        <f t="shared" si="101"/>
        <v>3000</v>
      </c>
      <c r="Q108" s="171">
        <f t="shared" si="101"/>
        <v>3500</v>
      </c>
      <c r="R108" s="171">
        <f t="shared" si="101"/>
        <v>4000</v>
      </c>
      <c r="S108" s="171">
        <f t="shared" si="101"/>
        <v>4500</v>
      </c>
      <c r="T108" s="171">
        <f t="shared" si="101"/>
        <v>5000</v>
      </c>
      <c r="U108" s="171">
        <f t="shared" si="101"/>
        <v>5500</v>
      </c>
      <c r="V108" s="171">
        <f t="shared" si="101"/>
        <v>6500</v>
      </c>
      <c r="W108" s="171">
        <f t="shared" si="101"/>
        <v>7500</v>
      </c>
      <c r="X108" s="171">
        <f t="shared" si="101"/>
        <v>10000</v>
      </c>
      <c r="Y108" s="171">
        <f t="shared" si="101"/>
        <v>12500</v>
      </c>
    </row>
    <row r="109" ht="16.5" customHeight="1"/>
    <row r="110" ht="16.5" customHeight="1">
      <c r="A110" s="40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3"/>
    </row>
    <row r="111" ht="16.5" customHeight="1">
      <c r="A111" s="74" t="str">
        <f t="shared" ref="A111:Y111" si="102">A58</f>
        <v>貨幣簡稱</v>
      </c>
      <c r="B111" s="50" t="str">
        <f t="shared" si="102"/>
        <v>貨幣符號</v>
      </c>
      <c r="C111" s="50" t="str">
        <f t="shared" si="102"/>
        <v>中文名稱</v>
      </c>
      <c r="D111" s="50" t="str">
        <f t="shared" si="102"/>
        <v>貨幣轉換</v>
      </c>
      <c r="E111" s="50" t="str">
        <f t="shared" si="102"/>
        <v>Denom</v>
      </c>
      <c r="F111" s="50" t="str">
        <f t="shared" si="102"/>
        <v>第 1 組</v>
      </c>
      <c r="G111" s="50" t="str">
        <f t="shared" si="102"/>
        <v>第 2 組</v>
      </c>
      <c r="H111" s="50" t="str">
        <f t="shared" si="102"/>
        <v>第 3 組</v>
      </c>
      <c r="I111" s="50" t="str">
        <f t="shared" si="102"/>
        <v>第 4 組</v>
      </c>
      <c r="J111" s="50" t="str">
        <f t="shared" si="102"/>
        <v>第 5 組</v>
      </c>
      <c r="K111" s="50" t="str">
        <f t="shared" si="102"/>
        <v>第 6 組</v>
      </c>
      <c r="L111" s="50" t="str">
        <f t="shared" si="102"/>
        <v>第 7 組</v>
      </c>
      <c r="M111" s="50" t="str">
        <f t="shared" si="102"/>
        <v>第 8 組</v>
      </c>
      <c r="N111" s="50" t="str">
        <f t="shared" si="102"/>
        <v>第 9 組</v>
      </c>
      <c r="O111" s="50" t="str">
        <f t="shared" si="102"/>
        <v>第 10 組</v>
      </c>
      <c r="P111" s="50" t="str">
        <f t="shared" si="102"/>
        <v>第 11 組</v>
      </c>
      <c r="Q111" s="50" t="str">
        <f t="shared" si="102"/>
        <v>第 12 組</v>
      </c>
      <c r="R111" s="50" t="str">
        <f t="shared" si="102"/>
        <v>第 13 組</v>
      </c>
      <c r="S111" s="50" t="str">
        <f t="shared" si="102"/>
        <v>第 14 組</v>
      </c>
      <c r="T111" s="50" t="str">
        <f t="shared" si="102"/>
        <v>第 15 組</v>
      </c>
      <c r="U111" s="50" t="str">
        <f t="shared" si="102"/>
        <v>第 16 組</v>
      </c>
      <c r="V111" s="50" t="str">
        <f t="shared" si="102"/>
        <v>第 17 組</v>
      </c>
      <c r="W111" s="50" t="str">
        <f t="shared" si="102"/>
        <v>第 18 組</v>
      </c>
      <c r="X111" s="50" t="str">
        <f t="shared" si="102"/>
        <v>第 19 組</v>
      </c>
      <c r="Y111" s="50" t="str">
        <f t="shared" si="102"/>
        <v>第 20 組</v>
      </c>
      <c r="Z111" s="165"/>
      <c r="AA111" s="173">
        <v>4.0</v>
      </c>
    </row>
    <row r="112" ht="16.5" customHeight="1">
      <c r="A112" s="48" t="str">
        <f t="shared" ref="A112:E112" si="103">A59</f>
        <v>THB</v>
      </c>
      <c r="B112" s="48" t="str">
        <f t="shared" si="103"/>
        <v>฿</v>
      </c>
      <c r="C112" s="166" t="str">
        <f t="shared" si="103"/>
        <v>泰銖</v>
      </c>
      <c r="D112" s="50" t="str">
        <f t="shared" si="103"/>
        <v/>
      </c>
      <c r="E112" s="167">
        <f t="shared" si="103"/>
        <v>0.05</v>
      </c>
      <c r="F112" s="65">
        <f t="shared" ref="F112:Y112" si="104">F59*$AA$111</f>
        <v>2</v>
      </c>
      <c r="G112" s="65">
        <f t="shared" si="104"/>
        <v>4</v>
      </c>
      <c r="H112" s="65">
        <f t="shared" si="104"/>
        <v>6</v>
      </c>
      <c r="I112" s="65">
        <f t="shared" si="104"/>
        <v>8</v>
      </c>
      <c r="J112" s="65">
        <f t="shared" si="104"/>
        <v>10</v>
      </c>
      <c r="K112" s="65">
        <f t="shared" si="104"/>
        <v>14</v>
      </c>
      <c r="L112" s="65">
        <f t="shared" si="104"/>
        <v>20</v>
      </c>
      <c r="M112" s="65">
        <f t="shared" si="104"/>
        <v>30</v>
      </c>
      <c r="N112" s="65">
        <f t="shared" si="104"/>
        <v>40</v>
      </c>
      <c r="O112" s="65">
        <f t="shared" si="104"/>
        <v>50</v>
      </c>
      <c r="P112" s="65">
        <f t="shared" si="104"/>
        <v>60</v>
      </c>
      <c r="Q112" s="65">
        <f t="shared" si="104"/>
        <v>70</v>
      </c>
      <c r="R112" s="65">
        <f t="shared" si="104"/>
        <v>80</v>
      </c>
      <c r="S112" s="65">
        <f t="shared" si="104"/>
        <v>90</v>
      </c>
      <c r="T112" s="65">
        <f t="shared" si="104"/>
        <v>100</v>
      </c>
      <c r="U112" s="65">
        <f t="shared" si="104"/>
        <v>110</v>
      </c>
      <c r="V112" s="65">
        <f t="shared" si="104"/>
        <v>130</v>
      </c>
      <c r="W112" s="65">
        <f t="shared" si="104"/>
        <v>150</v>
      </c>
      <c r="X112" s="65">
        <f t="shared" si="104"/>
        <v>200</v>
      </c>
      <c r="Y112" s="65">
        <f t="shared" si="104"/>
        <v>250</v>
      </c>
      <c r="Z112" s="168"/>
      <c r="AA112" s="174" t="str">
        <f>CONCATENATE("顯示卡片",AA111,"張數金額",)</f>
        <v>顯示卡片4張數金額</v>
      </c>
    </row>
    <row r="113" ht="16.5" customHeight="1">
      <c r="A113" s="48" t="str">
        <f t="shared" ref="A113:E113" si="105">A60</f>
        <v>HKD</v>
      </c>
      <c r="B113" s="48" t="str">
        <f t="shared" si="105"/>
        <v>HK$</v>
      </c>
      <c r="C113" s="166" t="str">
        <f t="shared" si="105"/>
        <v>港幣</v>
      </c>
      <c r="D113" s="50" t="str">
        <f t="shared" si="105"/>
        <v/>
      </c>
      <c r="E113" s="167">
        <f t="shared" si="105"/>
        <v>0.01</v>
      </c>
      <c r="F113" s="65">
        <f t="shared" ref="F113:Y113" si="106">F60*$AA$111</f>
        <v>0.4</v>
      </c>
      <c r="G113" s="65">
        <f t="shared" si="106"/>
        <v>0.8</v>
      </c>
      <c r="H113" s="65">
        <f t="shared" si="106"/>
        <v>1.2</v>
      </c>
      <c r="I113" s="65">
        <f t="shared" si="106"/>
        <v>1.6</v>
      </c>
      <c r="J113" s="65">
        <f t="shared" si="106"/>
        <v>2</v>
      </c>
      <c r="K113" s="65">
        <f t="shared" si="106"/>
        <v>2.8</v>
      </c>
      <c r="L113" s="65">
        <f t="shared" si="106"/>
        <v>4</v>
      </c>
      <c r="M113" s="65">
        <f t="shared" si="106"/>
        <v>6</v>
      </c>
      <c r="N113" s="65">
        <f t="shared" si="106"/>
        <v>8</v>
      </c>
      <c r="O113" s="65">
        <f t="shared" si="106"/>
        <v>10</v>
      </c>
      <c r="P113" s="65">
        <f t="shared" si="106"/>
        <v>12</v>
      </c>
      <c r="Q113" s="65">
        <f t="shared" si="106"/>
        <v>14</v>
      </c>
      <c r="R113" s="65">
        <f t="shared" si="106"/>
        <v>16</v>
      </c>
      <c r="S113" s="65">
        <f t="shared" si="106"/>
        <v>18</v>
      </c>
      <c r="T113" s="65">
        <f t="shared" si="106"/>
        <v>20</v>
      </c>
      <c r="U113" s="65">
        <f t="shared" si="106"/>
        <v>22</v>
      </c>
      <c r="V113" s="65">
        <f t="shared" si="106"/>
        <v>26</v>
      </c>
      <c r="W113" s="65">
        <f t="shared" si="106"/>
        <v>30</v>
      </c>
      <c r="X113" s="65">
        <f t="shared" si="106"/>
        <v>40</v>
      </c>
      <c r="Y113" s="65">
        <f t="shared" si="106"/>
        <v>50</v>
      </c>
      <c r="Z113" s="168"/>
      <c r="AA113" s="80"/>
    </row>
    <row r="114" ht="16.5" customHeight="1">
      <c r="A114" s="48" t="str">
        <f t="shared" ref="A114:E114" si="107">A61</f>
        <v>INR</v>
      </c>
      <c r="B114" s="48" t="str">
        <f t="shared" si="107"/>
        <v>₹</v>
      </c>
      <c r="C114" s="166" t="str">
        <f t="shared" si="107"/>
        <v>印度盧比</v>
      </c>
      <c r="D114" s="50" t="str">
        <f t="shared" si="107"/>
        <v/>
      </c>
      <c r="E114" s="167">
        <f t="shared" si="107"/>
        <v>0.1</v>
      </c>
      <c r="F114" s="65">
        <f t="shared" ref="F114:Y114" si="108">F61*$AA$111</f>
        <v>4</v>
      </c>
      <c r="G114" s="65">
        <f t="shared" si="108"/>
        <v>8</v>
      </c>
      <c r="H114" s="65">
        <f t="shared" si="108"/>
        <v>12</v>
      </c>
      <c r="I114" s="65">
        <f t="shared" si="108"/>
        <v>16</v>
      </c>
      <c r="J114" s="65">
        <f t="shared" si="108"/>
        <v>20</v>
      </c>
      <c r="K114" s="65">
        <f t="shared" si="108"/>
        <v>28</v>
      </c>
      <c r="L114" s="65">
        <f t="shared" si="108"/>
        <v>40</v>
      </c>
      <c r="M114" s="65">
        <f t="shared" si="108"/>
        <v>60</v>
      </c>
      <c r="N114" s="65">
        <f t="shared" si="108"/>
        <v>80</v>
      </c>
      <c r="O114" s="65">
        <f t="shared" si="108"/>
        <v>100</v>
      </c>
      <c r="P114" s="65">
        <f t="shared" si="108"/>
        <v>120</v>
      </c>
      <c r="Q114" s="65">
        <f t="shared" si="108"/>
        <v>140</v>
      </c>
      <c r="R114" s="65">
        <f t="shared" si="108"/>
        <v>160</v>
      </c>
      <c r="S114" s="65">
        <f t="shared" si="108"/>
        <v>180</v>
      </c>
      <c r="T114" s="65">
        <f t="shared" si="108"/>
        <v>200</v>
      </c>
      <c r="U114" s="65">
        <f t="shared" si="108"/>
        <v>220</v>
      </c>
      <c r="V114" s="65">
        <f t="shared" si="108"/>
        <v>260</v>
      </c>
      <c r="W114" s="65">
        <f t="shared" si="108"/>
        <v>300</v>
      </c>
      <c r="X114" s="65">
        <f t="shared" si="108"/>
        <v>400</v>
      </c>
      <c r="Y114" s="65">
        <f t="shared" si="108"/>
        <v>500</v>
      </c>
      <c r="Z114" s="168"/>
      <c r="AA114" s="80"/>
    </row>
    <row r="115" ht="16.5" customHeight="1">
      <c r="A115" s="48" t="str">
        <f t="shared" ref="A115:E115" si="109">A62</f>
        <v>IDR</v>
      </c>
      <c r="B115" s="48" t="str">
        <f t="shared" si="109"/>
        <v>Rp</v>
      </c>
      <c r="C115" s="166" t="str">
        <f t="shared" si="109"/>
        <v>印尼盧比(K)</v>
      </c>
      <c r="D115" s="50">
        <f t="shared" si="109"/>
        <v>1000</v>
      </c>
      <c r="E115" s="167">
        <f t="shared" si="109"/>
        <v>0.02</v>
      </c>
      <c r="F115" s="65">
        <f t="shared" ref="F115:Y115" si="110">F62*$AA$111</f>
        <v>0.8</v>
      </c>
      <c r="G115" s="65">
        <f t="shared" si="110"/>
        <v>1.6</v>
      </c>
      <c r="H115" s="65">
        <f t="shared" si="110"/>
        <v>2.4</v>
      </c>
      <c r="I115" s="65">
        <f t="shared" si="110"/>
        <v>3.2</v>
      </c>
      <c r="J115" s="65">
        <f t="shared" si="110"/>
        <v>4</v>
      </c>
      <c r="K115" s="65">
        <f t="shared" si="110"/>
        <v>5.6</v>
      </c>
      <c r="L115" s="65">
        <f t="shared" si="110"/>
        <v>8</v>
      </c>
      <c r="M115" s="65">
        <f t="shared" si="110"/>
        <v>12</v>
      </c>
      <c r="N115" s="65">
        <f t="shared" si="110"/>
        <v>16</v>
      </c>
      <c r="O115" s="65">
        <f t="shared" si="110"/>
        <v>20</v>
      </c>
      <c r="P115" s="65">
        <f t="shared" si="110"/>
        <v>24</v>
      </c>
      <c r="Q115" s="65">
        <f t="shared" si="110"/>
        <v>28</v>
      </c>
      <c r="R115" s="65">
        <f t="shared" si="110"/>
        <v>32</v>
      </c>
      <c r="S115" s="65">
        <f t="shared" si="110"/>
        <v>36</v>
      </c>
      <c r="T115" s="65">
        <f t="shared" si="110"/>
        <v>40</v>
      </c>
      <c r="U115" s="65">
        <f t="shared" si="110"/>
        <v>44</v>
      </c>
      <c r="V115" s="65">
        <f t="shared" si="110"/>
        <v>52</v>
      </c>
      <c r="W115" s="65">
        <f t="shared" si="110"/>
        <v>60</v>
      </c>
      <c r="X115" s="65">
        <f t="shared" si="110"/>
        <v>80</v>
      </c>
      <c r="Y115" s="65">
        <f t="shared" si="110"/>
        <v>100</v>
      </c>
      <c r="Z115" s="168"/>
      <c r="AA115" s="80"/>
    </row>
    <row r="116" ht="16.5" customHeight="1">
      <c r="A116" s="48" t="str">
        <f t="shared" ref="A116:E116" si="111">A63</f>
        <v>VND</v>
      </c>
      <c r="B116" s="48" t="str">
        <f t="shared" si="111"/>
        <v>₫</v>
      </c>
      <c r="C116" s="166" t="str">
        <f t="shared" si="111"/>
        <v>越南盾(K)</v>
      </c>
      <c r="D116" s="50">
        <f t="shared" si="111"/>
        <v>1000</v>
      </c>
      <c r="E116" s="167">
        <f t="shared" si="111"/>
        <v>0.04</v>
      </c>
      <c r="F116" s="65">
        <f t="shared" ref="F116:Y116" si="112">F63*$AA$111</f>
        <v>1.6</v>
      </c>
      <c r="G116" s="65">
        <f t="shared" si="112"/>
        <v>3.2</v>
      </c>
      <c r="H116" s="65">
        <f t="shared" si="112"/>
        <v>4.8</v>
      </c>
      <c r="I116" s="65">
        <f t="shared" si="112"/>
        <v>6.4</v>
      </c>
      <c r="J116" s="65">
        <f t="shared" si="112"/>
        <v>8</v>
      </c>
      <c r="K116" s="65">
        <f t="shared" si="112"/>
        <v>11.2</v>
      </c>
      <c r="L116" s="65">
        <f t="shared" si="112"/>
        <v>16</v>
      </c>
      <c r="M116" s="65">
        <f t="shared" si="112"/>
        <v>24</v>
      </c>
      <c r="N116" s="65">
        <f t="shared" si="112"/>
        <v>32</v>
      </c>
      <c r="O116" s="65">
        <f t="shared" si="112"/>
        <v>40</v>
      </c>
      <c r="P116" s="65">
        <f t="shared" si="112"/>
        <v>48</v>
      </c>
      <c r="Q116" s="65">
        <f t="shared" si="112"/>
        <v>56</v>
      </c>
      <c r="R116" s="65">
        <f t="shared" si="112"/>
        <v>64</v>
      </c>
      <c r="S116" s="65">
        <f t="shared" si="112"/>
        <v>72</v>
      </c>
      <c r="T116" s="65">
        <f t="shared" si="112"/>
        <v>80</v>
      </c>
      <c r="U116" s="65">
        <f t="shared" si="112"/>
        <v>88</v>
      </c>
      <c r="V116" s="65">
        <f t="shared" si="112"/>
        <v>104</v>
      </c>
      <c r="W116" s="65">
        <f t="shared" si="112"/>
        <v>120</v>
      </c>
      <c r="X116" s="65">
        <f t="shared" si="112"/>
        <v>160</v>
      </c>
      <c r="Y116" s="65">
        <f t="shared" si="112"/>
        <v>200</v>
      </c>
      <c r="Z116" s="168"/>
      <c r="AA116" s="80"/>
    </row>
    <row r="117" ht="16.5" customHeight="1">
      <c r="A117" s="48" t="str">
        <f t="shared" ref="A117:E117" si="113">A64</f>
        <v>MYR</v>
      </c>
      <c r="B117" s="48" t="str">
        <f t="shared" si="113"/>
        <v>RM</v>
      </c>
      <c r="C117" s="166" t="str">
        <f t="shared" si="113"/>
        <v>馬來西亞令吉</v>
      </c>
      <c r="D117" s="50" t="str">
        <f t="shared" si="113"/>
        <v/>
      </c>
      <c r="E117" s="167">
        <f t="shared" si="113"/>
        <v>0.01</v>
      </c>
      <c r="F117" s="65">
        <f t="shared" ref="F117:Y117" si="114">F64*$AA$111</f>
        <v>0.4</v>
      </c>
      <c r="G117" s="65">
        <f t="shared" si="114"/>
        <v>0.8</v>
      </c>
      <c r="H117" s="65">
        <f t="shared" si="114"/>
        <v>1.2</v>
      </c>
      <c r="I117" s="65">
        <f t="shared" si="114"/>
        <v>1.6</v>
      </c>
      <c r="J117" s="65">
        <f t="shared" si="114"/>
        <v>2</v>
      </c>
      <c r="K117" s="65">
        <f t="shared" si="114"/>
        <v>2.8</v>
      </c>
      <c r="L117" s="65">
        <f t="shared" si="114"/>
        <v>4</v>
      </c>
      <c r="M117" s="65">
        <f t="shared" si="114"/>
        <v>6</v>
      </c>
      <c r="N117" s="65">
        <f t="shared" si="114"/>
        <v>8</v>
      </c>
      <c r="O117" s="65">
        <f t="shared" si="114"/>
        <v>10</v>
      </c>
      <c r="P117" s="65">
        <f t="shared" si="114"/>
        <v>12</v>
      </c>
      <c r="Q117" s="65">
        <f t="shared" si="114"/>
        <v>14</v>
      </c>
      <c r="R117" s="65">
        <f t="shared" si="114"/>
        <v>16</v>
      </c>
      <c r="S117" s="65">
        <f t="shared" si="114"/>
        <v>18</v>
      </c>
      <c r="T117" s="65">
        <f t="shared" si="114"/>
        <v>20</v>
      </c>
      <c r="U117" s="65">
        <f t="shared" si="114"/>
        <v>22</v>
      </c>
      <c r="V117" s="65">
        <f t="shared" si="114"/>
        <v>26</v>
      </c>
      <c r="W117" s="65">
        <f t="shared" si="114"/>
        <v>30</v>
      </c>
      <c r="X117" s="65">
        <f t="shared" si="114"/>
        <v>40</v>
      </c>
      <c r="Y117" s="65">
        <f t="shared" si="114"/>
        <v>50</v>
      </c>
      <c r="Z117" s="168"/>
      <c r="AA117" s="80"/>
    </row>
    <row r="118" ht="16.5" customHeight="1">
      <c r="A118" s="48" t="str">
        <f t="shared" ref="A118:E118" si="115">A65</f>
        <v>SGD</v>
      </c>
      <c r="B118" s="48" t="str">
        <f t="shared" si="115"/>
        <v>S$</v>
      </c>
      <c r="C118" s="166" t="str">
        <f t="shared" si="115"/>
        <v>新加坡幣</v>
      </c>
      <c r="D118" s="50" t="str">
        <f t="shared" si="115"/>
        <v/>
      </c>
      <c r="E118" s="167">
        <f t="shared" si="115"/>
        <v>0.01</v>
      </c>
      <c r="F118" s="65">
        <f t="shared" ref="F118:Y118" si="116">F65*$AA$111</f>
        <v>0.4</v>
      </c>
      <c r="G118" s="65">
        <f t="shared" si="116"/>
        <v>0.8</v>
      </c>
      <c r="H118" s="65">
        <f t="shared" si="116"/>
        <v>1.2</v>
      </c>
      <c r="I118" s="65">
        <f t="shared" si="116"/>
        <v>1.6</v>
      </c>
      <c r="J118" s="65">
        <f t="shared" si="116"/>
        <v>2</v>
      </c>
      <c r="K118" s="65">
        <f t="shared" si="116"/>
        <v>2.4</v>
      </c>
      <c r="L118" s="65">
        <f t="shared" si="116"/>
        <v>2.8</v>
      </c>
      <c r="M118" s="65">
        <f t="shared" si="116"/>
        <v>3.2</v>
      </c>
      <c r="N118" s="65">
        <f t="shared" si="116"/>
        <v>3.6</v>
      </c>
      <c r="O118" s="65">
        <f t="shared" si="116"/>
        <v>4</v>
      </c>
      <c r="P118" s="65">
        <f t="shared" si="116"/>
        <v>4.8</v>
      </c>
      <c r="Q118" s="65">
        <f t="shared" si="116"/>
        <v>5.6</v>
      </c>
      <c r="R118" s="65">
        <f t="shared" si="116"/>
        <v>6.4</v>
      </c>
      <c r="S118" s="65">
        <f t="shared" si="116"/>
        <v>8</v>
      </c>
      <c r="T118" s="65">
        <f t="shared" si="116"/>
        <v>10</v>
      </c>
      <c r="U118" s="65">
        <f t="shared" si="116"/>
        <v>12</v>
      </c>
      <c r="V118" s="65">
        <f t="shared" si="116"/>
        <v>14</v>
      </c>
      <c r="W118" s="65">
        <f t="shared" si="116"/>
        <v>16</v>
      </c>
      <c r="X118" s="65">
        <f t="shared" si="116"/>
        <v>18</v>
      </c>
      <c r="Y118" s="65">
        <f t="shared" si="116"/>
        <v>20</v>
      </c>
      <c r="Z118" s="168"/>
      <c r="AA118" s="80"/>
    </row>
    <row r="119" ht="16.5" customHeight="1">
      <c r="A119" s="48" t="str">
        <f t="shared" ref="A119:E119" si="117">A66</f>
        <v>USD</v>
      </c>
      <c r="B119" s="48" t="str">
        <f t="shared" si="117"/>
        <v>$</v>
      </c>
      <c r="C119" s="166" t="str">
        <f t="shared" si="117"/>
        <v>美元</v>
      </c>
      <c r="D119" s="50" t="str">
        <f t="shared" si="117"/>
        <v/>
      </c>
      <c r="E119" s="167">
        <f t="shared" si="117"/>
        <v>0.01</v>
      </c>
      <c r="F119" s="65">
        <f t="shared" ref="F119:Y119" si="118">F66*$AA$111</f>
        <v>0.4</v>
      </c>
      <c r="G119" s="65">
        <f t="shared" si="118"/>
        <v>0.8</v>
      </c>
      <c r="H119" s="65">
        <f t="shared" si="118"/>
        <v>1.2</v>
      </c>
      <c r="I119" s="65">
        <f t="shared" si="118"/>
        <v>1.6</v>
      </c>
      <c r="J119" s="65">
        <f t="shared" si="118"/>
        <v>2</v>
      </c>
      <c r="K119" s="65">
        <f t="shared" si="118"/>
        <v>2.4</v>
      </c>
      <c r="L119" s="65">
        <f t="shared" si="118"/>
        <v>2.8</v>
      </c>
      <c r="M119" s="65">
        <f t="shared" si="118"/>
        <v>3.2</v>
      </c>
      <c r="N119" s="65">
        <f t="shared" si="118"/>
        <v>3.6</v>
      </c>
      <c r="O119" s="65">
        <f t="shared" si="118"/>
        <v>4</v>
      </c>
      <c r="P119" s="65">
        <f t="shared" si="118"/>
        <v>4.8</v>
      </c>
      <c r="Q119" s="65">
        <f t="shared" si="118"/>
        <v>5.6</v>
      </c>
      <c r="R119" s="65">
        <f t="shared" si="118"/>
        <v>6.4</v>
      </c>
      <c r="S119" s="65">
        <f t="shared" si="118"/>
        <v>8</v>
      </c>
      <c r="T119" s="65">
        <f t="shared" si="118"/>
        <v>10</v>
      </c>
      <c r="U119" s="65">
        <f t="shared" si="118"/>
        <v>12</v>
      </c>
      <c r="V119" s="65">
        <f t="shared" si="118"/>
        <v>14</v>
      </c>
      <c r="W119" s="65">
        <f t="shared" si="118"/>
        <v>16</v>
      </c>
      <c r="X119" s="65">
        <f t="shared" si="118"/>
        <v>18</v>
      </c>
      <c r="Y119" s="65">
        <f t="shared" si="118"/>
        <v>20</v>
      </c>
      <c r="Z119" s="168"/>
      <c r="AA119" s="80"/>
    </row>
    <row r="120" ht="16.5" customHeight="1">
      <c r="A120" s="48" t="str">
        <f t="shared" ref="A120:E120" si="119">A67</f>
        <v>BDT</v>
      </c>
      <c r="B120" s="48" t="str">
        <f t="shared" si="119"/>
        <v>৳</v>
      </c>
      <c r="C120" s="166" t="str">
        <f t="shared" si="119"/>
        <v>孟加拉塔卡</v>
      </c>
      <c r="D120" s="50" t="str">
        <f t="shared" si="119"/>
        <v/>
      </c>
      <c r="E120" s="167">
        <f t="shared" si="119"/>
        <v>0.1</v>
      </c>
      <c r="F120" s="65">
        <f t="shared" ref="F120:Y120" si="120">F67*$AA$111</f>
        <v>4</v>
      </c>
      <c r="G120" s="65">
        <f t="shared" si="120"/>
        <v>8</v>
      </c>
      <c r="H120" s="65">
        <f t="shared" si="120"/>
        <v>12</v>
      </c>
      <c r="I120" s="65">
        <f t="shared" si="120"/>
        <v>16</v>
      </c>
      <c r="J120" s="65">
        <f t="shared" si="120"/>
        <v>20</v>
      </c>
      <c r="K120" s="65">
        <f t="shared" si="120"/>
        <v>28</v>
      </c>
      <c r="L120" s="65">
        <f t="shared" si="120"/>
        <v>40</v>
      </c>
      <c r="M120" s="65">
        <f t="shared" si="120"/>
        <v>60</v>
      </c>
      <c r="N120" s="65">
        <f t="shared" si="120"/>
        <v>80</v>
      </c>
      <c r="O120" s="65">
        <f t="shared" si="120"/>
        <v>100</v>
      </c>
      <c r="P120" s="65">
        <f t="shared" si="120"/>
        <v>120</v>
      </c>
      <c r="Q120" s="65">
        <f t="shared" si="120"/>
        <v>140</v>
      </c>
      <c r="R120" s="65">
        <f t="shared" si="120"/>
        <v>160</v>
      </c>
      <c r="S120" s="65">
        <f t="shared" si="120"/>
        <v>180</v>
      </c>
      <c r="T120" s="65">
        <f t="shared" si="120"/>
        <v>200</v>
      </c>
      <c r="U120" s="65">
        <f t="shared" si="120"/>
        <v>220</v>
      </c>
      <c r="V120" s="65">
        <f t="shared" si="120"/>
        <v>260</v>
      </c>
      <c r="W120" s="65">
        <f t="shared" si="120"/>
        <v>300</v>
      </c>
      <c r="X120" s="65">
        <f t="shared" si="120"/>
        <v>400</v>
      </c>
      <c r="Y120" s="65">
        <f t="shared" si="120"/>
        <v>500</v>
      </c>
      <c r="Z120" s="168"/>
      <c r="AA120" s="80"/>
    </row>
    <row r="121" ht="16.5" customHeight="1">
      <c r="A121" s="48" t="str">
        <f t="shared" ref="A121:E121" si="121">A68</f>
        <v>PKR</v>
      </c>
      <c r="B121" s="48" t="str">
        <f t="shared" si="121"/>
        <v>₨</v>
      </c>
      <c r="C121" s="166" t="str">
        <f t="shared" si="121"/>
        <v>巴基斯坦盧比</v>
      </c>
      <c r="D121" s="50" t="str">
        <f t="shared" si="121"/>
        <v/>
      </c>
      <c r="E121" s="167">
        <f t="shared" si="121"/>
        <v>0.25</v>
      </c>
      <c r="F121" s="65">
        <f t="shared" ref="F121:Y121" si="122">F68*$AA$111</f>
        <v>10</v>
      </c>
      <c r="G121" s="65">
        <f t="shared" si="122"/>
        <v>20</v>
      </c>
      <c r="H121" s="65">
        <f t="shared" si="122"/>
        <v>30</v>
      </c>
      <c r="I121" s="65">
        <f t="shared" si="122"/>
        <v>40</v>
      </c>
      <c r="J121" s="65">
        <f t="shared" si="122"/>
        <v>50</v>
      </c>
      <c r="K121" s="65">
        <f t="shared" si="122"/>
        <v>70</v>
      </c>
      <c r="L121" s="65">
        <f t="shared" si="122"/>
        <v>100</v>
      </c>
      <c r="M121" s="65">
        <f t="shared" si="122"/>
        <v>150</v>
      </c>
      <c r="N121" s="65">
        <f t="shared" si="122"/>
        <v>200</v>
      </c>
      <c r="O121" s="65">
        <f t="shared" si="122"/>
        <v>250</v>
      </c>
      <c r="P121" s="65">
        <f t="shared" si="122"/>
        <v>300</v>
      </c>
      <c r="Q121" s="65">
        <f t="shared" si="122"/>
        <v>350</v>
      </c>
      <c r="R121" s="65">
        <f t="shared" si="122"/>
        <v>400</v>
      </c>
      <c r="S121" s="65">
        <f t="shared" si="122"/>
        <v>450</v>
      </c>
      <c r="T121" s="65">
        <f t="shared" si="122"/>
        <v>500</v>
      </c>
      <c r="U121" s="65">
        <f t="shared" si="122"/>
        <v>550</v>
      </c>
      <c r="V121" s="65">
        <f t="shared" si="122"/>
        <v>650</v>
      </c>
      <c r="W121" s="65">
        <f t="shared" si="122"/>
        <v>750</v>
      </c>
      <c r="X121" s="65">
        <f t="shared" si="122"/>
        <v>1000</v>
      </c>
      <c r="Y121" s="65">
        <f t="shared" si="122"/>
        <v>1250</v>
      </c>
      <c r="Z121" s="168"/>
      <c r="AA121" s="80"/>
    </row>
    <row r="122" ht="16.5" customHeight="1">
      <c r="A122" s="48" t="str">
        <f t="shared" ref="A122:E122" si="123">A69</f>
        <v>MMK</v>
      </c>
      <c r="B122" s="48" t="str">
        <f t="shared" si="123"/>
        <v>K</v>
      </c>
      <c r="C122" s="166" t="str">
        <f t="shared" si="123"/>
        <v>緬甸元(K)</v>
      </c>
      <c r="D122" s="50">
        <f t="shared" si="123"/>
        <v>1000</v>
      </c>
      <c r="E122" s="167">
        <f t="shared" si="123"/>
        <v>0.01</v>
      </c>
      <c r="F122" s="65">
        <f t="shared" ref="F122:Y122" si="124">F69*$AA$111</f>
        <v>0.4</v>
      </c>
      <c r="G122" s="65">
        <f t="shared" si="124"/>
        <v>0.8</v>
      </c>
      <c r="H122" s="65">
        <f t="shared" si="124"/>
        <v>1.2</v>
      </c>
      <c r="I122" s="65">
        <f t="shared" si="124"/>
        <v>1.6</v>
      </c>
      <c r="J122" s="65">
        <f t="shared" si="124"/>
        <v>2</v>
      </c>
      <c r="K122" s="65">
        <f t="shared" si="124"/>
        <v>2.4</v>
      </c>
      <c r="L122" s="65">
        <f t="shared" si="124"/>
        <v>2.8</v>
      </c>
      <c r="M122" s="65">
        <f t="shared" si="124"/>
        <v>3.2</v>
      </c>
      <c r="N122" s="65">
        <f t="shared" si="124"/>
        <v>3.6</v>
      </c>
      <c r="O122" s="65">
        <f t="shared" si="124"/>
        <v>4</v>
      </c>
      <c r="P122" s="65">
        <f t="shared" si="124"/>
        <v>4.8</v>
      </c>
      <c r="Q122" s="65">
        <f t="shared" si="124"/>
        <v>5.6</v>
      </c>
      <c r="R122" s="65">
        <f t="shared" si="124"/>
        <v>6.4</v>
      </c>
      <c r="S122" s="65">
        <f t="shared" si="124"/>
        <v>8</v>
      </c>
      <c r="T122" s="65">
        <f t="shared" si="124"/>
        <v>10</v>
      </c>
      <c r="U122" s="65">
        <f t="shared" si="124"/>
        <v>12</v>
      </c>
      <c r="V122" s="65">
        <f t="shared" si="124"/>
        <v>14</v>
      </c>
      <c r="W122" s="65">
        <f t="shared" si="124"/>
        <v>16</v>
      </c>
      <c r="X122" s="65">
        <f t="shared" si="124"/>
        <v>18</v>
      </c>
      <c r="Y122" s="65">
        <f t="shared" si="124"/>
        <v>20</v>
      </c>
      <c r="Z122" s="168"/>
      <c r="AA122" s="80"/>
    </row>
    <row r="123" ht="16.5" customHeight="1">
      <c r="A123" s="48" t="str">
        <f t="shared" ref="A123:E123" si="125">A70</f>
        <v>MMH</v>
      </c>
      <c r="B123" s="48" t="str">
        <f t="shared" si="125"/>
        <v>K</v>
      </c>
      <c r="C123" s="166" t="str">
        <f t="shared" si="125"/>
        <v>緬甸元(H)</v>
      </c>
      <c r="D123" s="50">
        <f t="shared" si="125"/>
        <v>100</v>
      </c>
      <c r="E123" s="167">
        <f t="shared" si="125"/>
        <v>0.1</v>
      </c>
      <c r="F123" s="65">
        <f t="shared" ref="F123:Y123" si="126">F70*$AA$111</f>
        <v>4</v>
      </c>
      <c r="G123" s="65">
        <f t="shared" si="126"/>
        <v>8</v>
      </c>
      <c r="H123" s="65">
        <f t="shared" si="126"/>
        <v>12</v>
      </c>
      <c r="I123" s="65">
        <f t="shared" si="126"/>
        <v>16</v>
      </c>
      <c r="J123" s="65">
        <f t="shared" si="126"/>
        <v>20</v>
      </c>
      <c r="K123" s="65">
        <f t="shared" si="126"/>
        <v>24</v>
      </c>
      <c r="L123" s="65">
        <f t="shared" si="126"/>
        <v>28</v>
      </c>
      <c r="M123" s="65">
        <f t="shared" si="126"/>
        <v>32</v>
      </c>
      <c r="N123" s="65">
        <f t="shared" si="126"/>
        <v>36</v>
      </c>
      <c r="O123" s="65">
        <f t="shared" si="126"/>
        <v>40</v>
      </c>
      <c r="P123" s="65">
        <f t="shared" si="126"/>
        <v>48</v>
      </c>
      <c r="Q123" s="65">
        <f t="shared" si="126"/>
        <v>56</v>
      </c>
      <c r="R123" s="65">
        <f t="shared" si="126"/>
        <v>64</v>
      </c>
      <c r="S123" s="65">
        <f t="shared" si="126"/>
        <v>80</v>
      </c>
      <c r="T123" s="65">
        <f t="shared" si="126"/>
        <v>100</v>
      </c>
      <c r="U123" s="65">
        <f t="shared" si="126"/>
        <v>120</v>
      </c>
      <c r="V123" s="65">
        <f t="shared" si="126"/>
        <v>140</v>
      </c>
      <c r="W123" s="65">
        <f t="shared" si="126"/>
        <v>160</v>
      </c>
      <c r="X123" s="65">
        <f t="shared" si="126"/>
        <v>180</v>
      </c>
      <c r="Y123" s="65">
        <f t="shared" si="126"/>
        <v>200</v>
      </c>
      <c r="Z123" s="168"/>
      <c r="AA123" s="80"/>
    </row>
    <row r="124" ht="16.5" customHeight="1">
      <c r="A124" s="48" t="str">
        <f t="shared" ref="A124:E124" si="127">A71</f>
        <v>PHP</v>
      </c>
      <c r="B124" s="48" t="str">
        <f t="shared" si="127"/>
        <v>₱</v>
      </c>
      <c r="C124" s="166" t="str">
        <f t="shared" si="127"/>
        <v>菲律賓披索</v>
      </c>
      <c r="D124" s="50" t="str">
        <f t="shared" si="127"/>
        <v/>
      </c>
      <c r="E124" s="167">
        <f t="shared" si="127"/>
        <v>0.1</v>
      </c>
      <c r="F124" s="65">
        <f t="shared" ref="F124:Y124" si="128">F71*$AA$111</f>
        <v>4</v>
      </c>
      <c r="G124" s="65">
        <f t="shared" si="128"/>
        <v>8</v>
      </c>
      <c r="H124" s="65">
        <f t="shared" si="128"/>
        <v>12</v>
      </c>
      <c r="I124" s="65">
        <f t="shared" si="128"/>
        <v>16</v>
      </c>
      <c r="J124" s="65">
        <f t="shared" si="128"/>
        <v>20</v>
      </c>
      <c r="K124" s="65">
        <f t="shared" si="128"/>
        <v>28</v>
      </c>
      <c r="L124" s="65">
        <f t="shared" si="128"/>
        <v>40</v>
      </c>
      <c r="M124" s="65">
        <f t="shared" si="128"/>
        <v>60</v>
      </c>
      <c r="N124" s="65">
        <f t="shared" si="128"/>
        <v>80</v>
      </c>
      <c r="O124" s="65">
        <f t="shared" si="128"/>
        <v>100</v>
      </c>
      <c r="P124" s="65">
        <f t="shared" si="128"/>
        <v>120</v>
      </c>
      <c r="Q124" s="65">
        <f t="shared" si="128"/>
        <v>140</v>
      </c>
      <c r="R124" s="65">
        <f t="shared" si="128"/>
        <v>160</v>
      </c>
      <c r="S124" s="65">
        <f t="shared" si="128"/>
        <v>180</v>
      </c>
      <c r="T124" s="65">
        <f t="shared" si="128"/>
        <v>200</v>
      </c>
      <c r="U124" s="65">
        <f t="shared" si="128"/>
        <v>220</v>
      </c>
      <c r="V124" s="65">
        <f t="shared" si="128"/>
        <v>260</v>
      </c>
      <c r="W124" s="65">
        <f t="shared" si="128"/>
        <v>300</v>
      </c>
      <c r="X124" s="65">
        <f t="shared" si="128"/>
        <v>400</v>
      </c>
      <c r="Y124" s="65">
        <f t="shared" si="128"/>
        <v>500</v>
      </c>
      <c r="Z124" s="168"/>
      <c r="AA124" s="80"/>
    </row>
    <row r="125" ht="16.5" customHeight="1">
      <c r="A125" s="48" t="str">
        <f t="shared" ref="A125:E125" si="129">A72</f>
        <v>CNY</v>
      </c>
      <c r="B125" s="48" t="str">
        <f t="shared" si="129"/>
        <v>￥</v>
      </c>
      <c r="C125" s="166" t="str">
        <f t="shared" si="129"/>
        <v>人民幣</v>
      </c>
      <c r="D125" s="50" t="str">
        <f t="shared" si="129"/>
        <v/>
      </c>
      <c r="E125" s="167">
        <f t="shared" si="129"/>
        <v>0.01</v>
      </c>
      <c r="F125" s="65">
        <f t="shared" ref="F125:Y125" si="130">F72*$AA$111</f>
        <v>0.4</v>
      </c>
      <c r="G125" s="65">
        <f t="shared" si="130"/>
        <v>0.8</v>
      </c>
      <c r="H125" s="65">
        <f t="shared" si="130"/>
        <v>1.2</v>
      </c>
      <c r="I125" s="65">
        <f t="shared" si="130"/>
        <v>1.6</v>
      </c>
      <c r="J125" s="65">
        <f t="shared" si="130"/>
        <v>2</v>
      </c>
      <c r="K125" s="65">
        <f t="shared" si="130"/>
        <v>2.8</v>
      </c>
      <c r="L125" s="65">
        <f t="shared" si="130"/>
        <v>4</v>
      </c>
      <c r="M125" s="65">
        <f t="shared" si="130"/>
        <v>6</v>
      </c>
      <c r="N125" s="65">
        <f t="shared" si="130"/>
        <v>8</v>
      </c>
      <c r="O125" s="65">
        <f t="shared" si="130"/>
        <v>10</v>
      </c>
      <c r="P125" s="65">
        <f t="shared" si="130"/>
        <v>12</v>
      </c>
      <c r="Q125" s="65">
        <f t="shared" si="130"/>
        <v>14</v>
      </c>
      <c r="R125" s="65">
        <f t="shared" si="130"/>
        <v>16</v>
      </c>
      <c r="S125" s="65">
        <f t="shared" si="130"/>
        <v>18</v>
      </c>
      <c r="T125" s="65">
        <f t="shared" si="130"/>
        <v>20</v>
      </c>
      <c r="U125" s="65">
        <f t="shared" si="130"/>
        <v>22</v>
      </c>
      <c r="V125" s="65">
        <f t="shared" si="130"/>
        <v>26</v>
      </c>
      <c r="W125" s="65">
        <f t="shared" si="130"/>
        <v>30</v>
      </c>
      <c r="X125" s="65">
        <f t="shared" si="130"/>
        <v>40</v>
      </c>
      <c r="Y125" s="65">
        <f t="shared" si="130"/>
        <v>50</v>
      </c>
      <c r="Z125" s="168"/>
      <c r="AA125" s="80"/>
    </row>
    <row r="126" ht="16.5" customHeight="1">
      <c r="A126" s="48" t="str">
        <f t="shared" ref="A126:E126" si="131">A73</f>
        <v>MXN</v>
      </c>
      <c r="B126" s="48" t="str">
        <f t="shared" si="131"/>
        <v>Mex$</v>
      </c>
      <c r="C126" s="166" t="str">
        <f t="shared" si="131"/>
        <v>墨⻄哥披索</v>
      </c>
      <c r="D126" s="50" t="str">
        <f t="shared" si="131"/>
        <v/>
      </c>
      <c r="E126" s="167">
        <f t="shared" si="131"/>
        <v>0.02</v>
      </c>
      <c r="F126" s="65">
        <f t="shared" ref="F126:Y126" si="132">F73*$AA$111</f>
        <v>0.8</v>
      </c>
      <c r="G126" s="65">
        <f t="shared" si="132"/>
        <v>1.6</v>
      </c>
      <c r="H126" s="65">
        <f t="shared" si="132"/>
        <v>2.4</v>
      </c>
      <c r="I126" s="65">
        <f t="shared" si="132"/>
        <v>3.2</v>
      </c>
      <c r="J126" s="65">
        <f t="shared" si="132"/>
        <v>4</v>
      </c>
      <c r="K126" s="65">
        <f t="shared" si="132"/>
        <v>5.6</v>
      </c>
      <c r="L126" s="65">
        <f t="shared" si="132"/>
        <v>8</v>
      </c>
      <c r="M126" s="65">
        <f t="shared" si="132"/>
        <v>12</v>
      </c>
      <c r="N126" s="65">
        <f t="shared" si="132"/>
        <v>16</v>
      </c>
      <c r="O126" s="65">
        <f t="shared" si="132"/>
        <v>20</v>
      </c>
      <c r="P126" s="65">
        <f t="shared" si="132"/>
        <v>24</v>
      </c>
      <c r="Q126" s="65">
        <f t="shared" si="132"/>
        <v>28</v>
      </c>
      <c r="R126" s="65">
        <f t="shared" si="132"/>
        <v>32</v>
      </c>
      <c r="S126" s="65">
        <f t="shared" si="132"/>
        <v>36</v>
      </c>
      <c r="T126" s="65">
        <f t="shared" si="132"/>
        <v>40</v>
      </c>
      <c r="U126" s="65">
        <f t="shared" si="132"/>
        <v>44</v>
      </c>
      <c r="V126" s="65">
        <f t="shared" si="132"/>
        <v>52</v>
      </c>
      <c r="W126" s="65">
        <f t="shared" si="132"/>
        <v>60</v>
      </c>
      <c r="X126" s="65">
        <f t="shared" si="132"/>
        <v>80</v>
      </c>
      <c r="Y126" s="65">
        <f t="shared" si="132"/>
        <v>100</v>
      </c>
      <c r="Z126" s="169"/>
      <c r="AA126" s="80"/>
    </row>
    <row r="127" ht="16.5" customHeight="1">
      <c r="A127" s="48" t="str">
        <f t="shared" ref="A127:E127" si="133">A74</f>
        <v>BRL</v>
      </c>
      <c r="B127" s="48" t="str">
        <f t="shared" si="133"/>
        <v>R$</v>
      </c>
      <c r="C127" s="166" t="str">
        <f t="shared" si="133"/>
        <v>巴西雷亞爾</v>
      </c>
      <c r="D127" s="50" t="str">
        <f t="shared" si="133"/>
        <v/>
      </c>
      <c r="E127" s="167">
        <f t="shared" si="133"/>
        <v>0.01</v>
      </c>
      <c r="F127" s="65">
        <f t="shared" ref="F127:Y127" si="134">F74*$AA$111</f>
        <v>0.4</v>
      </c>
      <c r="G127" s="65">
        <f t="shared" si="134"/>
        <v>0.8</v>
      </c>
      <c r="H127" s="65">
        <f t="shared" si="134"/>
        <v>1.2</v>
      </c>
      <c r="I127" s="65">
        <f t="shared" si="134"/>
        <v>1.6</v>
      </c>
      <c r="J127" s="65">
        <f t="shared" si="134"/>
        <v>2</v>
      </c>
      <c r="K127" s="65">
        <f t="shared" si="134"/>
        <v>2.8</v>
      </c>
      <c r="L127" s="65">
        <f t="shared" si="134"/>
        <v>4</v>
      </c>
      <c r="M127" s="65">
        <f t="shared" si="134"/>
        <v>6</v>
      </c>
      <c r="N127" s="65">
        <f t="shared" si="134"/>
        <v>8</v>
      </c>
      <c r="O127" s="65">
        <f t="shared" si="134"/>
        <v>10</v>
      </c>
      <c r="P127" s="65">
        <f t="shared" si="134"/>
        <v>12</v>
      </c>
      <c r="Q127" s="65">
        <f t="shared" si="134"/>
        <v>14</v>
      </c>
      <c r="R127" s="65">
        <f t="shared" si="134"/>
        <v>16</v>
      </c>
      <c r="S127" s="65">
        <f t="shared" si="134"/>
        <v>18</v>
      </c>
      <c r="T127" s="65">
        <f t="shared" si="134"/>
        <v>20</v>
      </c>
      <c r="U127" s="65">
        <f t="shared" si="134"/>
        <v>22</v>
      </c>
      <c r="V127" s="65">
        <f t="shared" si="134"/>
        <v>26</v>
      </c>
      <c r="W127" s="65">
        <f t="shared" si="134"/>
        <v>30</v>
      </c>
      <c r="X127" s="65">
        <f t="shared" si="134"/>
        <v>40</v>
      </c>
      <c r="Y127" s="65">
        <f t="shared" si="134"/>
        <v>50</v>
      </c>
      <c r="Z127" s="169"/>
      <c r="AA127" s="80"/>
    </row>
    <row r="128" ht="16.5" customHeight="1">
      <c r="A128" s="48" t="str">
        <f t="shared" ref="A128:E128" si="135">A75</f>
        <v>AUD</v>
      </c>
      <c r="B128" s="48" t="str">
        <f t="shared" si="135"/>
        <v>A$</v>
      </c>
      <c r="C128" s="166" t="str">
        <f t="shared" si="135"/>
        <v>澳洲元</v>
      </c>
      <c r="D128" s="127" t="str">
        <f t="shared" si="135"/>
        <v/>
      </c>
      <c r="E128" s="167">
        <f t="shared" si="135"/>
        <v>0.01</v>
      </c>
      <c r="F128" s="65">
        <f t="shared" ref="F128:Y128" si="136">F75*$AA$111</f>
        <v>0.4</v>
      </c>
      <c r="G128" s="65">
        <f t="shared" si="136"/>
        <v>0.8</v>
      </c>
      <c r="H128" s="65">
        <f t="shared" si="136"/>
        <v>1.2</v>
      </c>
      <c r="I128" s="65">
        <f t="shared" si="136"/>
        <v>1.6</v>
      </c>
      <c r="J128" s="65">
        <f t="shared" si="136"/>
        <v>2</v>
      </c>
      <c r="K128" s="65">
        <f t="shared" si="136"/>
        <v>2.4</v>
      </c>
      <c r="L128" s="65">
        <f t="shared" si="136"/>
        <v>2.8</v>
      </c>
      <c r="M128" s="65">
        <f t="shared" si="136"/>
        <v>3.2</v>
      </c>
      <c r="N128" s="65">
        <f t="shared" si="136"/>
        <v>3.6</v>
      </c>
      <c r="O128" s="65">
        <f t="shared" si="136"/>
        <v>4</v>
      </c>
      <c r="P128" s="65">
        <f t="shared" si="136"/>
        <v>4.8</v>
      </c>
      <c r="Q128" s="65">
        <f t="shared" si="136"/>
        <v>5.6</v>
      </c>
      <c r="R128" s="65">
        <f t="shared" si="136"/>
        <v>6.4</v>
      </c>
      <c r="S128" s="65">
        <f t="shared" si="136"/>
        <v>8</v>
      </c>
      <c r="T128" s="65">
        <f t="shared" si="136"/>
        <v>10</v>
      </c>
      <c r="U128" s="65">
        <f t="shared" si="136"/>
        <v>12</v>
      </c>
      <c r="V128" s="65">
        <f t="shared" si="136"/>
        <v>14</v>
      </c>
      <c r="W128" s="65">
        <f t="shared" si="136"/>
        <v>16</v>
      </c>
      <c r="X128" s="65">
        <f t="shared" si="136"/>
        <v>18</v>
      </c>
      <c r="Y128" s="65">
        <f t="shared" si="136"/>
        <v>20</v>
      </c>
      <c r="Z128" s="169"/>
      <c r="AA128" s="80"/>
    </row>
    <row r="129" ht="16.5" customHeight="1">
      <c r="A129" s="48" t="str">
        <f t="shared" ref="A129:E129" si="137">A76</f>
        <v>JPY</v>
      </c>
      <c r="B129" s="48" t="str">
        <f t="shared" si="137"/>
        <v>￥</v>
      </c>
      <c r="C129" s="166" t="str">
        <f t="shared" si="137"/>
        <v>日圓</v>
      </c>
      <c r="D129" s="127" t="str">
        <f t="shared" si="137"/>
        <v/>
      </c>
      <c r="E129" s="167">
        <f t="shared" si="137"/>
        <v>0.2</v>
      </c>
      <c r="F129" s="65">
        <f t="shared" ref="F129:Y129" si="138">F76*$AA$111</f>
        <v>8</v>
      </c>
      <c r="G129" s="65">
        <f t="shared" si="138"/>
        <v>16</v>
      </c>
      <c r="H129" s="65">
        <f t="shared" si="138"/>
        <v>24</v>
      </c>
      <c r="I129" s="65">
        <f t="shared" si="138"/>
        <v>32</v>
      </c>
      <c r="J129" s="65">
        <f t="shared" si="138"/>
        <v>40</v>
      </c>
      <c r="K129" s="65">
        <f t="shared" si="138"/>
        <v>56</v>
      </c>
      <c r="L129" s="65">
        <f t="shared" si="138"/>
        <v>80</v>
      </c>
      <c r="M129" s="65">
        <f t="shared" si="138"/>
        <v>120</v>
      </c>
      <c r="N129" s="65">
        <f t="shared" si="138"/>
        <v>160</v>
      </c>
      <c r="O129" s="65">
        <f t="shared" si="138"/>
        <v>200</v>
      </c>
      <c r="P129" s="65">
        <f t="shared" si="138"/>
        <v>240</v>
      </c>
      <c r="Q129" s="65">
        <f t="shared" si="138"/>
        <v>280</v>
      </c>
      <c r="R129" s="65">
        <f t="shared" si="138"/>
        <v>320</v>
      </c>
      <c r="S129" s="65">
        <f t="shared" si="138"/>
        <v>360</v>
      </c>
      <c r="T129" s="65">
        <f t="shared" si="138"/>
        <v>400</v>
      </c>
      <c r="U129" s="65">
        <f t="shared" si="138"/>
        <v>440</v>
      </c>
      <c r="V129" s="65">
        <f t="shared" si="138"/>
        <v>520</v>
      </c>
      <c r="W129" s="65">
        <f t="shared" si="138"/>
        <v>600</v>
      </c>
      <c r="X129" s="65">
        <f t="shared" si="138"/>
        <v>800</v>
      </c>
      <c r="Y129" s="65">
        <f t="shared" si="138"/>
        <v>1000</v>
      </c>
      <c r="Z129" s="169"/>
      <c r="AA129" s="80"/>
    </row>
    <row r="130" ht="16.5" customHeight="1">
      <c r="A130" s="48" t="str">
        <f t="shared" ref="A130:E130" si="139">A77</f>
        <v>KRW</v>
      </c>
      <c r="B130" s="48" t="str">
        <f t="shared" si="139"/>
        <v>₩</v>
      </c>
      <c r="C130" s="166" t="str">
        <f t="shared" si="139"/>
        <v>韓圓</v>
      </c>
      <c r="D130" s="127" t="str">
        <f t="shared" si="139"/>
        <v/>
      </c>
      <c r="E130" s="167">
        <f t="shared" si="139"/>
        <v>2</v>
      </c>
      <c r="F130" s="65">
        <f t="shared" ref="F130:Y130" si="140">F77*$AA$111</f>
        <v>80</v>
      </c>
      <c r="G130" s="65">
        <f t="shared" si="140"/>
        <v>160</v>
      </c>
      <c r="H130" s="65">
        <f t="shared" si="140"/>
        <v>240</v>
      </c>
      <c r="I130" s="65">
        <f t="shared" si="140"/>
        <v>320</v>
      </c>
      <c r="J130" s="65">
        <f t="shared" si="140"/>
        <v>400</v>
      </c>
      <c r="K130" s="65">
        <f t="shared" si="140"/>
        <v>560</v>
      </c>
      <c r="L130" s="65">
        <f t="shared" si="140"/>
        <v>800</v>
      </c>
      <c r="M130" s="65">
        <f t="shared" si="140"/>
        <v>1200</v>
      </c>
      <c r="N130" s="65">
        <f t="shared" si="140"/>
        <v>1600</v>
      </c>
      <c r="O130" s="65">
        <f t="shared" si="140"/>
        <v>2000</v>
      </c>
      <c r="P130" s="65">
        <f t="shared" si="140"/>
        <v>2400</v>
      </c>
      <c r="Q130" s="65">
        <f t="shared" si="140"/>
        <v>2800</v>
      </c>
      <c r="R130" s="65">
        <f t="shared" si="140"/>
        <v>3200</v>
      </c>
      <c r="S130" s="65">
        <f t="shared" si="140"/>
        <v>3600</v>
      </c>
      <c r="T130" s="65">
        <f t="shared" si="140"/>
        <v>4000</v>
      </c>
      <c r="U130" s="65">
        <f t="shared" si="140"/>
        <v>4400</v>
      </c>
      <c r="V130" s="65">
        <f t="shared" si="140"/>
        <v>5200</v>
      </c>
      <c r="W130" s="65">
        <f t="shared" si="140"/>
        <v>6000</v>
      </c>
      <c r="X130" s="65">
        <f t="shared" si="140"/>
        <v>8000</v>
      </c>
      <c r="Y130" s="65">
        <f t="shared" si="140"/>
        <v>10000</v>
      </c>
      <c r="Z130" s="169"/>
      <c r="AA130" s="80"/>
    </row>
    <row r="131" ht="16.5" customHeight="1">
      <c r="A131" s="48" t="str">
        <f t="shared" ref="A131:E131" si="141">A78</f>
        <v>CLP</v>
      </c>
      <c r="B131" s="48" t="str">
        <f t="shared" si="141"/>
        <v>$</v>
      </c>
      <c r="C131" s="166" t="str">
        <f t="shared" si="141"/>
        <v>智利披索</v>
      </c>
      <c r="D131" s="127" t="str">
        <f t="shared" si="141"/>
        <v/>
      </c>
      <c r="E131" s="167">
        <f t="shared" si="141"/>
        <v>1</v>
      </c>
      <c r="F131" s="65">
        <f t="shared" ref="F131:Y131" si="142">F78*$AA$111</f>
        <v>40</v>
      </c>
      <c r="G131" s="65">
        <f t="shared" si="142"/>
        <v>80</v>
      </c>
      <c r="H131" s="65">
        <f t="shared" si="142"/>
        <v>120</v>
      </c>
      <c r="I131" s="65">
        <f t="shared" si="142"/>
        <v>160</v>
      </c>
      <c r="J131" s="65">
        <f t="shared" si="142"/>
        <v>200</v>
      </c>
      <c r="K131" s="65">
        <f t="shared" si="142"/>
        <v>280</v>
      </c>
      <c r="L131" s="65">
        <f t="shared" si="142"/>
        <v>400</v>
      </c>
      <c r="M131" s="65">
        <f t="shared" si="142"/>
        <v>600</v>
      </c>
      <c r="N131" s="65">
        <f t="shared" si="142"/>
        <v>800</v>
      </c>
      <c r="O131" s="65">
        <f t="shared" si="142"/>
        <v>1000</v>
      </c>
      <c r="P131" s="65">
        <f t="shared" si="142"/>
        <v>1200</v>
      </c>
      <c r="Q131" s="65">
        <f t="shared" si="142"/>
        <v>1400</v>
      </c>
      <c r="R131" s="65">
        <f t="shared" si="142"/>
        <v>1600</v>
      </c>
      <c r="S131" s="65">
        <f t="shared" si="142"/>
        <v>1800</v>
      </c>
      <c r="T131" s="65">
        <f t="shared" si="142"/>
        <v>2000</v>
      </c>
      <c r="U131" s="65">
        <f t="shared" si="142"/>
        <v>2200</v>
      </c>
      <c r="V131" s="65">
        <f t="shared" si="142"/>
        <v>2600</v>
      </c>
      <c r="W131" s="65">
        <f t="shared" si="142"/>
        <v>3000</v>
      </c>
      <c r="X131" s="65">
        <f t="shared" si="142"/>
        <v>4000</v>
      </c>
      <c r="Y131" s="65">
        <f t="shared" si="142"/>
        <v>5000</v>
      </c>
      <c r="Z131" s="169"/>
      <c r="AA131" s="80"/>
    </row>
    <row r="132" ht="16.5" customHeight="1">
      <c r="A132" s="48" t="str">
        <f t="shared" ref="A132:E132" si="143">A79</f>
        <v>MMKO</v>
      </c>
      <c r="B132" s="48" t="str">
        <f t="shared" si="143"/>
        <v>K</v>
      </c>
      <c r="C132" s="166" t="str">
        <f t="shared" si="143"/>
        <v>緬甸元</v>
      </c>
      <c r="D132" s="50" t="str">
        <f t="shared" si="143"/>
        <v/>
      </c>
      <c r="E132" s="167">
        <f t="shared" si="143"/>
        <v>2</v>
      </c>
      <c r="F132" s="65">
        <f t="shared" ref="F132:Y132" si="144">F79*$AA$111</f>
        <v>80</v>
      </c>
      <c r="G132" s="65">
        <f t="shared" si="144"/>
        <v>160</v>
      </c>
      <c r="H132" s="65">
        <f t="shared" si="144"/>
        <v>240</v>
      </c>
      <c r="I132" s="65">
        <f t="shared" si="144"/>
        <v>320</v>
      </c>
      <c r="J132" s="65">
        <f t="shared" si="144"/>
        <v>400</v>
      </c>
      <c r="K132" s="65">
        <f t="shared" si="144"/>
        <v>560</v>
      </c>
      <c r="L132" s="65">
        <f t="shared" si="144"/>
        <v>800</v>
      </c>
      <c r="M132" s="65">
        <f t="shared" si="144"/>
        <v>1200</v>
      </c>
      <c r="N132" s="65">
        <f t="shared" si="144"/>
        <v>1600</v>
      </c>
      <c r="O132" s="65">
        <f t="shared" si="144"/>
        <v>2000</v>
      </c>
      <c r="P132" s="65">
        <f t="shared" si="144"/>
        <v>2400</v>
      </c>
      <c r="Q132" s="65">
        <f t="shared" si="144"/>
        <v>2800</v>
      </c>
      <c r="R132" s="65">
        <f t="shared" si="144"/>
        <v>3200</v>
      </c>
      <c r="S132" s="65">
        <f t="shared" si="144"/>
        <v>3600</v>
      </c>
      <c r="T132" s="65">
        <f t="shared" si="144"/>
        <v>4000</v>
      </c>
      <c r="U132" s="65">
        <f t="shared" si="144"/>
        <v>4400</v>
      </c>
      <c r="V132" s="65">
        <f t="shared" si="144"/>
        <v>5200</v>
      </c>
      <c r="W132" s="65">
        <f t="shared" si="144"/>
        <v>6000</v>
      </c>
      <c r="X132" s="65">
        <f t="shared" si="144"/>
        <v>8000</v>
      </c>
      <c r="Y132" s="65">
        <f t="shared" si="144"/>
        <v>10000</v>
      </c>
      <c r="Z132" s="170"/>
      <c r="AA132" s="80"/>
    </row>
    <row r="133" ht="16.5" customHeight="1">
      <c r="A133" s="48" t="str">
        <f t="shared" ref="A133:E133" si="145">A80</f>
        <v>IDRO</v>
      </c>
      <c r="B133" s="48" t="str">
        <f t="shared" si="145"/>
        <v>Rp</v>
      </c>
      <c r="C133" s="166" t="str">
        <f t="shared" si="145"/>
        <v>印尼盧比</v>
      </c>
      <c r="D133" s="50" t="str">
        <f t="shared" si="145"/>
        <v/>
      </c>
      <c r="E133" s="167">
        <f t="shared" si="145"/>
        <v>20</v>
      </c>
      <c r="F133" s="65">
        <f t="shared" ref="F133:Y133" si="146">F80*$AA$111</f>
        <v>800</v>
      </c>
      <c r="G133" s="65">
        <f t="shared" si="146"/>
        <v>1600</v>
      </c>
      <c r="H133" s="65">
        <f t="shared" si="146"/>
        <v>2400</v>
      </c>
      <c r="I133" s="65">
        <f t="shared" si="146"/>
        <v>3200</v>
      </c>
      <c r="J133" s="65">
        <f t="shared" si="146"/>
        <v>4000</v>
      </c>
      <c r="K133" s="65">
        <f t="shared" si="146"/>
        <v>5600</v>
      </c>
      <c r="L133" s="65">
        <f t="shared" si="146"/>
        <v>8000</v>
      </c>
      <c r="M133" s="65">
        <f t="shared" si="146"/>
        <v>12000</v>
      </c>
      <c r="N133" s="65">
        <f t="shared" si="146"/>
        <v>16000</v>
      </c>
      <c r="O133" s="65">
        <f t="shared" si="146"/>
        <v>20000</v>
      </c>
      <c r="P133" s="65">
        <f t="shared" si="146"/>
        <v>24000</v>
      </c>
      <c r="Q133" s="65">
        <f t="shared" si="146"/>
        <v>28000</v>
      </c>
      <c r="R133" s="65">
        <f t="shared" si="146"/>
        <v>32000</v>
      </c>
      <c r="S133" s="65">
        <f t="shared" si="146"/>
        <v>36000</v>
      </c>
      <c r="T133" s="65">
        <f t="shared" si="146"/>
        <v>40000</v>
      </c>
      <c r="U133" s="65">
        <f t="shared" si="146"/>
        <v>44000</v>
      </c>
      <c r="V133" s="65">
        <f t="shared" si="146"/>
        <v>52000</v>
      </c>
      <c r="W133" s="65">
        <f t="shared" si="146"/>
        <v>60000</v>
      </c>
      <c r="X133" s="65">
        <f t="shared" si="146"/>
        <v>80000</v>
      </c>
      <c r="Y133" s="65">
        <f t="shared" si="146"/>
        <v>100000</v>
      </c>
      <c r="Z133" s="170"/>
      <c r="AA133" s="80"/>
    </row>
    <row r="134" ht="16.5" customHeight="1">
      <c r="A134" s="48" t="str">
        <f t="shared" ref="A134:E134" si="147">A81</f>
        <v>RUB</v>
      </c>
      <c r="B134" s="48" t="str">
        <f t="shared" si="147"/>
        <v>₽</v>
      </c>
      <c r="C134" s="166" t="str">
        <f t="shared" si="147"/>
        <v>盧布</v>
      </c>
      <c r="D134" s="50" t="str">
        <f t="shared" si="147"/>
        <v/>
      </c>
      <c r="E134" s="167">
        <f t="shared" si="147"/>
        <v>0.1</v>
      </c>
      <c r="F134" s="65">
        <f t="shared" ref="F134:Y134" si="148">F81*$AA$111</f>
        <v>4</v>
      </c>
      <c r="G134" s="65">
        <f t="shared" si="148"/>
        <v>8</v>
      </c>
      <c r="H134" s="65">
        <f t="shared" si="148"/>
        <v>12</v>
      </c>
      <c r="I134" s="65">
        <f t="shared" si="148"/>
        <v>16</v>
      </c>
      <c r="J134" s="65">
        <f t="shared" si="148"/>
        <v>20</v>
      </c>
      <c r="K134" s="65">
        <f t="shared" si="148"/>
        <v>28</v>
      </c>
      <c r="L134" s="65">
        <f t="shared" si="148"/>
        <v>40</v>
      </c>
      <c r="M134" s="65">
        <f t="shared" si="148"/>
        <v>60</v>
      </c>
      <c r="N134" s="65">
        <f t="shared" si="148"/>
        <v>80</v>
      </c>
      <c r="O134" s="65">
        <f t="shared" si="148"/>
        <v>100</v>
      </c>
      <c r="P134" s="65">
        <f t="shared" si="148"/>
        <v>120</v>
      </c>
      <c r="Q134" s="65">
        <f t="shared" si="148"/>
        <v>140</v>
      </c>
      <c r="R134" s="65">
        <f t="shared" si="148"/>
        <v>160</v>
      </c>
      <c r="S134" s="65">
        <f t="shared" si="148"/>
        <v>180</v>
      </c>
      <c r="T134" s="65">
        <f t="shared" si="148"/>
        <v>200</v>
      </c>
      <c r="U134" s="65">
        <f t="shared" si="148"/>
        <v>220</v>
      </c>
      <c r="V134" s="65">
        <f t="shared" si="148"/>
        <v>260</v>
      </c>
      <c r="W134" s="65">
        <f t="shared" si="148"/>
        <v>300</v>
      </c>
      <c r="X134" s="65">
        <f t="shared" si="148"/>
        <v>400</v>
      </c>
      <c r="Y134" s="65">
        <f t="shared" si="148"/>
        <v>500</v>
      </c>
      <c r="Z134" s="170"/>
      <c r="AA134" s="80"/>
    </row>
    <row r="135" ht="16.5" customHeight="1">
      <c r="A135" s="48" t="str">
        <f t="shared" ref="A135:E135" si="149">A82</f>
        <v>LKR</v>
      </c>
      <c r="B135" s="48" t="str">
        <f t="shared" si="149"/>
        <v>₨</v>
      </c>
      <c r="C135" s="166" t="str">
        <f t="shared" si="149"/>
        <v>斯里蘭卡盧比</v>
      </c>
      <c r="D135" s="50" t="str">
        <f t="shared" si="149"/>
        <v/>
      </c>
      <c r="E135" s="167">
        <f t="shared" si="149"/>
        <v>0.5</v>
      </c>
      <c r="F135" s="65">
        <f t="shared" ref="F135:Y135" si="150">F82*$AA$111</f>
        <v>20</v>
      </c>
      <c r="G135" s="65">
        <f t="shared" si="150"/>
        <v>40</v>
      </c>
      <c r="H135" s="65">
        <f t="shared" si="150"/>
        <v>60</v>
      </c>
      <c r="I135" s="65">
        <f t="shared" si="150"/>
        <v>80</v>
      </c>
      <c r="J135" s="65">
        <f t="shared" si="150"/>
        <v>100</v>
      </c>
      <c r="K135" s="65">
        <f t="shared" si="150"/>
        <v>140</v>
      </c>
      <c r="L135" s="65">
        <f t="shared" si="150"/>
        <v>200</v>
      </c>
      <c r="M135" s="65">
        <f t="shared" si="150"/>
        <v>300</v>
      </c>
      <c r="N135" s="65">
        <f t="shared" si="150"/>
        <v>400</v>
      </c>
      <c r="O135" s="65">
        <f t="shared" si="150"/>
        <v>500</v>
      </c>
      <c r="P135" s="65">
        <f t="shared" si="150"/>
        <v>600</v>
      </c>
      <c r="Q135" s="65">
        <f t="shared" si="150"/>
        <v>700</v>
      </c>
      <c r="R135" s="65">
        <f t="shared" si="150"/>
        <v>800</v>
      </c>
      <c r="S135" s="65">
        <f t="shared" si="150"/>
        <v>900</v>
      </c>
      <c r="T135" s="65">
        <f t="shared" si="150"/>
        <v>1000</v>
      </c>
      <c r="U135" s="65">
        <f t="shared" si="150"/>
        <v>1100</v>
      </c>
      <c r="V135" s="65">
        <f t="shared" si="150"/>
        <v>1300</v>
      </c>
      <c r="W135" s="65">
        <f t="shared" si="150"/>
        <v>1500</v>
      </c>
      <c r="X135" s="65">
        <f t="shared" si="150"/>
        <v>2000</v>
      </c>
      <c r="Y135" s="65">
        <f t="shared" si="150"/>
        <v>2500</v>
      </c>
      <c r="Z135" s="170"/>
      <c r="AA135" s="80"/>
    </row>
    <row r="136" ht="16.5" customHeight="1">
      <c r="A136" s="48" t="str">
        <f t="shared" ref="A136:E136" si="151">A83</f>
        <v>ETB</v>
      </c>
      <c r="B136" s="48" t="str">
        <f t="shared" si="151"/>
        <v>Br‎</v>
      </c>
      <c r="C136" s="166" t="str">
        <f t="shared" si="151"/>
        <v>衣索比亞比爾</v>
      </c>
      <c r="D136" s="50" t="str">
        <f t="shared" si="151"/>
        <v/>
      </c>
      <c r="E136" s="167">
        <f t="shared" si="151"/>
        <v>0.05</v>
      </c>
      <c r="F136" s="65">
        <f t="shared" ref="F136:Y136" si="152">F83*$AA$111</f>
        <v>2</v>
      </c>
      <c r="G136" s="65">
        <f t="shared" si="152"/>
        <v>4</v>
      </c>
      <c r="H136" s="65">
        <f t="shared" si="152"/>
        <v>6</v>
      </c>
      <c r="I136" s="65">
        <f t="shared" si="152"/>
        <v>8</v>
      </c>
      <c r="J136" s="65">
        <f t="shared" si="152"/>
        <v>10</v>
      </c>
      <c r="K136" s="65">
        <f t="shared" si="152"/>
        <v>14</v>
      </c>
      <c r="L136" s="65">
        <f t="shared" si="152"/>
        <v>20</v>
      </c>
      <c r="M136" s="65">
        <f t="shared" si="152"/>
        <v>30</v>
      </c>
      <c r="N136" s="65">
        <f t="shared" si="152"/>
        <v>40</v>
      </c>
      <c r="O136" s="65">
        <f t="shared" si="152"/>
        <v>50</v>
      </c>
      <c r="P136" s="65">
        <f t="shared" si="152"/>
        <v>60</v>
      </c>
      <c r="Q136" s="65">
        <f t="shared" si="152"/>
        <v>70</v>
      </c>
      <c r="R136" s="65">
        <f t="shared" si="152"/>
        <v>80</v>
      </c>
      <c r="S136" s="65">
        <f t="shared" si="152"/>
        <v>90</v>
      </c>
      <c r="T136" s="65">
        <f t="shared" si="152"/>
        <v>100</v>
      </c>
      <c r="U136" s="65">
        <f t="shared" si="152"/>
        <v>110</v>
      </c>
      <c r="V136" s="65">
        <f t="shared" si="152"/>
        <v>130</v>
      </c>
      <c r="W136" s="65">
        <f t="shared" si="152"/>
        <v>150</v>
      </c>
      <c r="X136" s="65">
        <f t="shared" si="152"/>
        <v>200</v>
      </c>
      <c r="Y136" s="65">
        <f t="shared" si="152"/>
        <v>250</v>
      </c>
      <c r="Z136" s="170"/>
      <c r="AA136" s="80"/>
    </row>
    <row r="137" ht="16.5" customHeight="1">
      <c r="A137" s="48" t="str">
        <f t="shared" ref="A137:E137" si="153">A84</f>
        <v>UGX</v>
      </c>
      <c r="B137" s="48" t="str">
        <f t="shared" si="153"/>
        <v>USh</v>
      </c>
      <c r="C137" s="166" t="str">
        <f t="shared" si="153"/>
        <v>烏干達先令</v>
      </c>
      <c r="D137" s="50" t="str">
        <f t="shared" si="153"/>
        <v/>
      </c>
      <c r="E137" s="167">
        <f t="shared" si="153"/>
        <v>5</v>
      </c>
      <c r="F137" s="65">
        <f t="shared" ref="F137:Y137" si="154">F84*$AA$111</f>
        <v>200</v>
      </c>
      <c r="G137" s="65">
        <f t="shared" si="154"/>
        <v>400</v>
      </c>
      <c r="H137" s="65">
        <f t="shared" si="154"/>
        <v>600</v>
      </c>
      <c r="I137" s="65">
        <f t="shared" si="154"/>
        <v>800</v>
      </c>
      <c r="J137" s="65">
        <f t="shared" si="154"/>
        <v>1000</v>
      </c>
      <c r="K137" s="65">
        <f t="shared" si="154"/>
        <v>1400</v>
      </c>
      <c r="L137" s="65">
        <f t="shared" si="154"/>
        <v>2000</v>
      </c>
      <c r="M137" s="65">
        <f t="shared" si="154"/>
        <v>3000</v>
      </c>
      <c r="N137" s="65">
        <f t="shared" si="154"/>
        <v>4000</v>
      </c>
      <c r="O137" s="65">
        <f t="shared" si="154"/>
        <v>5000</v>
      </c>
      <c r="P137" s="65">
        <f t="shared" si="154"/>
        <v>6000</v>
      </c>
      <c r="Q137" s="65">
        <f t="shared" si="154"/>
        <v>7000</v>
      </c>
      <c r="R137" s="65">
        <f t="shared" si="154"/>
        <v>8000</v>
      </c>
      <c r="S137" s="65">
        <f t="shared" si="154"/>
        <v>9000</v>
      </c>
      <c r="T137" s="65">
        <f t="shared" si="154"/>
        <v>10000</v>
      </c>
      <c r="U137" s="65">
        <f t="shared" si="154"/>
        <v>11000</v>
      </c>
      <c r="V137" s="65">
        <f t="shared" si="154"/>
        <v>13000</v>
      </c>
      <c r="W137" s="65">
        <f t="shared" si="154"/>
        <v>15000</v>
      </c>
      <c r="X137" s="65">
        <f t="shared" si="154"/>
        <v>20000</v>
      </c>
      <c r="Y137" s="65">
        <f t="shared" si="154"/>
        <v>25000</v>
      </c>
      <c r="Z137" s="170"/>
      <c r="AA137" s="80"/>
    </row>
    <row r="138" ht="16.5" customHeight="1">
      <c r="A138" s="48" t="str">
        <f t="shared" ref="A138:E138" si="155">A85</f>
        <v>EUR</v>
      </c>
      <c r="B138" s="48" t="str">
        <f t="shared" si="155"/>
        <v>€</v>
      </c>
      <c r="C138" s="166" t="str">
        <f t="shared" si="155"/>
        <v>歐元</v>
      </c>
      <c r="D138" s="162" t="str">
        <f t="shared" si="155"/>
        <v/>
      </c>
      <c r="E138" s="167">
        <f t="shared" si="155"/>
        <v>0.01</v>
      </c>
      <c r="F138" s="65">
        <f t="shared" ref="F138:Y138" si="156">F85*$AA$111</f>
        <v>0.4</v>
      </c>
      <c r="G138" s="65">
        <f t="shared" si="156"/>
        <v>0.8</v>
      </c>
      <c r="H138" s="65">
        <f t="shared" si="156"/>
        <v>1.2</v>
      </c>
      <c r="I138" s="65">
        <f t="shared" si="156"/>
        <v>1.6</v>
      </c>
      <c r="J138" s="65">
        <f t="shared" si="156"/>
        <v>2</v>
      </c>
      <c r="K138" s="65">
        <f t="shared" si="156"/>
        <v>2.4</v>
      </c>
      <c r="L138" s="65">
        <f t="shared" si="156"/>
        <v>2.8</v>
      </c>
      <c r="M138" s="65">
        <f t="shared" si="156"/>
        <v>3.2</v>
      </c>
      <c r="N138" s="65">
        <f t="shared" si="156"/>
        <v>3.6</v>
      </c>
      <c r="O138" s="65">
        <f t="shared" si="156"/>
        <v>4</v>
      </c>
      <c r="P138" s="65">
        <f t="shared" si="156"/>
        <v>4.8</v>
      </c>
      <c r="Q138" s="65">
        <f t="shared" si="156"/>
        <v>5.6</v>
      </c>
      <c r="R138" s="65">
        <f t="shared" si="156"/>
        <v>6.4</v>
      </c>
      <c r="S138" s="65">
        <f t="shared" si="156"/>
        <v>8</v>
      </c>
      <c r="T138" s="65">
        <f t="shared" si="156"/>
        <v>10</v>
      </c>
      <c r="U138" s="65">
        <f t="shared" si="156"/>
        <v>12</v>
      </c>
      <c r="V138" s="65">
        <f t="shared" si="156"/>
        <v>14</v>
      </c>
      <c r="W138" s="65">
        <f t="shared" si="156"/>
        <v>16</v>
      </c>
      <c r="X138" s="65">
        <f t="shared" si="156"/>
        <v>18</v>
      </c>
      <c r="Y138" s="65">
        <f t="shared" si="156"/>
        <v>20</v>
      </c>
      <c r="Z138" s="170"/>
      <c r="AA138" s="80"/>
    </row>
    <row r="139" ht="16.5" customHeight="1">
      <c r="A139" s="48" t="str">
        <f t="shared" ref="A139:E139" si="157">A86</f>
        <v>ARS</v>
      </c>
      <c r="B139" s="48" t="str">
        <f t="shared" si="157"/>
        <v>$</v>
      </c>
      <c r="C139" s="166" t="str">
        <f t="shared" si="157"/>
        <v>阿根廷披索</v>
      </c>
      <c r="D139" s="162" t="str">
        <f t="shared" si="157"/>
        <v/>
      </c>
      <c r="E139" s="167">
        <f t="shared" si="157"/>
        <v>0.25</v>
      </c>
      <c r="F139" s="65">
        <f t="shared" ref="F139:Y139" si="158">F86*$AA$111</f>
        <v>10</v>
      </c>
      <c r="G139" s="65">
        <f t="shared" si="158"/>
        <v>20</v>
      </c>
      <c r="H139" s="65">
        <f t="shared" si="158"/>
        <v>30</v>
      </c>
      <c r="I139" s="65">
        <f t="shared" si="158"/>
        <v>40</v>
      </c>
      <c r="J139" s="65">
        <f t="shared" si="158"/>
        <v>50</v>
      </c>
      <c r="K139" s="65">
        <f t="shared" si="158"/>
        <v>70</v>
      </c>
      <c r="L139" s="65">
        <f t="shared" si="158"/>
        <v>100</v>
      </c>
      <c r="M139" s="65">
        <f t="shared" si="158"/>
        <v>150</v>
      </c>
      <c r="N139" s="65">
        <f t="shared" si="158"/>
        <v>200</v>
      </c>
      <c r="O139" s="65">
        <f t="shared" si="158"/>
        <v>250</v>
      </c>
      <c r="P139" s="65">
        <f t="shared" si="158"/>
        <v>300</v>
      </c>
      <c r="Q139" s="65">
        <f t="shared" si="158"/>
        <v>350</v>
      </c>
      <c r="R139" s="65">
        <f t="shared" si="158"/>
        <v>400</v>
      </c>
      <c r="S139" s="65">
        <f t="shared" si="158"/>
        <v>450</v>
      </c>
      <c r="T139" s="65">
        <f t="shared" si="158"/>
        <v>500</v>
      </c>
      <c r="U139" s="65">
        <f t="shared" si="158"/>
        <v>550</v>
      </c>
      <c r="V139" s="65">
        <f t="shared" si="158"/>
        <v>650</v>
      </c>
      <c r="W139" s="65">
        <f t="shared" si="158"/>
        <v>750</v>
      </c>
      <c r="X139" s="65">
        <f t="shared" si="158"/>
        <v>1000</v>
      </c>
      <c r="Y139" s="65">
        <f t="shared" si="158"/>
        <v>1250</v>
      </c>
      <c r="Z139" s="170"/>
      <c r="AA139" s="80"/>
    </row>
    <row r="140" ht="16.5" customHeight="1">
      <c r="A140" s="48" t="str">
        <f t="shared" ref="A140:E140" si="159">A87</f>
        <v>NGN</v>
      </c>
      <c r="B140" s="48" t="str">
        <f t="shared" si="159"/>
        <v>₦</v>
      </c>
      <c r="C140" s="166" t="str">
        <f t="shared" si="159"/>
        <v>奈及利亞奈拉</v>
      </c>
      <c r="D140" s="162" t="str">
        <f t="shared" si="159"/>
        <v/>
      </c>
      <c r="E140" s="167">
        <f t="shared" si="159"/>
        <v>1</v>
      </c>
      <c r="F140" s="65">
        <f t="shared" ref="F140:Y140" si="160">F87*$AA$111</f>
        <v>40</v>
      </c>
      <c r="G140" s="65">
        <f t="shared" si="160"/>
        <v>80</v>
      </c>
      <c r="H140" s="65">
        <f t="shared" si="160"/>
        <v>120</v>
      </c>
      <c r="I140" s="65">
        <f t="shared" si="160"/>
        <v>160</v>
      </c>
      <c r="J140" s="65">
        <f t="shared" si="160"/>
        <v>200</v>
      </c>
      <c r="K140" s="65">
        <f t="shared" si="160"/>
        <v>280</v>
      </c>
      <c r="L140" s="65">
        <f t="shared" si="160"/>
        <v>400</v>
      </c>
      <c r="M140" s="65">
        <f t="shared" si="160"/>
        <v>600</v>
      </c>
      <c r="N140" s="65">
        <f t="shared" si="160"/>
        <v>800</v>
      </c>
      <c r="O140" s="65">
        <f t="shared" si="160"/>
        <v>1000</v>
      </c>
      <c r="P140" s="65">
        <f t="shared" si="160"/>
        <v>1200</v>
      </c>
      <c r="Q140" s="65">
        <f t="shared" si="160"/>
        <v>1400</v>
      </c>
      <c r="R140" s="65">
        <f t="shared" si="160"/>
        <v>1600</v>
      </c>
      <c r="S140" s="65">
        <f t="shared" si="160"/>
        <v>1800</v>
      </c>
      <c r="T140" s="65">
        <f t="shared" si="160"/>
        <v>2000</v>
      </c>
      <c r="U140" s="65">
        <f t="shared" si="160"/>
        <v>2200</v>
      </c>
      <c r="V140" s="65">
        <f t="shared" si="160"/>
        <v>2600</v>
      </c>
      <c r="W140" s="65">
        <f t="shared" si="160"/>
        <v>3000</v>
      </c>
      <c r="X140" s="65">
        <f t="shared" si="160"/>
        <v>4000</v>
      </c>
      <c r="Y140" s="65">
        <f t="shared" si="160"/>
        <v>5000</v>
      </c>
      <c r="Z140" s="170"/>
      <c r="AA140" s="80"/>
    </row>
    <row r="141" ht="16.5" customHeight="1">
      <c r="A141" s="48" t="str">
        <f t="shared" ref="A141:E141" si="161">A88</f>
        <v>KES</v>
      </c>
      <c r="B141" s="48" t="str">
        <f t="shared" si="161"/>
        <v>KSh</v>
      </c>
      <c r="C141" s="166" t="str">
        <f t="shared" si="161"/>
        <v>肯亞先令</v>
      </c>
      <c r="D141" s="162" t="str">
        <f t="shared" si="161"/>
        <v/>
      </c>
      <c r="E141" s="167">
        <f t="shared" si="161"/>
        <v>0.2</v>
      </c>
      <c r="F141" s="65">
        <f t="shared" ref="F141:Y141" si="162">F88*$AA$111</f>
        <v>8</v>
      </c>
      <c r="G141" s="65">
        <f t="shared" si="162"/>
        <v>16</v>
      </c>
      <c r="H141" s="65">
        <f t="shared" si="162"/>
        <v>24</v>
      </c>
      <c r="I141" s="65">
        <f t="shared" si="162"/>
        <v>32</v>
      </c>
      <c r="J141" s="65">
        <f t="shared" si="162"/>
        <v>40</v>
      </c>
      <c r="K141" s="65">
        <f t="shared" si="162"/>
        <v>56</v>
      </c>
      <c r="L141" s="65">
        <f t="shared" si="162"/>
        <v>80</v>
      </c>
      <c r="M141" s="65">
        <f t="shared" si="162"/>
        <v>120</v>
      </c>
      <c r="N141" s="65">
        <f t="shared" si="162"/>
        <v>160</v>
      </c>
      <c r="O141" s="65">
        <f t="shared" si="162"/>
        <v>200</v>
      </c>
      <c r="P141" s="65">
        <f t="shared" si="162"/>
        <v>240</v>
      </c>
      <c r="Q141" s="65">
        <f t="shared" si="162"/>
        <v>280</v>
      </c>
      <c r="R141" s="65">
        <f t="shared" si="162"/>
        <v>320</v>
      </c>
      <c r="S141" s="65">
        <f t="shared" si="162"/>
        <v>360</v>
      </c>
      <c r="T141" s="65">
        <f t="shared" si="162"/>
        <v>400</v>
      </c>
      <c r="U141" s="65">
        <f t="shared" si="162"/>
        <v>440</v>
      </c>
      <c r="V141" s="65">
        <f t="shared" si="162"/>
        <v>520</v>
      </c>
      <c r="W141" s="65">
        <f t="shared" si="162"/>
        <v>600</v>
      </c>
      <c r="X141" s="65">
        <f t="shared" si="162"/>
        <v>800</v>
      </c>
      <c r="Y141" s="65">
        <f t="shared" si="162"/>
        <v>1000</v>
      </c>
      <c r="Z141" s="170"/>
      <c r="AA141" s="80"/>
    </row>
    <row r="142" ht="16.5" customHeight="1">
      <c r="A142" s="48" t="str">
        <f t="shared" ref="A142:E142" si="163">A89</f>
        <v>ZAR</v>
      </c>
      <c r="B142" s="48" t="str">
        <f t="shared" si="163"/>
        <v>R</v>
      </c>
      <c r="C142" s="166" t="str">
        <f t="shared" si="163"/>
        <v>南非鍰</v>
      </c>
      <c r="D142" s="162" t="str">
        <f t="shared" si="163"/>
        <v/>
      </c>
      <c r="E142" s="167">
        <f t="shared" si="163"/>
        <v>0.02</v>
      </c>
      <c r="F142" s="65">
        <f t="shared" ref="F142:Y142" si="164">F89*$AA$111</f>
        <v>0.8</v>
      </c>
      <c r="G142" s="65">
        <f t="shared" si="164"/>
        <v>1.6</v>
      </c>
      <c r="H142" s="65">
        <f t="shared" si="164"/>
        <v>2.4</v>
      </c>
      <c r="I142" s="65">
        <f t="shared" si="164"/>
        <v>3.2</v>
      </c>
      <c r="J142" s="65">
        <f t="shared" si="164"/>
        <v>4</v>
      </c>
      <c r="K142" s="65">
        <f t="shared" si="164"/>
        <v>5.6</v>
      </c>
      <c r="L142" s="65">
        <f t="shared" si="164"/>
        <v>8</v>
      </c>
      <c r="M142" s="65">
        <f t="shared" si="164"/>
        <v>12</v>
      </c>
      <c r="N142" s="65">
        <f t="shared" si="164"/>
        <v>16</v>
      </c>
      <c r="O142" s="65">
        <f t="shared" si="164"/>
        <v>20</v>
      </c>
      <c r="P142" s="65">
        <f t="shared" si="164"/>
        <v>24</v>
      </c>
      <c r="Q142" s="65">
        <f t="shared" si="164"/>
        <v>28</v>
      </c>
      <c r="R142" s="65">
        <f t="shared" si="164"/>
        <v>32</v>
      </c>
      <c r="S142" s="65">
        <f t="shared" si="164"/>
        <v>36</v>
      </c>
      <c r="T142" s="65">
        <f t="shared" si="164"/>
        <v>40</v>
      </c>
      <c r="U142" s="65">
        <f t="shared" si="164"/>
        <v>44</v>
      </c>
      <c r="V142" s="65">
        <f t="shared" si="164"/>
        <v>52</v>
      </c>
      <c r="W142" s="65">
        <f t="shared" si="164"/>
        <v>60</v>
      </c>
      <c r="X142" s="65">
        <f t="shared" si="164"/>
        <v>80</v>
      </c>
      <c r="Y142" s="65">
        <f t="shared" si="164"/>
        <v>100</v>
      </c>
      <c r="Z142" s="170"/>
      <c r="AA142" s="80"/>
    </row>
    <row r="143" ht="16.5" customHeight="1">
      <c r="A143" s="48" t="str">
        <f t="shared" ref="A143:E143" si="165">A90</f>
        <v>TRY</v>
      </c>
      <c r="B143" s="48" t="str">
        <f t="shared" si="165"/>
        <v>₺</v>
      </c>
      <c r="C143" s="166" t="str">
        <f t="shared" si="165"/>
        <v>土耳其里拉</v>
      </c>
      <c r="D143" s="162" t="str">
        <f t="shared" si="165"/>
        <v/>
      </c>
      <c r="E143" s="167">
        <f t="shared" si="165"/>
        <v>0.04</v>
      </c>
      <c r="F143" s="65">
        <f t="shared" ref="F143:Y143" si="166">F90*$AA$111</f>
        <v>1.6</v>
      </c>
      <c r="G143" s="65">
        <f t="shared" si="166"/>
        <v>3.2</v>
      </c>
      <c r="H143" s="65">
        <f t="shared" si="166"/>
        <v>4.8</v>
      </c>
      <c r="I143" s="65">
        <f t="shared" si="166"/>
        <v>6.4</v>
      </c>
      <c r="J143" s="65">
        <f t="shared" si="166"/>
        <v>8</v>
      </c>
      <c r="K143" s="65">
        <f t="shared" si="166"/>
        <v>11.2</v>
      </c>
      <c r="L143" s="65">
        <f t="shared" si="166"/>
        <v>16</v>
      </c>
      <c r="M143" s="65">
        <f t="shared" si="166"/>
        <v>24</v>
      </c>
      <c r="N143" s="65">
        <f t="shared" si="166"/>
        <v>32</v>
      </c>
      <c r="O143" s="65">
        <f t="shared" si="166"/>
        <v>40</v>
      </c>
      <c r="P143" s="65">
        <f t="shared" si="166"/>
        <v>48</v>
      </c>
      <c r="Q143" s="65">
        <f t="shared" si="166"/>
        <v>56</v>
      </c>
      <c r="R143" s="65">
        <f t="shared" si="166"/>
        <v>64</v>
      </c>
      <c r="S143" s="65">
        <f t="shared" si="166"/>
        <v>72</v>
      </c>
      <c r="T143" s="65">
        <f t="shared" si="166"/>
        <v>80</v>
      </c>
      <c r="U143" s="65">
        <f t="shared" si="166"/>
        <v>88</v>
      </c>
      <c r="V143" s="65">
        <f t="shared" si="166"/>
        <v>104</v>
      </c>
      <c r="W143" s="65">
        <f t="shared" si="166"/>
        <v>120</v>
      </c>
      <c r="X143" s="65">
        <f t="shared" si="166"/>
        <v>160</v>
      </c>
      <c r="Y143" s="65">
        <f t="shared" si="166"/>
        <v>200</v>
      </c>
      <c r="Z143" s="170"/>
      <c r="AA143" s="80"/>
    </row>
    <row r="144" ht="16.5" customHeight="1">
      <c r="A144" s="48" t="str">
        <f t="shared" ref="A144:E144" si="167">A91</f>
        <v>GBP</v>
      </c>
      <c r="B144" s="48" t="str">
        <f t="shared" si="167"/>
        <v>£</v>
      </c>
      <c r="C144" s="166" t="str">
        <f t="shared" si="167"/>
        <v>英鎊</v>
      </c>
      <c r="D144" s="162" t="str">
        <f t="shared" si="167"/>
        <v/>
      </c>
      <c r="E144" s="167">
        <f t="shared" si="167"/>
        <v>0.01</v>
      </c>
      <c r="F144" s="65">
        <f t="shared" ref="F144:Y144" si="168">F91*$AA$111</f>
        <v>0.4</v>
      </c>
      <c r="G144" s="65">
        <f t="shared" si="168"/>
        <v>0.8</v>
      </c>
      <c r="H144" s="65">
        <f t="shared" si="168"/>
        <v>1.2</v>
      </c>
      <c r="I144" s="65">
        <f t="shared" si="168"/>
        <v>1.6</v>
      </c>
      <c r="J144" s="65">
        <f t="shared" si="168"/>
        <v>2</v>
      </c>
      <c r="K144" s="65">
        <f t="shared" si="168"/>
        <v>2.4</v>
      </c>
      <c r="L144" s="65">
        <f t="shared" si="168"/>
        <v>2.8</v>
      </c>
      <c r="M144" s="65">
        <f t="shared" si="168"/>
        <v>3.2</v>
      </c>
      <c r="N144" s="65">
        <f t="shared" si="168"/>
        <v>3.6</v>
      </c>
      <c r="O144" s="65">
        <f t="shared" si="168"/>
        <v>4</v>
      </c>
      <c r="P144" s="65">
        <f t="shared" si="168"/>
        <v>4.8</v>
      </c>
      <c r="Q144" s="65">
        <f t="shared" si="168"/>
        <v>5.6</v>
      </c>
      <c r="R144" s="65">
        <f t="shared" si="168"/>
        <v>6.4</v>
      </c>
      <c r="S144" s="65">
        <f t="shared" si="168"/>
        <v>8</v>
      </c>
      <c r="T144" s="65">
        <f t="shared" si="168"/>
        <v>10</v>
      </c>
      <c r="U144" s="65">
        <f t="shared" si="168"/>
        <v>12</v>
      </c>
      <c r="V144" s="65">
        <f t="shared" si="168"/>
        <v>14</v>
      </c>
      <c r="W144" s="65">
        <f t="shared" si="168"/>
        <v>16</v>
      </c>
      <c r="X144" s="65">
        <f t="shared" si="168"/>
        <v>18</v>
      </c>
      <c r="Y144" s="65">
        <f t="shared" si="168"/>
        <v>20</v>
      </c>
      <c r="Z144" s="170"/>
      <c r="AA144" s="80"/>
    </row>
    <row r="145" ht="16.5" customHeight="1">
      <c r="A145" s="48" t="str">
        <f t="shared" ref="A145:E145" si="169">A92</f>
        <v>NPR</v>
      </c>
      <c r="B145" s="48" t="str">
        <f t="shared" si="169"/>
        <v>रू</v>
      </c>
      <c r="C145" s="166" t="str">
        <f t="shared" si="169"/>
        <v>尼泊爾盧比</v>
      </c>
      <c r="D145" s="162" t="str">
        <f t="shared" si="169"/>
        <v/>
      </c>
      <c r="E145" s="167">
        <f t="shared" si="169"/>
        <v>0.2</v>
      </c>
      <c r="F145" s="65">
        <f t="shared" ref="F145:Y145" si="170">F92*$AA$111</f>
        <v>8</v>
      </c>
      <c r="G145" s="65">
        <f t="shared" si="170"/>
        <v>16</v>
      </c>
      <c r="H145" s="65">
        <f t="shared" si="170"/>
        <v>24</v>
      </c>
      <c r="I145" s="65">
        <f t="shared" si="170"/>
        <v>32</v>
      </c>
      <c r="J145" s="65">
        <f t="shared" si="170"/>
        <v>40</v>
      </c>
      <c r="K145" s="65">
        <f t="shared" si="170"/>
        <v>56</v>
      </c>
      <c r="L145" s="65">
        <f t="shared" si="170"/>
        <v>80</v>
      </c>
      <c r="M145" s="65">
        <f t="shared" si="170"/>
        <v>120</v>
      </c>
      <c r="N145" s="65">
        <f t="shared" si="170"/>
        <v>160</v>
      </c>
      <c r="O145" s="65">
        <f t="shared" si="170"/>
        <v>200</v>
      </c>
      <c r="P145" s="65">
        <f t="shared" si="170"/>
        <v>240</v>
      </c>
      <c r="Q145" s="65">
        <f t="shared" si="170"/>
        <v>280</v>
      </c>
      <c r="R145" s="65">
        <f t="shared" si="170"/>
        <v>320</v>
      </c>
      <c r="S145" s="65">
        <f t="shared" si="170"/>
        <v>360</v>
      </c>
      <c r="T145" s="65">
        <f t="shared" si="170"/>
        <v>400</v>
      </c>
      <c r="U145" s="65">
        <f t="shared" si="170"/>
        <v>440</v>
      </c>
      <c r="V145" s="65">
        <f t="shared" si="170"/>
        <v>520</v>
      </c>
      <c r="W145" s="65">
        <f t="shared" si="170"/>
        <v>600</v>
      </c>
      <c r="X145" s="65">
        <f t="shared" si="170"/>
        <v>800</v>
      </c>
      <c r="Y145" s="65">
        <f t="shared" si="170"/>
        <v>1000</v>
      </c>
      <c r="Z145" s="170"/>
      <c r="AA145" s="80"/>
    </row>
    <row r="146" ht="16.5" customHeight="1">
      <c r="A146" s="48" t="str">
        <f t="shared" ref="A146:E146" si="171">A93</f>
        <v>CHF</v>
      </c>
      <c r="B146" s="48" t="str">
        <f t="shared" si="171"/>
        <v>CHF</v>
      </c>
      <c r="C146" s="166" t="str">
        <f t="shared" si="171"/>
        <v>瑞士法郎</v>
      </c>
      <c r="D146" s="162" t="str">
        <f t="shared" si="171"/>
        <v/>
      </c>
      <c r="E146" s="167">
        <f t="shared" si="171"/>
        <v>0.01</v>
      </c>
      <c r="F146" s="65">
        <f t="shared" ref="F146:Y146" si="172">F93*$AA$111</f>
        <v>0.4</v>
      </c>
      <c r="G146" s="65">
        <f t="shared" si="172"/>
        <v>0.8</v>
      </c>
      <c r="H146" s="65">
        <f t="shared" si="172"/>
        <v>1.2</v>
      </c>
      <c r="I146" s="65">
        <f t="shared" si="172"/>
        <v>1.6</v>
      </c>
      <c r="J146" s="65">
        <f t="shared" si="172"/>
        <v>2</v>
      </c>
      <c r="K146" s="65">
        <f t="shared" si="172"/>
        <v>2.4</v>
      </c>
      <c r="L146" s="65">
        <f t="shared" si="172"/>
        <v>2.8</v>
      </c>
      <c r="M146" s="65">
        <f t="shared" si="172"/>
        <v>3.2</v>
      </c>
      <c r="N146" s="65">
        <f t="shared" si="172"/>
        <v>3.6</v>
      </c>
      <c r="O146" s="65">
        <f t="shared" si="172"/>
        <v>4</v>
      </c>
      <c r="P146" s="65">
        <f t="shared" si="172"/>
        <v>4.8</v>
      </c>
      <c r="Q146" s="65">
        <f t="shared" si="172"/>
        <v>5.6</v>
      </c>
      <c r="R146" s="65">
        <f t="shared" si="172"/>
        <v>6.4</v>
      </c>
      <c r="S146" s="65">
        <f t="shared" si="172"/>
        <v>8</v>
      </c>
      <c r="T146" s="65">
        <f t="shared" si="172"/>
        <v>10</v>
      </c>
      <c r="U146" s="65">
        <f t="shared" si="172"/>
        <v>12</v>
      </c>
      <c r="V146" s="65">
        <f t="shared" si="172"/>
        <v>14</v>
      </c>
      <c r="W146" s="65">
        <f t="shared" si="172"/>
        <v>16</v>
      </c>
      <c r="X146" s="65">
        <f t="shared" si="172"/>
        <v>18</v>
      </c>
      <c r="Y146" s="65">
        <f t="shared" si="172"/>
        <v>20</v>
      </c>
      <c r="Z146" s="170"/>
      <c r="AA146" s="80"/>
    </row>
    <row r="147" ht="16.5" customHeight="1">
      <c r="A147" s="48" t="str">
        <f t="shared" ref="A147:E147" si="173">A94</f>
        <v>CAD</v>
      </c>
      <c r="B147" s="48" t="str">
        <f t="shared" si="173"/>
        <v>$</v>
      </c>
      <c r="C147" s="166" t="str">
        <f t="shared" si="173"/>
        <v>加幣</v>
      </c>
      <c r="D147" s="162" t="str">
        <f t="shared" si="173"/>
        <v/>
      </c>
      <c r="E147" s="167">
        <f t="shared" si="173"/>
        <v>0.01</v>
      </c>
      <c r="F147" s="65">
        <f t="shared" ref="F147:Y147" si="174">F94*$AA$111</f>
        <v>0.4</v>
      </c>
      <c r="G147" s="65">
        <f t="shared" si="174"/>
        <v>0.8</v>
      </c>
      <c r="H147" s="65">
        <f t="shared" si="174"/>
        <v>1.2</v>
      </c>
      <c r="I147" s="65">
        <f t="shared" si="174"/>
        <v>1.6</v>
      </c>
      <c r="J147" s="65">
        <f t="shared" si="174"/>
        <v>2</v>
      </c>
      <c r="K147" s="65">
        <f t="shared" si="174"/>
        <v>2.4</v>
      </c>
      <c r="L147" s="65">
        <f t="shared" si="174"/>
        <v>2.8</v>
      </c>
      <c r="M147" s="65">
        <f t="shared" si="174"/>
        <v>3.2</v>
      </c>
      <c r="N147" s="65">
        <f t="shared" si="174"/>
        <v>3.6</v>
      </c>
      <c r="O147" s="65">
        <f t="shared" si="174"/>
        <v>4</v>
      </c>
      <c r="P147" s="65">
        <f t="shared" si="174"/>
        <v>4.8</v>
      </c>
      <c r="Q147" s="65">
        <f t="shared" si="174"/>
        <v>5.6</v>
      </c>
      <c r="R147" s="65">
        <f t="shared" si="174"/>
        <v>6.4</v>
      </c>
      <c r="S147" s="65">
        <f t="shared" si="174"/>
        <v>8</v>
      </c>
      <c r="T147" s="65">
        <f t="shared" si="174"/>
        <v>10</v>
      </c>
      <c r="U147" s="65">
        <f t="shared" si="174"/>
        <v>12</v>
      </c>
      <c r="V147" s="65">
        <f t="shared" si="174"/>
        <v>14</v>
      </c>
      <c r="W147" s="65">
        <f t="shared" si="174"/>
        <v>16</v>
      </c>
      <c r="X147" s="65">
        <f t="shared" si="174"/>
        <v>18</v>
      </c>
      <c r="Y147" s="65">
        <f t="shared" si="174"/>
        <v>20</v>
      </c>
      <c r="Z147" s="170"/>
      <c r="AA147" s="80"/>
    </row>
    <row r="148" ht="16.5" customHeight="1">
      <c r="A148" s="48" t="str">
        <f t="shared" ref="A148:E148" si="175">A95</f>
        <v>PEN</v>
      </c>
      <c r="B148" s="48" t="str">
        <f t="shared" si="175"/>
        <v>PEN</v>
      </c>
      <c r="C148" s="166" t="str">
        <f t="shared" si="175"/>
        <v>秘魯新索爾</v>
      </c>
      <c r="D148" s="162" t="str">
        <f t="shared" si="175"/>
        <v/>
      </c>
      <c r="E148" s="167">
        <f t="shared" si="175"/>
        <v>0.01</v>
      </c>
      <c r="F148" s="65">
        <f t="shared" ref="F148:Y148" si="176">F95*$AA$111</f>
        <v>0.4</v>
      </c>
      <c r="G148" s="65">
        <f t="shared" si="176"/>
        <v>0.8</v>
      </c>
      <c r="H148" s="65">
        <f t="shared" si="176"/>
        <v>1.2</v>
      </c>
      <c r="I148" s="65">
        <f t="shared" si="176"/>
        <v>1.6</v>
      </c>
      <c r="J148" s="65">
        <f t="shared" si="176"/>
        <v>2</v>
      </c>
      <c r="K148" s="65">
        <f t="shared" si="176"/>
        <v>2.8</v>
      </c>
      <c r="L148" s="65">
        <f t="shared" si="176"/>
        <v>4</v>
      </c>
      <c r="M148" s="65">
        <f t="shared" si="176"/>
        <v>6</v>
      </c>
      <c r="N148" s="65">
        <f t="shared" si="176"/>
        <v>8</v>
      </c>
      <c r="O148" s="65">
        <f t="shared" si="176"/>
        <v>10</v>
      </c>
      <c r="P148" s="65">
        <f t="shared" si="176"/>
        <v>12</v>
      </c>
      <c r="Q148" s="65">
        <f t="shared" si="176"/>
        <v>14</v>
      </c>
      <c r="R148" s="65">
        <f t="shared" si="176"/>
        <v>16</v>
      </c>
      <c r="S148" s="65">
        <f t="shared" si="176"/>
        <v>18</v>
      </c>
      <c r="T148" s="65">
        <f t="shared" si="176"/>
        <v>20</v>
      </c>
      <c r="U148" s="65">
        <f t="shared" si="176"/>
        <v>22</v>
      </c>
      <c r="V148" s="65">
        <f t="shared" si="176"/>
        <v>26</v>
      </c>
      <c r="W148" s="65">
        <f t="shared" si="176"/>
        <v>30</v>
      </c>
      <c r="X148" s="65">
        <f t="shared" si="176"/>
        <v>40</v>
      </c>
      <c r="Y148" s="65">
        <f t="shared" si="176"/>
        <v>50</v>
      </c>
      <c r="Z148" s="170"/>
      <c r="AA148" s="80"/>
    </row>
    <row r="149" ht="16.5" customHeight="1">
      <c r="A149" s="48" t="str">
        <f t="shared" ref="A149:E149" si="177">A96</f>
        <v>AED</v>
      </c>
      <c r="B149" s="48" t="str">
        <f t="shared" si="177"/>
        <v>AED</v>
      </c>
      <c r="C149" s="166" t="str">
        <f t="shared" si="177"/>
        <v>阿聯迪拉姆</v>
      </c>
      <c r="D149" s="162" t="str">
        <f t="shared" si="177"/>
        <v/>
      </c>
      <c r="E149" s="167">
        <f t="shared" si="177"/>
        <v>0.01</v>
      </c>
      <c r="F149" s="65">
        <f t="shared" ref="F149:Y149" si="178">F96*$AA$111</f>
        <v>0.4</v>
      </c>
      <c r="G149" s="65">
        <f t="shared" si="178"/>
        <v>0.8</v>
      </c>
      <c r="H149" s="65">
        <f t="shared" si="178"/>
        <v>1.2</v>
      </c>
      <c r="I149" s="65">
        <f t="shared" si="178"/>
        <v>1.6</v>
      </c>
      <c r="J149" s="65">
        <f t="shared" si="178"/>
        <v>2</v>
      </c>
      <c r="K149" s="65">
        <f t="shared" si="178"/>
        <v>2.8</v>
      </c>
      <c r="L149" s="65">
        <f t="shared" si="178"/>
        <v>4</v>
      </c>
      <c r="M149" s="65">
        <f t="shared" si="178"/>
        <v>6</v>
      </c>
      <c r="N149" s="65">
        <f t="shared" si="178"/>
        <v>8</v>
      </c>
      <c r="O149" s="65">
        <f t="shared" si="178"/>
        <v>10</v>
      </c>
      <c r="P149" s="65">
        <f t="shared" si="178"/>
        <v>12</v>
      </c>
      <c r="Q149" s="65">
        <f t="shared" si="178"/>
        <v>14</v>
      </c>
      <c r="R149" s="65">
        <f t="shared" si="178"/>
        <v>16</v>
      </c>
      <c r="S149" s="65">
        <f t="shared" si="178"/>
        <v>18</v>
      </c>
      <c r="T149" s="65">
        <f t="shared" si="178"/>
        <v>20</v>
      </c>
      <c r="U149" s="65">
        <f t="shared" si="178"/>
        <v>22</v>
      </c>
      <c r="V149" s="65">
        <f t="shared" si="178"/>
        <v>26</v>
      </c>
      <c r="W149" s="65">
        <f t="shared" si="178"/>
        <v>30</v>
      </c>
      <c r="X149" s="65">
        <f t="shared" si="178"/>
        <v>40</v>
      </c>
      <c r="Y149" s="65">
        <f t="shared" si="178"/>
        <v>50</v>
      </c>
      <c r="Z149" s="170"/>
      <c r="AA149" s="80"/>
    </row>
    <row r="150" ht="16.5" customHeight="1">
      <c r="A150" s="48" t="str">
        <f t="shared" ref="A150:E150" si="179">A97</f>
        <v>BND</v>
      </c>
      <c r="B150" s="48" t="str">
        <f t="shared" si="179"/>
        <v>B$</v>
      </c>
      <c r="C150" s="166" t="str">
        <f t="shared" si="179"/>
        <v>汶萊幣</v>
      </c>
      <c r="D150" s="162" t="str">
        <f t="shared" si="179"/>
        <v/>
      </c>
      <c r="E150" s="167">
        <f t="shared" si="179"/>
        <v>0.01</v>
      </c>
      <c r="F150" s="65">
        <f t="shared" ref="F150:Y150" si="180">F97*$AA$111</f>
        <v>0.4</v>
      </c>
      <c r="G150" s="65">
        <f t="shared" si="180"/>
        <v>0.8</v>
      </c>
      <c r="H150" s="65">
        <f t="shared" si="180"/>
        <v>1.2</v>
      </c>
      <c r="I150" s="65">
        <f t="shared" si="180"/>
        <v>1.6</v>
      </c>
      <c r="J150" s="65">
        <f t="shared" si="180"/>
        <v>2</v>
      </c>
      <c r="K150" s="65">
        <f t="shared" si="180"/>
        <v>2.4</v>
      </c>
      <c r="L150" s="65">
        <f t="shared" si="180"/>
        <v>2.8</v>
      </c>
      <c r="M150" s="65">
        <f t="shared" si="180"/>
        <v>3.2</v>
      </c>
      <c r="N150" s="65">
        <f t="shared" si="180"/>
        <v>3.6</v>
      </c>
      <c r="O150" s="65">
        <f t="shared" si="180"/>
        <v>4</v>
      </c>
      <c r="P150" s="65">
        <f t="shared" si="180"/>
        <v>4.8</v>
      </c>
      <c r="Q150" s="65">
        <f t="shared" si="180"/>
        <v>5.6</v>
      </c>
      <c r="R150" s="65">
        <f t="shared" si="180"/>
        <v>6.4</v>
      </c>
      <c r="S150" s="65">
        <f t="shared" si="180"/>
        <v>8</v>
      </c>
      <c r="T150" s="65">
        <f t="shared" si="180"/>
        <v>10</v>
      </c>
      <c r="U150" s="65">
        <f t="shared" si="180"/>
        <v>12</v>
      </c>
      <c r="V150" s="65">
        <f t="shared" si="180"/>
        <v>14</v>
      </c>
      <c r="W150" s="65">
        <f t="shared" si="180"/>
        <v>16</v>
      </c>
      <c r="X150" s="65">
        <f t="shared" si="180"/>
        <v>18</v>
      </c>
      <c r="Y150" s="65">
        <f t="shared" si="180"/>
        <v>20</v>
      </c>
      <c r="Z150" s="170"/>
      <c r="AA150" s="80"/>
    </row>
    <row r="151" ht="16.5" customHeight="1">
      <c r="A151" s="48" t="str">
        <f t="shared" ref="A151:E151" si="181">A98</f>
        <v>COP</v>
      </c>
      <c r="B151" s="48" t="str">
        <f t="shared" si="181"/>
        <v>$</v>
      </c>
      <c r="C151" s="166" t="str">
        <f t="shared" si="181"/>
        <v>哥倫比亞披索</v>
      </c>
      <c r="D151" s="162" t="str">
        <f t="shared" si="181"/>
        <v/>
      </c>
      <c r="E151" s="167">
        <f t="shared" si="181"/>
        <v>5</v>
      </c>
      <c r="F151" s="65">
        <f t="shared" ref="F151:Y151" si="182">F98*$AA$111</f>
        <v>200</v>
      </c>
      <c r="G151" s="65">
        <f t="shared" si="182"/>
        <v>400</v>
      </c>
      <c r="H151" s="65">
        <f t="shared" si="182"/>
        <v>600</v>
      </c>
      <c r="I151" s="65">
        <f t="shared" si="182"/>
        <v>800</v>
      </c>
      <c r="J151" s="65">
        <f t="shared" si="182"/>
        <v>1000</v>
      </c>
      <c r="K151" s="65">
        <f t="shared" si="182"/>
        <v>1400</v>
      </c>
      <c r="L151" s="65">
        <f t="shared" si="182"/>
        <v>2000</v>
      </c>
      <c r="M151" s="65">
        <f t="shared" si="182"/>
        <v>3000</v>
      </c>
      <c r="N151" s="65">
        <f t="shared" si="182"/>
        <v>4000</v>
      </c>
      <c r="O151" s="65">
        <f t="shared" si="182"/>
        <v>5000</v>
      </c>
      <c r="P151" s="65">
        <f t="shared" si="182"/>
        <v>6000</v>
      </c>
      <c r="Q151" s="65">
        <f t="shared" si="182"/>
        <v>7000</v>
      </c>
      <c r="R151" s="65">
        <f t="shared" si="182"/>
        <v>8000</v>
      </c>
      <c r="S151" s="65">
        <f t="shared" si="182"/>
        <v>9000</v>
      </c>
      <c r="T151" s="65">
        <f t="shared" si="182"/>
        <v>10000</v>
      </c>
      <c r="U151" s="65">
        <f t="shared" si="182"/>
        <v>11000</v>
      </c>
      <c r="V151" s="65">
        <f t="shared" si="182"/>
        <v>13000</v>
      </c>
      <c r="W151" s="65">
        <f t="shared" si="182"/>
        <v>15000</v>
      </c>
      <c r="X151" s="65">
        <f t="shared" si="182"/>
        <v>20000</v>
      </c>
      <c r="Y151" s="65">
        <f t="shared" si="182"/>
        <v>25000</v>
      </c>
      <c r="Z151" s="170"/>
      <c r="AA151" s="80"/>
    </row>
    <row r="152" ht="16.5" customHeight="1">
      <c r="A152" s="48" t="str">
        <f t="shared" ref="A152:E152" si="183">A99</f>
        <v>VNDO</v>
      </c>
      <c r="B152" s="48" t="str">
        <f t="shared" si="183"/>
        <v>₫</v>
      </c>
      <c r="C152" s="166" t="str">
        <f t="shared" si="183"/>
        <v>越南盾</v>
      </c>
      <c r="D152" s="162" t="str">
        <f t="shared" si="183"/>
        <v/>
      </c>
      <c r="E152" s="167">
        <f t="shared" si="183"/>
        <v>40</v>
      </c>
      <c r="F152" s="65">
        <f t="shared" ref="F152:Y152" si="184">F99*$AA$111</f>
        <v>1600</v>
      </c>
      <c r="G152" s="65">
        <f t="shared" si="184"/>
        <v>3200</v>
      </c>
      <c r="H152" s="65">
        <f t="shared" si="184"/>
        <v>4800</v>
      </c>
      <c r="I152" s="65">
        <f t="shared" si="184"/>
        <v>6400</v>
      </c>
      <c r="J152" s="65">
        <f t="shared" si="184"/>
        <v>8000</v>
      </c>
      <c r="K152" s="65">
        <f t="shared" si="184"/>
        <v>11200</v>
      </c>
      <c r="L152" s="65">
        <f t="shared" si="184"/>
        <v>16000</v>
      </c>
      <c r="M152" s="65">
        <f t="shared" si="184"/>
        <v>24000</v>
      </c>
      <c r="N152" s="65">
        <f t="shared" si="184"/>
        <v>32000</v>
      </c>
      <c r="O152" s="65">
        <f t="shared" si="184"/>
        <v>40000</v>
      </c>
      <c r="P152" s="65">
        <f t="shared" si="184"/>
        <v>48000</v>
      </c>
      <c r="Q152" s="65">
        <f t="shared" si="184"/>
        <v>56000</v>
      </c>
      <c r="R152" s="65">
        <f t="shared" si="184"/>
        <v>64000</v>
      </c>
      <c r="S152" s="65">
        <f t="shared" si="184"/>
        <v>72000</v>
      </c>
      <c r="T152" s="65">
        <f t="shared" si="184"/>
        <v>80000</v>
      </c>
      <c r="U152" s="65">
        <f t="shared" si="184"/>
        <v>88000</v>
      </c>
      <c r="V152" s="65">
        <f t="shared" si="184"/>
        <v>104000</v>
      </c>
      <c r="W152" s="65">
        <f t="shared" si="184"/>
        <v>120000</v>
      </c>
      <c r="X152" s="65">
        <f t="shared" si="184"/>
        <v>160000</v>
      </c>
      <c r="Y152" s="65">
        <f t="shared" si="184"/>
        <v>200000</v>
      </c>
      <c r="Z152" s="170"/>
      <c r="AA152" s="80"/>
    </row>
    <row r="153" ht="16.5" customHeight="1">
      <c r="A153" s="48" t="str">
        <f t="shared" ref="A153:E153" si="185">A100</f>
        <v>MYRC</v>
      </c>
      <c r="B153" s="48" t="str">
        <f t="shared" si="185"/>
        <v>RM</v>
      </c>
      <c r="C153" s="166" t="str">
        <f t="shared" si="185"/>
        <v>馬來西亞令吉</v>
      </c>
      <c r="D153" s="162">
        <f t="shared" si="185"/>
        <v>0.01</v>
      </c>
      <c r="E153" s="167">
        <f t="shared" si="185"/>
        <v>1</v>
      </c>
      <c r="F153" s="65">
        <f t="shared" ref="F153:Y153" si="186">F100*$AA$111</f>
        <v>40</v>
      </c>
      <c r="G153" s="65">
        <f t="shared" si="186"/>
        <v>80</v>
      </c>
      <c r="H153" s="65">
        <f t="shared" si="186"/>
        <v>120</v>
      </c>
      <c r="I153" s="65">
        <f t="shared" si="186"/>
        <v>160</v>
      </c>
      <c r="J153" s="65">
        <f t="shared" si="186"/>
        <v>200</v>
      </c>
      <c r="K153" s="65">
        <f t="shared" si="186"/>
        <v>280</v>
      </c>
      <c r="L153" s="65">
        <f t="shared" si="186"/>
        <v>400</v>
      </c>
      <c r="M153" s="65">
        <f t="shared" si="186"/>
        <v>600</v>
      </c>
      <c r="N153" s="65">
        <f t="shared" si="186"/>
        <v>800</v>
      </c>
      <c r="O153" s="65">
        <f t="shared" si="186"/>
        <v>1000</v>
      </c>
      <c r="P153" s="65">
        <f t="shared" si="186"/>
        <v>1200</v>
      </c>
      <c r="Q153" s="65">
        <f t="shared" si="186"/>
        <v>1400</v>
      </c>
      <c r="R153" s="65">
        <f t="shared" si="186"/>
        <v>1600</v>
      </c>
      <c r="S153" s="65">
        <f t="shared" si="186"/>
        <v>1800</v>
      </c>
      <c r="T153" s="65">
        <f t="shared" si="186"/>
        <v>2000</v>
      </c>
      <c r="U153" s="65">
        <f t="shared" si="186"/>
        <v>2200</v>
      </c>
      <c r="V153" s="65">
        <f t="shared" si="186"/>
        <v>2600</v>
      </c>
      <c r="W153" s="65">
        <f t="shared" si="186"/>
        <v>3000</v>
      </c>
      <c r="X153" s="65">
        <f t="shared" si="186"/>
        <v>4000</v>
      </c>
      <c r="Y153" s="65">
        <f t="shared" si="186"/>
        <v>5000</v>
      </c>
      <c r="Z153" s="170"/>
      <c r="AA153" s="81"/>
    </row>
    <row r="154" ht="16.5" customHeight="1">
      <c r="A154" s="48" t="str">
        <f t="shared" ref="A154:E154" si="187">A101</f>
        <v>XSD</v>
      </c>
      <c r="B154" s="48" t="str">
        <f t="shared" si="187"/>
        <v/>
      </c>
      <c r="C154" s="166" t="str">
        <f t="shared" si="187"/>
        <v>星幣</v>
      </c>
      <c r="D154" s="162" t="str">
        <f t="shared" si="187"/>
        <v/>
      </c>
      <c r="E154" s="167">
        <f t="shared" si="187"/>
        <v>10</v>
      </c>
      <c r="F154" s="65">
        <f t="shared" ref="F154:Y154" si="188">F101*$AA$111</f>
        <v>400</v>
      </c>
      <c r="G154" s="65">
        <f t="shared" si="188"/>
        <v>800</v>
      </c>
      <c r="H154" s="65">
        <f t="shared" si="188"/>
        <v>1200</v>
      </c>
      <c r="I154" s="65">
        <f t="shared" si="188"/>
        <v>1600</v>
      </c>
      <c r="J154" s="65">
        <f t="shared" si="188"/>
        <v>2000</v>
      </c>
      <c r="K154" s="65">
        <f t="shared" si="188"/>
        <v>2800</v>
      </c>
      <c r="L154" s="65">
        <f t="shared" si="188"/>
        <v>4000</v>
      </c>
      <c r="M154" s="65">
        <f t="shared" si="188"/>
        <v>6000</v>
      </c>
      <c r="N154" s="65">
        <f t="shared" si="188"/>
        <v>8000</v>
      </c>
      <c r="O154" s="65">
        <f t="shared" si="188"/>
        <v>10000</v>
      </c>
      <c r="P154" s="65">
        <f t="shared" si="188"/>
        <v>12000</v>
      </c>
      <c r="Q154" s="65">
        <f t="shared" si="188"/>
        <v>14000</v>
      </c>
      <c r="R154" s="65">
        <f t="shared" si="188"/>
        <v>16000</v>
      </c>
      <c r="S154" s="65">
        <f t="shared" si="188"/>
        <v>18000</v>
      </c>
      <c r="T154" s="65">
        <f t="shared" si="188"/>
        <v>20000</v>
      </c>
      <c r="U154" s="65">
        <f t="shared" si="188"/>
        <v>22000</v>
      </c>
      <c r="V154" s="65">
        <f t="shared" si="188"/>
        <v>26000</v>
      </c>
      <c r="W154" s="65">
        <f t="shared" si="188"/>
        <v>30000</v>
      </c>
      <c r="X154" s="65">
        <f t="shared" si="188"/>
        <v>40000</v>
      </c>
      <c r="Y154" s="65">
        <f t="shared" si="188"/>
        <v>50000</v>
      </c>
    </row>
    <row r="155" ht="16.5" customHeight="1">
      <c r="A155" s="48" t="str">
        <f t="shared" ref="A155:E155" si="189">A102</f>
        <v>DZD</v>
      </c>
      <c r="B155" s="48" t="str">
        <f t="shared" si="189"/>
        <v>دج</v>
      </c>
      <c r="C155" s="166" t="str">
        <f t="shared" si="189"/>
        <v>阿爾及利亞第納爾</v>
      </c>
      <c r="D155" s="162" t="str">
        <f t="shared" si="189"/>
        <v/>
      </c>
      <c r="E155" s="167">
        <f t="shared" si="189"/>
        <v>0.2</v>
      </c>
      <c r="F155" s="65">
        <f t="shared" ref="F155:Y155" si="190">F102*$AA$111</f>
        <v>8</v>
      </c>
      <c r="G155" s="65">
        <f t="shared" si="190"/>
        <v>16</v>
      </c>
      <c r="H155" s="65">
        <f t="shared" si="190"/>
        <v>24</v>
      </c>
      <c r="I155" s="65">
        <f t="shared" si="190"/>
        <v>32</v>
      </c>
      <c r="J155" s="65">
        <f t="shared" si="190"/>
        <v>40</v>
      </c>
      <c r="K155" s="65">
        <f t="shared" si="190"/>
        <v>56</v>
      </c>
      <c r="L155" s="65">
        <f t="shared" si="190"/>
        <v>80</v>
      </c>
      <c r="M155" s="65">
        <f t="shared" si="190"/>
        <v>120</v>
      </c>
      <c r="N155" s="65">
        <f t="shared" si="190"/>
        <v>160</v>
      </c>
      <c r="O155" s="65">
        <f t="shared" si="190"/>
        <v>200</v>
      </c>
      <c r="P155" s="65">
        <f t="shared" si="190"/>
        <v>240</v>
      </c>
      <c r="Q155" s="65">
        <f t="shared" si="190"/>
        <v>280</v>
      </c>
      <c r="R155" s="65">
        <f t="shared" si="190"/>
        <v>320</v>
      </c>
      <c r="S155" s="65">
        <f t="shared" si="190"/>
        <v>360</v>
      </c>
      <c r="T155" s="65">
        <f t="shared" si="190"/>
        <v>400</v>
      </c>
      <c r="U155" s="65">
        <f t="shared" si="190"/>
        <v>440</v>
      </c>
      <c r="V155" s="65">
        <f t="shared" si="190"/>
        <v>520</v>
      </c>
      <c r="W155" s="65">
        <f t="shared" si="190"/>
        <v>600</v>
      </c>
      <c r="X155" s="65">
        <f t="shared" si="190"/>
        <v>800</v>
      </c>
      <c r="Y155" s="65">
        <f t="shared" si="190"/>
        <v>1000</v>
      </c>
    </row>
    <row r="156" ht="16.5" customHeight="1">
      <c r="A156" s="48" t="str">
        <f t="shared" ref="A156:E156" si="191">A103</f>
        <v>MAD</v>
      </c>
      <c r="B156" s="48" t="str">
        <f t="shared" si="191"/>
        <v>DH</v>
      </c>
      <c r="C156" s="166" t="str">
        <f t="shared" si="191"/>
        <v>摩洛哥迪拉姆</v>
      </c>
      <c r="D156" s="162" t="str">
        <f t="shared" si="191"/>
        <v/>
      </c>
      <c r="E156" s="167">
        <f t="shared" si="191"/>
        <v>0.02</v>
      </c>
      <c r="F156" s="65">
        <f t="shared" ref="F156:Y156" si="192">F103*$AA$111</f>
        <v>0.8</v>
      </c>
      <c r="G156" s="65">
        <f t="shared" si="192"/>
        <v>1.6</v>
      </c>
      <c r="H156" s="65">
        <f t="shared" si="192"/>
        <v>2.4</v>
      </c>
      <c r="I156" s="65">
        <f t="shared" si="192"/>
        <v>3.2</v>
      </c>
      <c r="J156" s="65">
        <f t="shared" si="192"/>
        <v>4</v>
      </c>
      <c r="K156" s="65">
        <f t="shared" si="192"/>
        <v>5.6</v>
      </c>
      <c r="L156" s="65">
        <f t="shared" si="192"/>
        <v>8</v>
      </c>
      <c r="M156" s="65">
        <f t="shared" si="192"/>
        <v>12</v>
      </c>
      <c r="N156" s="65">
        <f t="shared" si="192"/>
        <v>16</v>
      </c>
      <c r="O156" s="65">
        <f t="shared" si="192"/>
        <v>20</v>
      </c>
      <c r="P156" s="65">
        <f t="shared" si="192"/>
        <v>24</v>
      </c>
      <c r="Q156" s="65">
        <f t="shared" si="192"/>
        <v>28</v>
      </c>
      <c r="R156" s="65">
        <f t="shared" si="192"/>
        <v>32</v>
      </c>
      <c r="S156" s="65">
        <f t="shared" si="192"/>
        <v>36</v>
      </c>
      <c r="T156" s="65">
        <f t="shared" si="192"/>
        <v>40</v>
      </c>
      <c r="U156" s="65">
        <f t="shared" si="192"/>
        <v>44</v>
      </c>
      <c r="V156" s="65">
        <f t="shared" si="192"/>
        <v>52</v>
      </c>
      <c r="W156" s="65">
        <f t="shared" si="192"/>
        <v>60</v>
      </c>
      <c r="X156" s="65">
        <f t="shared" si="192"/>
        <v>80</v>
      </c>
      <c r="Y156" s="65">
        <f t="shared" si="192"/>
        <v>100</v>
      </c>
    </row>
    <row r="157" ht="16.5" customHeight="1">
      <c r="A157" s="48" t="str">
        <f t="shared" ref="A157:E157" si="193">A104</f>
        <v>FRF</v>
      </c>
      <c r="B157" s="48" t="str">
        <f t="shared" si="193"/>
        <v>₣</v>
      </c>
      <c r="C157" s="166" t="str">
        <f t="shared" si="193"/>
        <v>法國法郎</v>
      </c>
      <c r="D157" s="162" t="str">
        <f t="shared" si="193"/>
        <v/>
      </c>
      <c r="E157" s="167">
        <f t="shared" si="193"/>
        <v>0.01</v>
      </c>
      <c r="F157" s="65">
        <f t="shared" ref="F157:Y157" si="194">F104*$AA$111</f>
        <v>0.4</v>
      </c>
      <c r="G157" s="65">
        <f t="shared" si="194"/>
        <v>0.8</v>
      </c>
      <c r="H157" s="65">
        <f t="shared" si="194"/>
        <v>1.2</v>
      </c>
      <c r="I157" s="65">
        <f t="shared" si="194"/>
        <v>1.6</v>
      </c>
      <c r="J157" s="65">
        <f t="shared" si="194"/>
        <v>2</v>
      </c>
      <c r="K157" s="65">
        <f t="shared" si="194"/>
        <v>2.8</v>
      </c>
      <c r="L157" s="65">
        <f t="shared" si="194"/>
        <v>4</v>
      </c>
      <c r="M157" s="65">
        <f t="shared" si="194"/>
        <v>6</v>
      </c>
      <c r="N157" s="65">
        <f t="shared" si="194"/>
        <v>8</v>
      </c>
      <c r="O157" s="65">
        <f t="shared" si="194"/>
        <v>10</v>
      </c>
      <c r="P157" s="65">
        <f t="shared" si="194"/>
        <v>12</v>
      </c>
      <c r="Q157" s="65">
        <f t="shared" si="194"/>
        <v>14</v>
      </c>
      <c r="R157" s="65">
        <f t="shared" si="194"/>
        <v>16</v>
      </c>
      <c r="S157" s="65">
        <f t="shared" si="194"/>
        <v>18</v>
      </c>
      <c r="T157" s="65">
        <f t="shared" si="194"/>
        <v>20</v>
      </c>
      <c r="U157" s="65">
        <f t="shared" si="194"/>
        <v>22</v>
      </c>
      <c r="V157" s="65">
        <f t="shared" si="194"/>
        <v>26</v>
      </c>
      <c r="W157" s="65">
        <f t="shared" si="194"/>
        <v>30</v>
      </c>
      <c r="X157" s="65">
        <f t="shared" si="194"/>
        <v>40</v>
      </c>
      <c r="Y157" s="65">
        <f t="shared" si="194"/>
        <v>50</v>
      </c>
    </row>
    <row r="158" ht="16.5" customHeight="1">
      <c r="A158" s="48" t="str">
        <f t="shared" ref="A158:E158" si="195">A105</f>
        <v>GHS</v>
      </c>
      <c r="B158" s="48" t="str">
        <f t="shared" si="195"/>
        <v>Gp</v>
      </c>
      <c r="C158" s="166" t="str">
        <f t="shared" si="195"/>
        <v>迦納塞地</v>
      </c>
      <c r="D158" s="162" t="str">
        <f t="shared" si="195"/>
        <v/>
      </c>
      <c r="E158" s="167">
        <f t="shared" si="195"/>
        <v>0.02</v>
      </c>
      <c r="F158" s="65">
        <f t="shared" ref="F158:Y158" si="196">F105*$AA$111</f>
        <v>0.8</v>
      </c>
      <c r="G158" s="65">
        <f t="shared" si="196"/>
        <v>1.6</v>
      </c>
      <c r="H158" s="65">
        <f t="shared" si="196"/>
        <v>2.4</v>
      </c>
      <c r="I158" s="65">
        <f t="shared" si="196"/>
        <v>3.2</v>
      </c>
      <c r="J158" s="65">
        <f t="shared" si="196"/>
        <v>4</v>
      </c>
      <c r="K158" s="65">
        <f t="shared" si="196"/>
        <v>5.6</v>
      </c>
      <c r="L158" s="65">
        <f t="shared" si="196"/>
        <v>8</v>
      </c>
      <c r="M158" s="65">
        <f t="shared" si="196"/>
        <v>12</v>
      </c>
      <c r="N158" s="65">
        <f t="shared" si="196"/>
        <v>16</v>
      </c>
      <c r="O158" s="65">
        <f t="shared" si="196"/>
        <v>20</v>
      </c>
      <c r="P158" s="65">
        <f t="shared" si="196"/>
        <v>24</v>
      </c>
      <c r="Q158" s="65">
        <f t="shared" si="196"/>
        <v>28</v>
      </c>
      <c r="R158" s="65">
        <f t="shared" si="196"/>
        <v>32</v>
      </c>
      <c r="S158" s="65">
        <f t="shared" si="196"/>
        <v>36</v>
      </c>
      <c r="T158" s="65">
        <f t="shared" si="196"/>
        <v>40</v>
      </c>
      <c r="U158" s="65">
        <f t="shared" si="196"/>
        <v>44</v>
      </c>
      <c r="V158" s="65">
        <f t="shared" si="196"/>
        <v>52</v>
      </c>
      <c r="W158" s="65">
        <f t="shared" si="196"/>
        <v>60</v>
      </c>
      <c r="X158" s="65">
        <f t="shared" si="196"/>
        <v>80</v>
      </c>
      <c r="Y158" s="65">
        <f t="shared" si="196"/>
        <v>100</v>
      </c>
    </row>
    <row r="159" ht="16.5" customHeight="1">
      <c r="A159" s="48" t="str">
        <f t="shared" ref="A159:E159" si="197">A106</f>
        <v>RCC</v>
      </c>
      <c r="B159" s="48" t="str">
        <f t="shared" si="197"/>
        <v/>
      </c>
      <c r="C159" s="166" t="str">
        <f t="shared" si="197"/>
        <v>RCC幣</v>
      </c>
      <c r="D159" s="162" t="str">
        <f t="shared" si="197"/>
        <v/>
      </c>
      <c r="E159" s="167">
        <f t="shared" si="197"/>
        <v>0.01</v>
      </c>
      <c r="F159" s="65">
        <f t="shared" ref="F159:Y159" si="198">F106*$AA$111</f>
        <v>0.4</v>
      </c>
      <c r="G159" s="65">
        <f t="shared" si="198"/>
        <v>0.8</v>
      </c>
      <c r="H159" s="65">
        <f t="shared" si="198"/>
        <v>1.2</v>
      </c>
      <c r="I159" s="65">
        <f t="shared" si="198"/>
        <v>1.6</v>
      </c>
      <c r="J159" s="65">
        <f t="shared" si="198"/>
        <v>2</v>
      </c>
      <c r="K159" s="65">
        <f t="shared" si="198"/>
        <v>2.4</v>
      </c>
      <c r="L159" s="65">
        <f t="shared" si="198"/>
        <v>2.8</v>
      </c>
      <c r="M159" s="65">
        <f t="shared" si="198"/>
        <v>3.2</v>
      </c>
      <c r="N159" s="65">
        <f t="shared" si="198"/>
        <v>3.6</v>
      </c>
      <c r="O159" s="65">
        <f t="shared" si="198"/>
        <v>4</v>
      </c>
      <c r="P159" s="65">
        <f t="shared" si="198"/>
        <v>4.8</v>
      </c>
      <c r="Q159" s="65">
        <f t="shared" si="198"/>
        <v>5.6</v>
      </c>
      <c r="R159" s="65">
        <f t="shared" si="198"/>
        <v>6.4</v>
      </c>
      <c r="S159" s="65">
        <f t="shared" si="198"/>
        <v>8</v>
      </c>
      <c r="T159" s="65">
        <f t="shared" si="198"/>
        <v>10</v>
      </c>
      <c r="U159" s="65">
        <f t="shared" si="198"/>
        <v>12</v>
      </c>
      <c r="V159" s="65">
        <f t="shared" si="198"/>
        <v>14</v>
      </c>
      <c r="W159" s="65">
        <f t="shared" si="198"/>
        <v>16</v>
      </c>
      <c r="X159" s="65">
        <f t="shared" si="198"/>
        <v>18</v>
      </c>
      <c r="Y159" s="65">
        <f t="shared" si="198"/>
        <v>20</v>
      </c>
    </row>
    <row r="160" ht="16.5" customHeight="1">
      <c r="A160" s="48" t="str">
        <f t="shared" ref="A160:E160" si="199">A107</f>
        <v>KBB</v>
      </c>
      <c r="B160" s="48" t="str">
        <f t="shared" si="199"/>
        <v/>
      </c>
      <c r="C160" s="166" t="str">
        <f t="shared" si="199"/>
        <v>爸幣</v>
      </c>
      <c r="D160" s="162" t="str">
        <f t="shared" si="199"/>
        <v/>
      </c>
      <c r="E160" s="167">
        <f t="shared" si="199"/>
        <v>0.5</v>
      </c>
      <c r="F160" s="65">
        <f t="shared" ref="F160:Y160" si="200">F107*$AA$111</f>
        <v>20</v>
      </c>
      <c r="G160" s="65">
        <f t="shared" si="200"/>
        <v>40</v>
      </c>
      <c r="H160" s="65">
        <f t="shared" si="200"/>
        <v>60</v>
      </c>
      <c r="I160" s="65">
        <f t="shared" si="200"/>
        <v>80</v>
      </c>
      <c r="J160" s="65">
        <f t="shared" si="200"/>
        <v>100</v>
      </c>
      <c r="K160" s="65">
        <f t="shared" si="200"/>
        <v>140</v>
      </c>
      <c r="L160" s="65">
        <f t="shared" si="200"/>
        <v>200</v>
      </c>
      <c r="M160" s="65">
        <f t="shared" si="200"/>
        <v>300</v>
      </c>
      <c r="N160" s="65">
        <f t="shared" si="200"/>
        <v>400</v>
      </c>
      <c r="O160" s="65">
        <f t="shared" si="200"/>
        <v>500</v>
      </c>
      <c r="P160" s="65">
        <f t="shared" si="200"/>
        <v>600</v>
      </c>
      <c r="Q160" s="65">
        <f t="shared" si="200"/>
        <v>700</v>
      </c>
      <c r="R160" s="65">
        <f t="shared" si="200"/>
        <v>800</v>
      </c>
      <c r="S160" s="65">
        <f t="shared" si="200"/>
        <v>900</v>
      </c>
      <c r="T160" s="65">
        <f t="shared" si="200"/>
        <v>1000</v>
      </c>
      <c r="U160" s="65">
        <f t="shared" si="200"/>
        <v>1100</v>
      </c>
      <c r="V160" s="65">
        <f t="shared" si="200"/>
        <v>1300</v>
      </c>
      <c r="W160" s="65">
        <f t="shared" si="200"/>
        <v>1500</v>
      </c>
      <c r="X160" s="65">
        <f t="shared" si="200"/>
        <v>2000</v>
      </c>
      <c r="Y160" s="65">
        <f t="shared" si="200"/>
        <v>2500</v>
      </c>
    </row>
    <row r="161" ht="16.5" customHeight="1">
      <c r="A161" s="48" t="str">
        <f t="shared" ref="A161:E161" si="201">A108</f>
        <v>XSMY</v>
      </c>
      <c r="B161" s="48" t="str">
        <f t="shared" si="201"/>
        <v/>
      </c>
      <c r="C161" s="166" t="str">
        <f t="shared" si="201"/>
        <v>星城馬來西亞</v>
      </c>
      <c r="D161" s="162" t="str">
        <f t="shared" si="201"/>
        <v/>
      </c>
      <c r="E161" s="167">
        <f t="shared" si="201"/>
        <v>10</v>
      </c>
      <c r="F161" s="65">
        <f t="shared" ref="F161:Y161" si="202">F108*$AA$111</f>
        <v>400</v>
      </c>
      <c r="G161" s="65">
        <f t="shared" si="202"/>
        <v>800</v>
      </c>
      <c r="H161" s="65">
        <f t="shared" si="202"/>
        <v>1200</v>
      </c>
      <c r="I161" s="65">
        <f t="shared" si="202"/>
        <v>1600</v>
      </c>
      <c r="J161" s="65">
        <f t="shared" si="202"/>
        <v>2000</v>
      </c>
      <c r="K161" s="65">
        <f t="shared" si="202"/>
        <v>2800</v>
      </c>
      <c r="L161" s="65">
        <f t="shared" si="202"/>
        <v>4000</v>
      </c>
      <c r="M161" s="65">
        <f t="shared" si="202"/>
        <v>6000</v>
      </c>
      <c r="N161" s="65">
        <f t="shared" si="202"/>
        <v>8000</v>
      </c>
      <c r="O161" s="65">
        <f t="shared" si="202"/>
        <v>10000</v>
      </c>
      <c r="P161" s="65">
        <f t="shared" si="202"/>
        <v>12000</v>
      </c>
      <c r="Q161" s="65">
        <f t="shared" si="202"/>
        <v>14000</v>
      </c>
      <c r="R161" s="65">
        <f t="shared" si="202"/>
        <v>16000</v>
      </c>
      <c r="S161" s="65">
        <f t="shared" si="202"/>
        <v>18000</v>
      </c>
      <c r="T161" s="65">
        <f t="shared" si="202"/>
        <v>20000</v>
      </c>
      <c r="U161" s="65">
        <f t="shared" si="202"/>
        <v>22000</v>
      </c>
      <c r="V161" s="65">
        <f t="shared" si="202"/>
        <v>26000</v>
      </c>
      <c r="W161" s="65">
        <f t="shared" si="202"/>
        <v>30000</v>
      </c>
      <c r="X161" s="65">
        <f t="shared" si="202"/>
        <v>40000</v>
      </c>
      <c r="Y161" s="65">
        <f t="shared" si="202"/>
        <v>50000</v>
      </c>
    </row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</sheetData>
  <mergeCells count="11">
    <mergeCell ref="AA5:AA36"/>
    <mergeCell ref="AA58:AA100"/>
    <mergeCell ref="AA112:AA153"/>
    <mergeCell ref="A1:A2"/>
    <mergeCell ref="B1:B2"/>
    <mergeCell ref="C1:C2"/>
    <mergeCell ref="D1:D2"/>
    <mergeCell ref="E1:E2"/>
    <mergeCell ref="A4:AA4"/>
    <mergeCell ref="A57:AA57"/>
    <mergeCell ref="A110:AA110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6" width="7.22"/>
    <col customWidth="1" min="7" max="12" width="8.0"/>
    <col customWidth="1" min="13" max="24" width="8.78"/>
    <col customWidth="1" min="25" max="25" width="9.67"/>
    <col customWidth="1" min="26" max="26" width="6.33"/>
    <col customWidth="1" min="27" max="27" width="9.33"/>
    <col customWidth="1" min="28" max="35" width="6.33"/>
  </cols>
  <sheetData>
    <row r="1" ht="16.5" customHeight="1">
      <c r="A1" s="30"/>
      <c r="B1" s="31"/>
      <c r="C1" s="32" t="s">
        <v>43</v>
      </c>
      <c r="D1" s="33">
        <v>1.0</v>
      </c>
      <c r="E1" s="32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</row>
    <row r="2" ht="16.5" customHeight="1">
      <c r="A2" s="35"/>
      <c r="B2" s="36"/>
      <c r="C2" s="36"/>
      <c r="D2" s="36"/>
      <c r="E2" s="36"/>
      <c r="F2" s="126">
        <f>'賓果 - 1分4卡'!F2</f>
        <v>10</v>
      </c>
      <c r="G2" s="126">
        <f>'賓果 - 1分4卡'!G2</f>
        <v>20</v>
      </c>
      <c r="H2" s="126">
        <f>'賓果 - 1分4卡'!H2</f>
        <v>30</v>
      </c>
      <c r="I2" s="126">
        <f>'賓果 - 1分4卡'!I2</f>
        <v>40</v>
      </c>
      <c r="J2" s="126">
        <f>'賓果 - 1分4卡'!J2</f>
        <v>50</v>
      </c>
      <c r="K2" s="126">
        <f>'賓果 - 1分4卡'!K2</f>
        <v>60</v>
      </c>
      <c r="L2" s="126">
        <f>'賓果 - 1分4卡'!L2</f>
        <v>70</v>
      </c>
      <c r="M2" s="126">
        <f>'賓果 - 1分4卡'!M2</f>
        <v>80</v>
      </c>
      <c r="N2" s="126">
        <f>'賓果 - 1分4卡'!N2</f>
        <v>90</v>
      </c>
      <c r="O2" s="126">
        <f>'賓果 - 1分4卡'!O2</f>
        <v>100</v>
      </c>
      <c r="P2" s="126">
        <f>'賓果 - 1分4卡'!P2</f>
        <v>120</v>
      </c>
      <c r="Q2" s="126">
        <f>'賓果 - 1分4卡'!Q2</f>
        <v>140</v>
      </c>
      <c r="R2" s="126">
        <f>'賓果 - 1分4卡'!R2</f>
        <v>150</v>
      </c>
      <c r="S2" s="126">
        <f>'賓果 - 1分4卡'!S2</f>
        <v>160</v>
      </c>
      <c r="T2" s="126">
        <f>'賓果 - 1分4卡'!T2</f>
        <v>200</v>
      </c>
      <c r="U2" s="126">
        <f>'賓果 - 1分4卡'!U2</f>
        <v>250</v>
      </c>
      <c r="V2" s="126">
        <f>'賓果 - 1分4卡'!V2</f>
        <v>300</v>
      </c>
      <c r="W2" s="126">
        <f>'賓果 - 1分4卡'!W2</f>
        <v>350</v>
      </c>
      <c r="X2" s="126">
        <f>'賓果 - 1分4卡'!X2</f>
        <v>400</v>
      </c>
      <c r="Y2" s="126">
        <f>'賓果 - 1分4卡'!Y2</f>
        <v>450</v>
      </c>
      <c r="Z2" s="126">
        <f>'賓果 - 1分4卡'!Z2</f>
        <v>500</v>
      </c>
      <c r="AA2" s="126">
        <f>'賓果 - 1分4卡'!AA2</f>
        <v>550</v>
      </c>
      <c r="AB2" s="126">
        <f>'賓果 - 1分4卡'!AB2</f>
        <v>650</v>
      </c>
      <c r="AC2" s="126">
        <f>'賓果 - 1分4卡'!AC2</f>
        <v>750</v>
      </c>
      <c r="AD2" s="126">
        <f>'賓果 - 1分4卡'!AD2</f>
        <v>1000</v>
      </c>
      <c r="AE2" s="126">
        <f>'賓果 - 1分4卡'!AE2</f>
        <v>1250</v>
      </c>
      <c r="AF2" s="126">
        <f>'賓果 - 1分4卡'!AF2</f>
        <v>2000</v>
      </c>
      <c r="AG2" s="126">
        <f>'賓果 - 1分4卡'!AG2</f>
        <v>3000</v>
      </c>
      <c r="AH2" s="126">
        <f>'賓果 - 1分4卡'!AH2</f>
        <v>4000</v>
      </c>
      <c r="AI2" s="126">
        <f>'賓果 - 1分4卡'!AI2</f>
        <v>5000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ht="17.25" customHeight="1">
      <c r="A5" s="74" t="s">
        <v>45</v>
      </c>
      <c r="B5" s="50" t="s">
        <v>46</v>
      </c>
      <c r="C5" s="50" t="s">
        <v>47</v>
      </c>
      <c r="D5" s="50" t="s">
        <v>48</v>
      </c>
      <c r="E5" s="5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AA5" s="159" t="s">
        <v>70</v>
      </c>
    </row>
    <row r="6" ht="17.25" customHeight="1">
      <c r="A6" s="48" t="str">
        <f>'試算-賓果'!A20</f>
        <v>THB</v>
      </c>
      <c r="B6" s="50" t="str">
        <f>'試算-賓果'!B20</f>
        <v>฿</v>
      </c>
      <c r="C6" s="160" t="str">
        <f>'試算-賓果'!C20</f>
        <v>泰銖</v>
      </c>
      <c r="D6" s="50" t="str">
        <f>IF('試算-SLOT'!D6=1,"",'試算-SLOT'!D6)</f>
        <v/>
      </c>
      <c r="E6" s="50">
        <f>'試算-賓果'!K20</f>
        <v>0.05</v>
      </c>
      <c r="F6" s="50">
        <v>1.0</v>
      </c>
      <c r="G6" s="50">
        <v>2.0</v>
      </c>
      <c r="H6" s="50">
        <v>3.0</v>
      </c>
      <c r="I6" s="50">
        <v>4.0</v>
      </c>
      <c r="J6" s="50">
        <v>5.0</v>
      </c>
      <c r="K6" s="50">
        <v>7.0</v>
      </c>
      <c r="L6" s="50">
        <v>10.0</v>
      </c>
      <c r="M6" s="50">
        <v>13.0</v>
      </c>
      <c r="N6" s="50">
        <v>15.0</v>
      </c>
      <c r="O6" s="50">
        <v>16.0</v>
      </c>
      <c r="P6" s="50">
        <v>17.0</v>
      </c>
      <c r="Q6" s="50">
        <v>18.0</v>
      </c>
      <c r="R6" s="50">
        <v>19.0</v>
      </c>
      <c r="S6" s="50">
        <v>20.0</v>
      </c>
      <c r="T6" s="50">
        <v>21.0</v>
      </c>
      <c r="U6" s="50">
        <v>22.0</v>
      </c>
      <c r="V6" s="50">
        <v>23.0</v>
      </c>
      <c r="W6" s="50">
        <v>24.0</v>
      </c>
      <c r="X6" s="50">
        <v>25.0</v>
      </c>
      <c r="Y6" s="50">
        <v>26.0</v>
      </c>
      <c r="AA6" s="52"/>
    </row>
    <row r="7" ht="17.25" customHeight="1">
      <c r="A7" s="48" t="str">
        <f>'試算-賓果'!A21</f>
        <v>HKD</v>
      </c>
      <c r="B7" s="50" t="str">
        <f>'試算-賓果'!B21</f>
        <v>HK$</v>
      </c>
      <c r="C7" s="160" t="str">
        <f>'試算-賓果'!C21</f>
        <v>港幣</v>
      </c>
      <c r="D7" s="50" t="str">
        <f>IF('試算-SLOT'!D7=1,"",'試算-SLOT'!D7)</f>
        <v/>
      </c>
      <c r="E7" s="50">
        <f>'試算-賓果'!K21</f>
        <v>0.01</v>
      </c>
      <c r="F7" s="50">
        <v>1.0</v>
      </c>
      <c r="G7" s="50">
        <v>2.0</v>
      </c>
      <c r="H7" s="50">
        <v>3.0</v>
      </c>
      <c r="I7" s="50">
        <v>4.0</v>
      </c>
      <c r="J7" s="50">
        <v>5.0</v>
      </c>
      <c r="K7" s="50">
        <v>7.0</v>
      </c>
      <c r="L7" s="50">
        <v>10.0</v>
      </c>
      <c r="M7" s="50">
        <v>13.0</v>
      </c>
      <c r="N7" s="50">
        <v>15.0</v>
      </c>
      <c r="O7" s="50">
        <v>16.0</v>
      </c>
      <c r="P7" s="50">
        <v>17.0</v>
      </c>
      <c r="Q7" s="50">
        <v>18.0</v>
      </c>
      <c r="R7" s="50">
        <v>19.0</v>
      </c>
      <c r="S7" s="50">
        <v>20.0</v>
      </c>
      <c r="T7" s="50">
        <v>21.0</v>
      </c>
      <c r="U7" s="50">
        <v>22.0</v>
      </c>
      <c r="V7" s="50">
        <v>23.0</v>
      </c>
      <c r="W7" s="50">
        <v>24.0</v>
      </c>
      <c r="X7" s="50">
        <v>25.0</v>
      </c>
      <c r="Y7" s="50">
        <v>26.0</v>
      </c>
      <c r="AA7" s="52"/>
    </row>
    <row r="8" ht="17.25" customHeight="1">
      <c r="A8" s="48" t="str">
        <f>'試算-賓果'!A22</f>
        <v>INR</v>
      </c>
      <c r="B8" s="50" t="str">
        <f>'試算-賓果'!B22</f>
        <v>₹</v>
      </c>
      <c r="C8" s="160" t="str">
        <f>'試算-賓果'!C22</f>
        <v>印度盧比</v>
      </c>
      <c r="D8" s="50" t="str">
        <f>IF('試算-SLOT'!D8=1,"",'試算-SLOT'!D8)</f>
        <v/>
      </c>
      <c r="E8" s="50">
        <f>'試算-賓果'!K22</f>
        <v>0.1</v>
      </c>
      <c r="F8" s="50">
        <v>1.0</v>
      </c>
      <c r="G8" s="50">
        <v>2.0</v>
      </c>
      <c r="H8" s="50">
        <v>3.0</v>
      </c>
      <c r="I8" s="50">
        <v>4.0</v>
      </c>
      <c r="J8" s="50">
        <v>5.0</v>
      </c>
      <c r="K8" s="50">
        <v>7.0</v>
      </c>
      <c r="L8" s="50">
        <v>10.0</v>
      </c>
      <c r="M8" s="50">
        <v>13.0</v>
      </c>
      <c r="N8" s="50">
        <v>15.0</v>
      </c>
      <c r="O8" s="50">
        <v>16.0</v>
      </c>
      <c r="P8" s="50">
        <v>17.0</v>
      </c>
      <c r="Q8" s="50">
        <v>18.0</v>
      </c>
      <c r="R8" s="50">
        <v>19.0</v>
      </c>
      <c r="S8" s="50">
        <v>20.0</v>
      </c>
      <c r="T8" s="50">
        <v>21.0</v>
      </c>
      <c r="U8" s="50">
        <v>22.0</v>
      </c>
      <c r="V8" s="50">
        <v>23.0</v>
      </c>
      <c r="W8" s="50">
        <v>24.0</v>
      </c>
      <c r="X8" s="50">
        <v>25.0</v>
      </c>
      <c r="Y8" s="50">
        <v>26.0</v>
      </c>
      <c r="AA8" s="52"/>
    </row>
    <row r="9" ht="17.25" customHeight="1">
      <c r="A9" s="48" t="str">
        <f>'試算-賓果'!A23</f>
        <v>IDR</v>
      </c>
      <c r="B9" s="50" t="str">
        <f>'試算-賓果'!B23</f>
        <v>Rp</v>
      </c>
      <c r="C9" s="160" t="str">
        <f>'試算-賓果'!C23</f>
        <v>印尼盧比(K)</v>
      </c>
      <c r="D9" s="50">
        <f>IF('試算-SLOT'!D9=1,"",'試算-SLOT'!D9)</f>
        <v>1000</v>
      </c>
      <c r="E9" s="50">
        <f>'試算-賓果'!K23</f>
        <v>0.02</v>
      </c>
      <c r="F9" s="50">
        <v>1.0</v>
      </c>
      <c r="G9" s="50">
        <v>2.0</v>
      </c>
      <c r="H9" s="50">
        <v>3.0</v>
      </c>
      <c r="I9" s="50">
        <v>4.0</v>
      </c>
      <c r="J9" s="50">
        <v>5.0</v>
      </c>
      <c r="K9" s="50">
        <v>7.0</v>
      </c>
      <c r="L9" s="50">
        <v>10.0</v>
      </c>
      <c r="M9" s="50">
        <v>13.0</v>
      </c>
      <c r="N9" s="50">
        <v>15.0</v>
      </c>
      <c r="O9" s="50">
        <v>16.0</v>
      </c>
      <c r="P9" s="50">
        <v>17.0</v>
      </c>
      <c r="Q9" s="50">
        <v>18.0</v>
      </c>
      <c r="R9" s="50">
        <v>19.0</v>
      </c>
      <c r="S9" s="50">
        <v>20.0</v>
      </c>
      <c r="T9" s="50">
        <v>21.0</v>
      </c>
      <c r="U9" s="50">
        <v>22.0</v>
      </c>
      <c r="V9" s="50">
        <v>23.0</v>
      </c>
      <c r="W9" s="50">
        <v>24.0</v>
      </c>
      <c r="X9" s="50">
        <v>25.0</v>
      </c>
      <c r="Y9" s="50">
        <v>26.0</v>
      </c>
      <c r="AA9" s="52"/>
    </row>
    <row r="10" ht="17.25" customHeight="1">
      <c r="A10" s="48" t="str">
        <f>'試算-賓果'!A24</f>
        <v>VND</v>
      </c>
      <c r="B10" s="50" t="str">
        <f>'試算-賓果'!B24</f>
        <v>₫</v>
      </c>
      <c r="C10" s="160" t="str">
        <f>'試算-賓果'!C24</f>
        <v>越南盾(K)</v>
      </c>
      <c r="D10" s="50">
        <f>IF('試算-SLOT'!D10=1,"",'試算-SLOT'!D10)</f>
        <v>1000</v>
      </c>
      <c r="E10" s="50">
        <f>'試算-賓果'!K24</f>
        <v>0.04</v>
      </c>
      <c r="F10" s="50">
        <v>1.0</v>
      </c>
      <c r="G10" s="50">
        <v>2.0</v>
      </c>
      <c r="H10" s="50">
        <v>3.0</v>
      </c>
      <c r="I10" s="50">
        <v>4.0</v>
      </c>
      <c r="J10" s="50">
        <v>5.0</v>
      </c>
      <c r="K10" s="50">
        <v>7.0</v>
      </c>
      <c r="L10" s="50">
        <v>10.0</v>
      </c>
      <c r="M10" s="50">
        <v>13.0</v>
      </c>
      <c r="N10" s="50">
        <v>15.0</v>
      </c>
      <c r="O10" s="50">
        <v>16.0</v>
      </c>
      <c r="P10" s="50">
        <v>17.0</v>
      </c>
      <c r="Q10" s="50">
        <v>18.0</v>
      </c>
      <c r="R10" s="50">
        <v>19.0</v>
      </c>
      <c r="S10" s="50">
        <v>20.0</v>
      </c>
      <c r="T10" s="50">
        <v>21.0</v>
      </c>
      <c r="U10" s="50">
        <v>22.0</v>
      </c>
      <c r="V10" s="50">
        <v>23.0</v>
      </c>
      <c r="W10" s="50">
        <v>24.0</v>
      </c>
      <c r="X10" s="50">
        <v>25.0</v>
      </c>
      <c r="Y10" s="50">
        <v>26.0</v>
      </c>
      <c r="AA10" s="52"/>
    </row>
    <row r="11" ht="17.25" customHeight="1">
      <c r="A11" s="48" t="str">
        <f>'試算-賓果'!A25</f>
        <v>MYR</v>
      </c>
      <c r="B11" s="50" t="str">
        <f>'試算-賓果'!B25</f>
        <v>RM</v>
      </c>
      <c r="C11" s="160" t="str">
        <f>'試算-賓果'!C25</f>
        <v>馬來西亞令吉</v>
      </c>
      <c r="D11" s="50" t="str">
        <f>IF('試算-SLOT'!D11=1,"",'試算-SLOT'!D11)</f>
        <v/>
      </c>
      <c r="E11" s="50">
        <f>'試算-賓果'!K25</f>
        <v>0.01</v>
      </c>
      <c r="F11" s="50">
        <v>1.0</v>
      </c>
      <c r="G11" s="50">
        <v>2.0</v>
      </c>
      <c r="H11" s="50">
        <v>3.0</v>
      </c>
      <c r="I11" s="50">
        <v>4.0</v>
      </c>
      <c r="J11" s="50">
        <v>5.0</v>
      </c>
      <c r="K11" s="50">
        <v>7.0</v>
      </c>
      <c r="L11" s="50">
        <v>10.0</v>
      </c>
      <c r="M11" s="50">
        <v>13.0</v>
      </c>
      <c r="N11" s="50">
        <v>15.0</v>
      </c>
      <c r="O11" s="50">
        <v>16.0</v>
      </c>
      <c r="P11" s="50">
        <v>17.0</v>
      </c>
      <c r="Q11" s="50">
        <v>18.0</v>
      </c>
      <c r="R11" s="50">
        <v>19.0</v>
      </c>
      <c r="S11" s="50">
        <v>20.0</v>
      </c>
      <c r="T11" s="50">
        <v>21.0</v>
      </c>
      <c r="U11" s="50">
        <v>22.0</v>
      </c>
      <c r="V11" s="50">
        <v>23.0</v>
      </c>
      <c r="W11" s="50">
        <v>24.0</v>
      </c>
      <c r="X11" s="50">
        <v>25.0</v>
      </c>
      <c r="Y11" s="50">
        <v>26.0</v>
      </c>
      <c r="AA11" s="52"/>
    </row>
    <row r="12" ht="17.25" customHeight="1">
      <c r="A12" s="82" t="str">
        <f>'試算-賓果'!A26</f>
        <v>SGD</v>
      </c>
      <c r="B12" s="84" t="str">
        <f>'試算-賓果'!B26</f>
        <v>S$</v>
      </c>
      <c r="C12" s="161" t="str">
        <f>'試算-賓果'!C26</f>
        <v>新加坡幣</v>
      </c>
      <c r="D12" s="84" t="str">
        <f>IF('試算-SLOT'!D12=1,"",'試算-SLOT'!D12)</f>
        <v/>
      </c>
      <c r="E12" s="84">
        <f>'試算-賓果'!K26</f>
        <v>0.01</v>
      </c>
      <c r="F12" s="84">
        <v>1.0</v>
      </c>
      <c r="G12" s="84">
        <v>2.0</v>
      </c>
      <c r="H12" s="84">
        <v>3.0</v>
      </c>
      <c r="I12" s="84">
        <v>4.0</v>
      </c>
      <c r="J12" s="84">
        <v>5.0</v>
      </c>
      <c r="K12" s="84">
        <v>6.0</v>
      </c>
      <c r="L12" s="84">
        <v>7.0</v>
      </c>
      <c r="M12" s="84">
        <v>8.0</v>
      </c>
      <c r="N12" s="84">
        <v>9.0</v>
      </c>
      <c r="O12" s="84">
        <v>10.0</v>
      </c>
      <c r="P12" s="84">
        <v>11.0</v>
      </c>
      <c r="Q12" s="84">
        <v>12.0</v>
      </c>
      <c r="R12" s="84">
        <v>14.0</v>
      </c>
      <c r="S12" s="84">
        <v>15.0</v>
      </c>
      <c r="T12" s="84">
        <v>16.0</v>
      </c>
      <c r="U12" s="84">
        <v>17.0</v>
      </c>
      <c r="V12" s="84">
        <v>18.0</v>
      </c>
      <c r="W12" s="84">
        <v>19.0</v>
      </c>
      <c r="X12" s="84">
        <v>20.0</v>
      </c>
      <c r="Y12" s="84">
        <v>21.0</v>
      </c>
      <c r="AA12" s="52"/>
    </row>
    <row r="13" ht="17.25" customHeight="1">
      <c r="A13" s="82" t="str">
        <f>'試算-賓果'!A27</f>
        <v>USD</v>
      </c>
      <c r="B13" s="84" t="str">
        <f>'試算-賓果'!B27</f>
        <v>$</v>
      </c>
      <c r="C13" s="161" t="str">
        <f>'試算-賓果'!C27</f>
        <v>美元</v>
      </c>
      <c r="D13" s="84" t="str">
        <f>IF('試算-SLOT'!D13=1,"",'試算-SLOT'!D13)</f>
        <v/>
      </c>
      <c r="E13" s="84">
        <f>'試算-賓果'!K27</f>
        <v>0.01</v>
      </c>
      <c r="F13" s="84">
        <v>1.0</v>
      </c>
      <c r="G13" s="84">
        <v>2.0</v>
      </c>
      <c r="H13" s="84">
        <v>3.0</v>
      </c>
      <c r="I13" s="84">
        <v>4.0</v>
      </c>
      <c r="J13" s="84">
        <v>5.0</v>
      </c>
      <c r="K13" s="84">
        <v>6.0</v>
      </c>
      <c r="L13" s="84">
        <v>7.0</v>
      </c>
      <c r="M13" s="84">
        <v>8.0</v>
      </c>
      <c r="N13" s="84">
        <v>9.0</v>
      </c>
      <c r="O13" s="84">
        <v>10.0</v>
      </c>
      <c r="P13" s="84">
        <v>11.0</v>
      </c>
      <c r="Q13" s="84">
        <v>12.0</v>
      </c>
      <c r="R13" s="84">
        <v>14.0</v>
      </c>
      <c r="S13" s="84">
        <v>15.0</v>
      </c>
      <c r="T13" s="84">
        <v>16.0</v>
      </c>
      <c r="U13" s="84">
        <v>17.0</v>
      </c>
      <c r="V13" s="84">
        <v>18.0</v>
      </c>
      <c r="W13" s="84">
        <v>19.0</v>
      </c>
      <c r="X13" s="84">
        <v>20.0</v>
      </c>
      <c r="Y13" s="84">
        <v>21.0</v>
      </c>
      <c r="AA13" s="52"/>
    </row>
    <row r="14" ht="17.25" customHeight="1">
      <c r="A14" s="48" t="str">
        <f>'試算-賓果'!A28</f>
        <v>BDT</v>
      </c>
      <c r="B14" s="50" t="str">
        <f>'試算-賓果'!B28</f>
        <v>৳</v>
      </c>
      <c r="C14" s="160" t="str">
        <f>'試算-賓果'!C28</f>
        <v>孟加拉塔卡</v>
      </c>
      <c r="D14" s="50" t="str">
        <f>IF('試算-SLOT'!D14=1,"",'試算-SLOT'!D14)</f>
        <v/>
      </c>
      <c r="E14" s="50">
        <f>'試算-賓果'!K28</f>
        <v>0.1</v>
      </c>
      <c r="F14" s="50">
        <v>1.0</v>
      </c>
      <c r="G14" s="50">
        <v>2.0</v>
      </c>
      <c r="H14" s="50">
        <v>3.0</v>
      </c>
      <c r="I14" s="50">
        <v>4.0</v>
      </c>
      <c r="J14" s="50">
        <v>5.0</v>
      </c>
      <c r="K14" s="50">
        <v>7.0</v>
      </c>
      <c r="L14" s="50">
        <v>10.0</v>
      </c>
      <c r="M14" s="50">
        <v>13.0</v>
      </c>
      <c r="N14" s="50">
        <v>15.0</v>
      </c>
      <c r="O14" s="50">
        <v>16.0</v>
      </c>
      <c r="P14" s="50">
        <v>17.0</v>
      </c>
      <c r="Q14" s="50">
        <v>18.0</v>
      </c>
      <c r="R14" s="50">
        <v>19.0</v>
      </c>
      <c r="S14" s="50">
        <v>20.0</v>
      </c>
      <c r="T14" s="50">
        <v>21.0</v>
      </c>
      <c r="U14" s="50">
        <v>22.0</v>
      </c>
      <c r="V14" s="50">
        <v>23.0</v>
      </c>
      <c r="W14" s="50">
        <v>24.0</v>
      </c>
      <c r="X14" s="50">
        <v>25.0</v>
      </c>
      <c r="Y14" s="50">
        <v>26.0</v>
      </c>
      <c r="AA14" s="52"/>
    </row>
    <row r="15" ht="17.25" customHeight="1">
      <c r="A15" s="48" t="str">
        <f>'試算-賓果'!A29</f>
        <v>PKR</v>
      </c>
      <c r="B15" s="50" t="str">
        <f>'試算-賓果'!B29</f>
        <v>₨</v>
      </c>
      <c r="C15" s="160" t="str">
        <f>'試算-賓果'!C29</f>
        <v>巴基斯坦盧比</v>
      </c>
      <c r="D15" s="50" t="str">
        <f>IF('試算-SLOT'!D15=1,"",'試算-SLOT'!D15)</f>
        <v/>
      </c>
      <c r="E15" s="50">
        <f>'試算-賓果'!K29</f>
        <v>0.25</v>
      </c>
      <c r="F15" s="50">
        <v>1.0</v>
      </c>
      <c r="G15" s="50">
        <v>2.0</v>
      </c>
      <c r="H15" s="50">
        <v>3.0</v>
      </c>
      <c r="I15" s="50">
        <v>4.0</v>
      </c>
      <c r="J15" s="50">
        <v>5.0</v>
      </c>
      <c r="K15" s="50">
        <v>7.0</v>
      </c>
      <c r="L15" s="50">
        <v>10.0</v>
      </c>
      <c r="M15" s="50">
        <v>13.0</v>
      </c>
      <c r="N15" s="50">
        <v>15.0</v>
      </c>
      <c r="O15" s="50">
        <v>16.0</v>
      </c>
      <c r="P15" s="50">
        <v>17.0</v>
      </c>
      <c r="Q15" s="50">
        <v>18.0</v>
      </c>
      <c r="R15" s="50">
        <v>19.0</v>
      </c>
      <c r="S15" s="50">
        <v>20.0</v>
      </c>
      <c r="T15" s="50">
        <v>21.0</v>
      </c>
      <c r="U15" s="50">
        <v>22.0</v>
      </c>
      <c r="V15" s="50">
        <v>23.0</v>
      </c>
      <c r="W15" s="50">
        <v>24.0</v>
      </c>
      <c r="X15" s="50">
        <v>25.0</v>
      </c>
      <c r="Y15" s="50">
        <v>26.0</v>
      </c>
      <c r="AA15" s="52"/>
    </row>
    <row r="16" ht="17.25" customHeight="1">
      <c r="A16" s="82" t="str">
        <f>'試算-賓果'!A30</f>
        <v>MMK</v>
      </c>
      <c r="B16" s="84" t="str">
        <f>'試算-賓果'!B30</f>
        <v>K</v>
      </c>
      <c r="C16" s="161" t="str">
        <f>'試算-賓果'!C30</f>
        <v>緬甸元(K)</v>
      </c>
      <c r="D16" s="84">
        <f>IF('試算-SLOT'!D16=1,"",'試算-SLOT'!D16)</f>
        <v>1000</v>
      </c>
      <c r="E16" s="84">
        <f>'試算-賓果'!K30</f>
        <v>0.01</v>
      </c>
      <c r="F16" s="84">
        <v>1.0</v>
      </c>
      <c r="G16" s="84">
        <v>2.0</v>
      </c>
      <c r="H16" s="84">
        <v>3.0</v>
      </c>
      <c r="I16" s="84">
        <v>4.0</v>
      </c>
      <c r="J16" s="84">
        <v>5.0</v>
      </c>
      <c r="K16" s="84">
        <v>6.0</v>
      </c>
      <c r="L16" s="84">
        <v>7.0</v>
      </c>
      <c r="M16" s="84">
        <v>8.0</v>
      </c>
      <c r="N16" s="84">
        <v>9.0</v>
      </c>
      <c r="O16" s="84">
        <v>10.0</v>
      </c>
      <c r="P16" s="84">
        <v>11.0</v>
      </c>
      <c r="Q16" s="84">
        <v>12.0</v>
      </c>
      <c r="R16" s="84">
        <v>14.0</v>
      </c>
      <c r="S16" s="84">
        <v>15.0</v>
      </c>
      <c r="T16" s="84">
        <v>16.0</v>
      </c>
      <c r="U16" s="84">
        <v>17.0</v>
      </c>
      <c r="V16" s="84">
        <v>18.0</v>
      </c>
      <c r="W16" s="84">
        <v>19.0</v>
      </c>
      <c r="X16" s="84">
        <v>20.0</v>
      </c>
      <c r="Y16" s="84">
        <v>21.0</v>
      </c>
      <c r="AA16" s="52"/>
    </row>
    <row r="17" ht="17.25" customHeight="1">
      <c r="A17" s="82" t="str">
        <f>'試算-賓果'!A31</f>
        <v>MMH</v>
      </c>
      <c r="B17" s="84" t="str">
        <f>'試算-賓果'!B31</f>
        <v>K</v>
      </c>
      <c r="C17" s="161" t="str">
        <f>'試算-賓果'!C31</f>
        <v>緬甸元(H)</v>
      </c>
      <c r="D17" s="84">
        <f>IF('試算-SLOT'!D17=1,"",'試算-SLOT'!D17)</f>
        <v>100</v>
      </c>
      <c r="E17" s="84">
        <f>'試算-賓果'!K31</f>
        <v>0.1</v>
      </c>
      <c r="F17" s="84">
        <v>1.0</v>
      </c>
      <c r="G17" s="84">
        <v>2.0</v>
      </c>
      <c r="H17" s="84">
        <v>3.0</v>
      </c>
      <c r="I17" s="84">
        <v>4.0</v>
      </c>
      <c r="J17" s="84">
        <v>5.0</v>
      </c>
      <c r="K17" s="84">
        <v>6.0</v>
      </c>
      <c r="L17" s="84">
        <v>7.0</v>
      </c>
      <c r="M17" s="84">
        <v>8.0</v>
      </c>
      <c r="N17" s="84">
        <v>9.0</v>
      </c>
      <c r="O17" s="84">
        <v>10.0</v>
      </c>
      <c r="P17" s="84">
        <v>11.0</v>
      </c>
      <c r="Q17" s="84">
        <v>12.0</v>
      </c>
      <c r="R17" s="84">
        <v>14.0</v>
      </c>
      <c r="S17" s="84">
        <v>15.0</v>
      </c>
      <c r="T17" s="84">
        <v>16.0</v>
      </c>
      <c r="U17" s="84">
        <v>17.0</v>
      </c>
      <c r="V17" s="84">
        <v>18.0</v>
      </c>
      <c r="W17" s="84">
        <v>19.0</v>
      </c>
      <c r="X17" s="84">
        <v>20.0</v>
      </c>
      <c r="Y17" s="84">
        <v>21.0</v>
      </c>
      <c r="AA17" s="52"/>
    </row>
    <row r="18" ht="17.25" customHeight="1">
      <c r="A18" s="48" t="str">
        <f>'試算-賓果'!A32</f>
        <v>PHP</v>
      </c>
      <c r="B18" s="50" t="str">
        <f>'試算-賓果'!B32</f>
        <v>₱</v>
      </c>
      <c r="C18" s="160" t="str">
        <f>'試算-賓果'!C32</f>
        <v>菲律賓披索</v>
      </c>
      <c r="D18" s="50" t="str">
        <f>IF('試算-SLOT'!D18=1,"",'試算-SLOT'!D18)</f>
        <v/>
      </c>
      <c r="E18" s="50">
        <f>'試算-賓果'!K32</f>
        <v>0.1</v>
      </c>
      <c r="F18" s="50">
        <v>1.0</v>
      </c>
      <c r="G18" s="50">
        <v>2.0</v>
      </c>
      <c r="H18" s="50">
        <v>3.0</v>
      </c>
      <c r="I18" s="50">
        <v>4.0</v>
      </c>
      <c r="J18" s="50">
        <v>5.0</v>
      </c>
      <c r="K18" s="50">
        <v>7.0</v>
      </c>
      <c r="L18" s="50">
        <v>10.0</v>
      </c>
      <c r="M18" s="50">
        <v>13.0</v>
      </c>
      <c r="N18" s="50">
        <v>15.0</v>
      </c>
      <c r="O18" s="50">
        <v>16.0</v>
      </c>
      <c r="P18" s="50">
        <v>17.0</v>
      </c>
      <c r="Q18" s="50">
        <v>18.0</v>
      </c>
      <c r="R18" s="50">
        <v>19.0</v>
      </c>
      <c r="S18" s="50">
        <v>20.0</v>
      </c>
      <c r="T18" s="50">
        <v>21.0</v>
      </c>
      <c r="U18" s="50">
        <v>22.0</v>
      </c>
      <c r="V18" s="50">
        <v>23.0</v>
      </c>
      <c r="W18" s="50">
        <v>24.0</v>
      </c>
      <c r="X18" s="50">
        <v>25.0</v>
      </c>
      <c r="Y18" s="50">
        <v>26.0</v>
      </c>
      <c r="AA18" s="52"/>
    </row>
    <row r="19" ht="17.25" customHeight="1">
      <c r="A19" s="48" t="str">
        <f>'試算-賓果'!A33</f>
        <v>CNY</v>
      </c>
      <c r="B19" s="50" t="str">
        <f>'試算-賓果'!B33</f>
        <v>￥</v>
      </c>
      <c r="C19" s="160" t="str">
        <f>'試算-賓果'!C33</f>
        <v>人民幣</v>
      </c>
      <c r="D19" s="50" t="str">
        <f>IF('試算-SLOT'!D19=1,"",'試算-SLOT'!D19)</f>
        <v/>
      </c>
      <c r="E19" s="50">
        <f>'試算-賓果'!K33</f>
        <v>0.01</v>
      </c>
      <c r="F19" s="50">
        <v>1.0</v>
      </c>
      <c r="G19" s="50">
        <v>2.0</v>
      </c>
      <c r="H19" s="50">
        <v>3.0</v>
      </c>
      <c r="I19" s="50">
        <v>4.0</v>
      </c>
      <c r="J19" s="50">
        <v>5.0</v>
      </c>
      <c r="K19" s="50">
        <v>7.0</v>
      </c>
      <c r="L19" s="50">
        <v>10.0</v>
      </c>
      <c r="M19" s="50">
        <v>13.0</v>
      </c>
      <c r="N19" s="50">
        <v>15.0</v>
      </c>
      <c r="O19" s="50">
        <v>16.0</v>
      </c>
      <c r="P19" s="50">
        <v>17.0</v>
      </c>
      <c r="Q19" s="50">
        <v>18.0</v>
      </c>
      <c r="R19" s="50">
        <v>19.0</v>
      </c>
      <c r="S19" s="50">
        <v>20.0</v>
      </c>
      <c r="T19" s="50">
        <v>21.0</v>
      </c>
      <c r="U19" s="50">
        <v>22.0</v>
      </c>
      <c r="V19" s="50">
        <v>23.0</v>
      </c>
      <c r="W19" s="50">
        <v>24.0</v>
      </c>
      <c r="X19" s="50">
        <v>25.0</v>
      </c>
      <c r="Y19" s="50">
        <v>26.0</v>
      </c>
      <c r="AA19" s="52"/>
    </row>
    <row r="20" ht="17.25" customHeight="1">
      <c r="A20" s="48" t="str">
        <f>'試算-賓果'!A34</f>
        <v>MXN</v>
      </c>
      <c r="B20" s="50" t="str">
        <f>'試算-賓果'!B34</f>
        <v>Mex$</v>
      </c>
      <c r="C20" s="160" t="str">
        <f>'試算-賓果'!C34</f>
        <v>墨⻄哥披索</v>
      </c>
      <c r="D20" s="50" t="str">
        <f>IF('試算-SLOT'!D20=1,"",'試算-SLOT'!D20)</f>
        <v/>
      </c>
      <c r="E20" s="50">
        <f>'試算-賓果'!K34</f>
        <v>0.02</v>
      </c>
      <c r="F20" s="50">
        <v>1.0</v>
      </c>
      <c r="G20" s="50">
        <v>2.0</v>
      </c>
      <c r="H20" s="50">
        <v>3.0</v>
      </c>
      <c r="I20" s="50">
        <v>4.0</v>
      </c>
      <c r="J20" s="50">
        <v>5.0</v>
      </c>
      <c r="K20" s="50">
        <v>7.0</v>
      </c>
      <c r="L20" s="50">
        <v>10.0</v>
      </c>
      <c r="M20" s="50">
        <v>13.0</v>
      </c>
      <c r="N20" s="50">
        <v>15.0</v>
      </c>
      <c r="O20" s="50">
        <v>16.0</v>
      </c>
      <c r="P20" s="50">
        <v>17.0</v>
      </c>
      <c r="Q20" s="50">
        <v>18.0</v>
      </c>
      <c r="R20" s="50">
        <v>19.0</v>
      </c>
      <c r="S20" s="50">
        <v>20.0</v>
      </c>
      <c r="T20" s="50">
        <v>21.0</v>
      </c>
      <c r="U20" s="50">
        <v>22.0</v>
      </c>
      <c r="V20" s="50">
        <v>23.0</v>
      </c>
      <c r="W20" s="50">
        <v>24.0</v>
      </c>
      <c r="X20" s="50">
        <v>25.0</v>
      </c>
      <c r="Y20" s="50">
        <v>26.0</v>
      </c>
      <c r="AA20" s="52"/>
    </row>
    <row r="21" ht="17.25" customHeight="1">
      <c r="A21" s="48" t="str">
        <f>'試算-賓果'!A35</f>
        <v>BRL</v>
      </c>
      <c r="B21" s="50" t="str">
        <f>'試算-賓果'!B35</f>
        <v>R$</v>
      </c>
      <c r="C21" s="160" t="str">
        <f>'試算-賓果'!C35</f>
        <v>巴西雷亞爾</v>
      </c>
      <c r="D21" s="50" t="str">
        <f>IF('試算-SLOT'!D21=1,"",'試算-SLOT'!D21)</f>
        <v/>
      </c>
      <c r="E21" s="50">
        <f>'試算-賓果'!K35</f>
        <v>0.01</v>
      </c>
      <c r="F21" s="50">
        <v>1.0</v>
      </c>
      <c r="G21" s="50">
        <v>2.0</v>
      </c>
      <c r="H21" s="50">
        <v>3.0</v>
      </c>
      <c r="I21" s="50">
        <v>4.0</v>
      </c>
      <c r="J21" s="50">
        <v>5.0</v>
      </c>
      <c r="K21" s="50">
        <v>7.0</v>
      </c>
      <c r="L21" s="50">
        <v>10.0</v>
      </c>
      <c r="M21" s="50">
        <v>13.0</v>
      </c>
      <c r="N21" s="50">
        <v>15.0</v>
      </c>
      <c r="O21" s="50">
        <v>16.0</v>
      </c>
      <c r="P21" s="50">
        <v>17.0</v>
      </c>
      <c r="Q21" s="50">
        <v>18.0</v>
      </c>
      <c r="R21" s="50">
        <v>19.0</v>
      </c>
      <c r="S21" s="50">
        <v>20.0</v>
      </c>
      <c r="T21" s="50">
        <v>21.0</v>
      </c>
      <c r="U21" s="50">
        <v>22.0</v>
      </c>
      <c r="V21" s="50">
        <v>23.0</v>
      </c>
      <c r="W21" s="50">
        <v>24.0</v>
      </c>
      <c r="X21" s="50">
        <v>25.0</v>
      </c>
      <c r="Y21" s="50">
        <v>26.0</v>
      </c>
      <c r="AA21" s="52"/>
    </row>
    <row r="22" ht="17.25" customHeight="1">
      <c r="A22" s="82" t="str">
        <f>'試算-賓果'!A36</f>
        <v>AUD</v>
      </c>
      <c r="B22" s="84" t="str">
        <f>'試算-賓果'!B36</f>
        <v>A$</v>
      </c>
      <c r="C22" s="161" t="str">
        <f>'試算-賓果'!C36</f>
        <v>澳洲元</v>
      </c>
      <c r="D22" s="84" t="str">
        <f>IF('試算-SLOT'!D22=1,"",'試算-SLOT'!D22)</f>
        <v/>
      </c>
      <c r="E22" s="84">
        <f>'試算-賓果'!K36</f>
        <v>0.01</v>
      </c>
      <c r="F22" s="84">
        <v>1.0</v>
      </c>
      <c r="G22" s="84">
        <v>2.0</v>
      </c>
      <c r="H22" s="84">
        <v>3.0</v>
      </c>
      <c r="I22" s="84">
        <v>4.0</v>
      </c>
      <c r="J22" s="84">
        <v>5.0</v>
      </c>
      <c r="K22" s="84">
        <v>6.0</v>
      </c>
      <c r="L22" s="84">
        <v>7.0</v>
      </c>
      <c r="M22" s="84">
        <v>8.0</v>
      </c>
      <c r="N22" s="84">
        <v>9.0</v>
      </c>
      <c r="O22" s="84">
        <v>10.0</v>
      </c>
      <c r="P22" s="84">
        <v>11.0</v>
      </c>
      <c r="Q22" s="84">
        <v>12.0</v>
      </c>
      <c r="R22" s="84">
        <v>14.0</v>
      </c>
      <c r="S22" s="84">
        <v>15.0</v>
      </c>
      <c r="T22" s="84">
        <v>16.0</v>
      </c>
      <c r="U22" s="84">
        <v>17.0</v>
      </c>
      <c r="V22" s="84">
        <v>18.0</v>
      </c>
      <c r="W22" s="84">
        <v>19.0</v>
      </c>
      <c r="X22" s="84">
        <v>20.0</v>
      </c>
      <c r="Y22" s="84">
        <v>21.0</v>
      </c>
      <c r="AA22" s="52"/>
    </row>
    <row r="23" ht="17.25" customHeight="1">
      <c r="A23" s="48" t="str">
        <f>'試算-賓果'!A37</f>
        <v>JPY</v>
      </c>
      <c r="B23" s="50" t="str">
        <f>'試算-賓果'!B37</f>
        <v>￥</v>
      </c>
      <c r="C23" s="160" t="str">
        <f>'試算-賓果'!C37</f>
        <v>日圓</v>
      </c>
      <c r="D23" s="50" t="str">
        <f>IF('試算-SLOT'!D23=1,"",'試算-SLOT'!D23)</f>
        <v/>
      </c>
      <c r="E23" s="50">
        <f>'試算-賓果'!K37</f>
        <v>0.2</v>
      </c>
      <c r="F23" s="50">
        <v>1.0</v>
      </c>
      <c r="G23" s="50">
        <v>2.0</v>
      </c>
      <c r="H23" s="50">
        <v>3.0</v>
      </c>
      <c r="I23" s="50">
        <v>4.0</v>
      </c>
      <c r="J23" s="50">
        <v>5.0</v>
      </c>
      <c r="K23" s="50">
        <v>7.0</v>
      </c>
      <c r="L23" s="50">
        <v>10.0</v>
      </c>
      <c r="M23" s="50">
        <v>13.0</v>
      </c>
      <c r="N23" s="50">
        <v>15.0</v>
      </c>
      <c r="O23" s="50">
        <v>16.0</v>
      </c>
      <c r="P23" s="50">
        <v>17.0</v>
      </c>
      <c r="Q23" s="50">
        <v>18.0</v>
      </c>
      <c r="R23" s="50">
        <v>19.0</v>
      </c>
      <c r="S23" s="50">
        <v>20.0</v>
      </c>
      <c r="T23" s="50">
        <v>21.0</v>
      </c>
      <c r="U23" s="50">
        <v>22.0</v>
      </c>
      <c r="V23" s="50">
        <v>23.0</v>
      </c>
      <c r="W23" s="50">
        <v>24.0</v>
      </c>
      <c r="X23" s="50">
        <v>25.0</v>
      </c>
      <c r="Y23" s="50">
        <v>26.0</v>
      </c>
      <c r="AA23" s="52"/>
    </row>
    <row r="24" ht="17.25" customHeight="1">
      <c r="A24" s="48" t="str">
        <f>'試算-賓果'!A38</f>
        <v>KRW</v>
      </c>
      <c r="B24" s="50" t="str">
        <f>'試算-賓果'!B38</f>
        <v>₩</v>
      </c>
      <c r="C24" s="160" t="str">
        <f>'試算-賓果'!C38</f>
        <v>韓圓</v>
      </c>
      <c r="D24" s="50" t="str">
        <f>IF('試算-SLOT'!D24=1,"",'試算-SLOT'!D24)</f>
        <v/>
      </c>
      <c r="E24" s="50">
        <f>'試算-賓果'!K38</f>
        <v>2</v>
      </c>
      <c r="F24" s="50">
        <v>1.0</v>
      </c>
      <c r="G24" s="50">
        <v>2.0</v>
      </c>
      <c r="H24" s="50">
        <v>3.0</v>
      </c>
      <c r="I24" s="50">
        <v>4.0</v>
      </c>
      <c r="J24" s="50">
        <v>5.0</v>
      </c>
      <c r="K24" s="50">
        <v>7.0</v>
      </c>
      <c r="L24" s="50">
        <v>10.0</v>
      </c>
      <c r="M24" s="50">
        <v>13.0</v>
      </c>
      <c r="N24" s="50">
        <v>15.0</v>
      </c>
      <c r="O24" s="50">
        <v>16.0</v>
      </c>
      <c r="P24" s="50">
        <v>17.0</v>
      </c>
      <c r="Q24" s="50">
        <v>18.0</v>
      </c>
      <c r="R24" s="50">
        <v>19.0</v>
      </c>
      <c r="S24" s="50">
        <v>20.0</v>
      </c>
      <c r="T24" s="50">
        <v>21.0</v>
      </c>
      <c r="U24" s="50">
        <v>22.0</v>
      </c>
      <c r="V24" s="50">
        <v>23.0</v>
      </c>
      <c r="W24" s="50">
        <v>24.0</v>
      </c>
      <c r="X24" s="50">
        <v>25.0</v>
      </c>
      <c r="Y24" s="50">
        <v>26.0</v>
      </c>
      <c r="AA24" s="52"/>
    </row>
    <row r="25" ht="17.25" customHeight="1">
      <c r="A25" s="48" t="str">
        <f>'試算-賓果'!A39</f>
        <v>CLP</v>
      </c>
      <c r="B25" s="50" t="str">
        <f>'試算-賓果'!B39</f>
        <v>$</v>
      </c>
      <c r="C25" s="160" t="str">
        <f>'試算-賓果'!C39</f>
        <v>智利披索</v>
      </c>
      <c r="D25" s="50" t="str">
        <f>IF('試算-SLOT'!D25=1,"",'試算-SLOT'!D25)</f>
        <v/>
      </c>
      <c r="E25" s="50">
        <f>'試算-賓果'!K39</f>
        <v>1</v>
      </c>
      <c r="F25" s="50">
        <v>1.0</v>
      </c>
      <c r="G25" s="50">
        <v>2.0</v>
      </c>
      <c r="H25" s="50">
        <v>3.0</v>
      </c>
      <c r="I25" s="50">
        <v>4.0</v>
      </c>
      <c r="J25" s="50">
        <v>5.0</v>
      </c>
      <c r="K25" s="50">
        <v>7.0</v>
      </c>
      <c r="L25" s="50">
        <v>10.0</v>
      </c>
      <c r="M25" s="50">
        <v>13.0</v>
      </c>
      <c r="N25" s="50">
        <v>15.0</v>
      </c>
      <c r="O25" s="50">
        <v>16.0</v>
      </c>
      <c r="P25" s="50">
        <v>17.0</v>
      </c>
      <c r="Q25" s="50">
        <v>18.0</v>
      </c>
      <c r="R25" s="50">
        <v>19.0</v>
      </c>
      <c r="S25" s="50">
        <v>20.0</v>
      </c>
      <c r="T25" s="50">
        <v>21.0</v>
      </c>
      <c r="U25" s="50">
        <v>22.0</v>
      </c>
      <c r="V25" s="50">
        <v>23.0</v>
      </c>
      <c r="W25" s="50">
        <v>24.0</v>
      </c>
      <c r="X25" s="50">
        <v>25.0</v>
      </c>
      <c r="Y25" s="50">
        <v>26.0</v>
      </c>
      <c r="AA25" s="52"/>
    </row>
    <row r="26" ht="17.25" customHeight="1">
      <c r="A26" s="48" t="str">
        <f>'試算-賓果'!A40</f>
        <v>MMKO</v>
      </c>
      <c r="B26" s="50" t="str">
        <f>'試算-賓果'!B40</f>
        <v>K</v>
      </c>
      <c r="C26" s="160" t="str">
        <f>'試算-賓果'!C40</f>
        <v>緬甸元</v>
      </c>
      <c r="D26" s="50" t="str">
        <f>IF('試算-SLOT'!D26=1,"",'試算-SLOT'!D26)</f>
        <v/>
      </c>
      <c r="E26" s="50">
        <f>'試算-賓果'!K40</f>
        <v>2</v>
      </c>
      <c r="F26" s="50">
        <v>1.0</v>
      </c>
      <c r="G26" s="50">
        <v>2.0</v>
      </c>
      <c r="H26" s="50">
        <v>3.0</v>
      </c>
      <c r="I26" s="50">
        <v>4.0</v>
      </c>
      <c r="J26" s="50">
        <v>5.0</v>
      </c>
      <c r="K26" s="50">
        <v>7.0</v>
      </c>
      <c r="L26" s="50">
        <v>10.0</v>
      </c>
      <c r="M26" s="50">
        <v>13.0</v>
      </c>
      <c r="N26" s="50">
        <v>15.0</v>
      </c>
      <c r="O26" s="50">
        <v>16.0</v>
      </c>
      <c r="P26" s="50">
        <v>17.0</v>
      </c>
      <c r="Q26" s="50">
        <v>18.0</v>
      </c>
      <c r="R26" s="50">
        <v>19.0</v>
      </c>
      <c r="S26" s="50">
        <v>20.0</v>
      </c>
      <c r="T26" s="50">
        <v>21.0</v>
      </c>
      <c r="U26" s="50">
        <v>22.0</v>
      </c>
      <c r="V26" s="50">
        <v>23.0</v>
      </c>
      <c r="W26" s="50">
        <v>24.0</v>
      </c>
      <c r="X26" s="50">
        <v>25.0</v>
      </c>
      <c r="Y26" s="50">
        <v>26.0</v>
      </c>
      <c r="AA26" s="52"/>
    </row>
    <row r="27" ht="17.25" customHeight="1">
      <c r="A27" s="48" t="str">
        <f>'試算-賓果'!A41</f>
        <v>IDRO</v>
      </c>
      <c r="B27" s="50" t="str">
        <f>'試算-賓果'!B41</f>
        <v>Rp</v>
      </c>
      <c r="C27" s="160" t="str">
        <f>'試算-賓果'!C41</f>
        <v>印尼盧比</v>
      </c>
      <c r="D27" s="50" t="str">
        <f>IF('試算-SLOT'!D27=1,"",'試算-SLOT'!D27)</f>
        <v/>
      </c>
      <c r="E27" s="50">
        <f>'試算-賓果'!K41</f>
        <v>20</v>
      </c>
      <c r="F27" s="50">
        <v>1.0</v>
      </c>
      <c r="G27" s="50">
        <v>2.0</v>
      </c>
      <c r="H27" s="50">
        <v>3.0</v>
      </c>
      <c r="I27" s="50">
        <v>4.0</v>
      </c>
      <c r="J27" s="50">
        <v>5.0</v>
      </c>
      <c r="K27" s="50">
        <v>7.0</v>
      </c>
      <c r="L27" s="50">
        <v>10.0</v>
      </c>
      <c r="M27" s="50">
        <v>13.0</v>
      </c>
      <c r="N27" s="50">
        <v>15.0</v>
      </c>
      <c r="O27" s="50">
        <v>16.0</v>
      </c>
      <c r="P27" s="50">
        <v>17.0</v>
      </c>
      <c r="Q27" s="50">
        <v>18.0</v>
      </c>
      <c r="R27" s="50">
        <v>19.0</v>
      </c>
      <c r="S27" s="50">
        <v>20.0</v>
      </c>
      <c r="T27" s="50">
        <v>21.0</v>
      </c>
      <c r="U27" s="50">
        <v>22.0</v>
      </c>
      <c r="V27" s="50">
        <v>23.0</v>
      </c>
      <c r="W27" s="50">
        <v>24.0</v>
      </c>
      <c r="X27" s="50">
        <v>25.0</v>
      </c>
      <c r="Y27" s="50">
        <v>26.0</v>
      </c>
      <c r="AA27" s="52"/>
    </row>
    <row r="28" ht="17.25" customHeight="1">
      <c r="A28" s="48" t="str">
        <f>'試算-賓果'!A42</f>
        <v>RUB</v>
      </c>
      <c r="B28" s="50" t="str">
        <f>'試算-賓果'!B42</f>
        <v>₽</v>
      </c>
      <c r="C28" s="160" t="str">
        <f>'試算-賓果'!C42</f>
        <v>盧布</v>
      </c>
      <c r="D28" s="50" t="str">
        <f>IF('試算-SLOT'!D28=1,"",'試算-SLOT'!D28)</f>
        <v/>
      </c>
      <c r="E28" s="50">
        <f>'試算-賓果'!K42</f>
        <v>0.1</v>
      </c>
      <c r="F28" s="50">
        <v>1.0</v>
      </c>
      <c r="G28" s="50">
        <v>2.0</v>
      </c>
      <c r="H28" s="50">
        <v>3.0</v>
      </c>
      <c r="I28" s="50">
        <v>4.0</v>
      </c>
      <c r="J28" s="50">
        <v>5.0</v>
      </c>
      <c r="K28" s="50">
        <v>7.0</v>
      </c>
      <c r="L28" s="50">
        <v>10.0</v>
      </c>
      <c r="M28" s="50">
        <v>13.0</v>
      </c>
      <c r="N28" s="50">
        <v>15.0</v>
      </c>
      <c r="O28" s="50">
        <v>16.0</v>
      </c>
      <c r="P28" s="50">
        <v>17.0</v>
      </c>
      <c r="Q28" s="50">
        <v>18.0</v>
      </c>
      <c r="R28" s="50">
        <v>19.0</v>
      </c>
      <c r="S28" s="50">
        <v>20.0</v>
      </c>
      <c r="T28" s="50">
        <v>21.0</v>
      </c>
      <c r="U28" s="50">
        <v>22.0</v>
      </c>
      <c r="V28" s="50">
        <v>23.0</v>
      </c>
      <c r="W28" s="50">
        <v>24.0</v>
      </c>
      <c r="X28" s="50">
        <v>25.0</v>
      </c>
      <c r="Y28" s="50">
        <v>26.0</v>
      </c>
      <c r="AA28" s="52"/>
    </row>
    <row r="29" ht="17.25" customHeight="1">
      <c r="A29" s="48" t="str">
        <f>'試算-賓果'!A43</f>
        <v>LKR</v>
      </c>
      <c r="B29" s="50" t="str">
        <f>'試算-賓果'!B43</f>
        <v>₨</v>
      </c>
      <c r="C29" s="160" t="str">
        <f>'試算-賓果'!C43</f>
        <v>斯里蘭卡盧比</v>
      </c>
      <c r="D29" s="50" t="str">
        <f>IF('試算-SLOT'!D29=1,"",'試算-SLOT'!D29)</f>
        <v/>
      </c>
      <c r="E29" s="50">
        <f>'試算-賓果'!K43</f>
        <v>0.5</v>
      </c>
      <c r="F29" s="50">
        <v>1.0</v>
      </c>
      <c r="G29" s="50">
        <v>2.0</v>
      </c>
      <c r="H29" s="50">
        <v>3.0</v>
      </c>
      <c r="I29" s="50">
        <v>4.0</v>
      </c>
      <c r="J29" s="50">
        <v>5.0</v>
      </c>
      <c r="K29" s="50">
        <v>7.0</v>
      </c>
      <c r="L29" s="50">
        <v>10.0</v>
      </c>
      <c r="M29" s="50">
        <v>13.0</v>
      </c>
      <c r="N29" s="50">
        <v>15.0</v>
      </c>
      <c r="O29" s="50">
        <v>16.0</v>
      </c>
      <c r="P29" s="50">
        <v>17.0</v>
      </c>
      <c r="Q29" s="50">
        <v>18.0</v>
      </c>
      <c r="R29" s="50">
        <v>19.0</v>
      </c>
      <c r="S29" s="50">
        <v>20.0</v>
      </c>
      <c r="T29" s="50">
        <v>21.0</v>
      </c>
      <c r="U29" s="50">
        <v>22.0</v>
      </c>
      <c r="V29" s="50">
        <v>23.0</v>
      </c>
      <c r="W29" s="50">
        <v>24.0</v>
      </c>
      <c r="X29" s="50">
        <v>25.0</v>
      </c>
      <c r="Y29" s="50">
        <v>26.0</v>
      </c>
      <c r="AA29" s="52"/>
    </row>
    <row r="30" ht="17.25" customHeight="1">
      <c r="A30" s="48" t="str">
        <f>'試算-賓果'!A44</f>
        <v>ETB</v>
      </c>
      <c r="B30" s="50" t="str">
        <f>'試算-賓果'!B44</f>
        <v>Br‎</v>
      </c>
      <c r="C30" s="160" t="str">
        <f>'試算-賓果'!C44</f>
        <v>衣索比亞比爾</v>
      </c>
      <c r="D30" s="50" t="str">
        <f>IF('試算-SLOT'!D30=1,"",'試算-SLOT'!D30)</f>
        <v/>
      </c>
      <c r="E30" s="50">
        <f>'試算-賓果'!K44</f>
        <v>0.05</v>
      </c>
      <c r="F30" s="50">
        <v>1.0</v>
      </c>
      <c r="G30" s="50">
        <v>2.0</v>
      </c>
      <c r="H30" s="50">
        <v>3.0</v>
      </c>
      <c r="I30" s="50">
        <v>4.0</v>
      </c>
      <c r="J30" s="50">
        <v>5.0</v>
      </c>
      <c r="K30" s="50">
        <v>7.0</v>
      </c>
      <c r="L30" s="50">
        <v>10.0</v>
      </c>
      <c r="M30" s="50">
        <v>13.0</v>
      </c>
      <c r="N30" s="50">
        <v>15.0</v>
      </c>
      <c r="O30" s="50">
        <v>16.0</v>
      </c>
      <c r="P30" s="50">
        <v>17.0</v>
      </c>
      <c r="Q30" s="50">
        <v>18.0</v>
      </c>
      <c r="R30" s="50">
        <v>19.0</v>
      </c>
      <c r="S30" s="50">
        <v>20.0</v>
      </c>
      <c r="T30" s="50">
        <v>21.0</v>
      </c>
      <c r="U30" s="50">
        <v>22.0</v>
      </c>
      <c r="V30" s="50">
        <v>23.0</v>
      </c>
      <c r="W30" s="50">
        <v>24.0</v>
      </c>
      <c r="X30" s="50">
        <v>25.0</v>
      </c>
      <c r="Y30" s="50">
        <v>26.0</v>
      </c>
      <c r="AA30" s="52"/>
    </row>
    <row r="31" ht="17.25" customHeight="1">
      <c r="A31" s="48" t="str">
        <f>'試算-賓果'!A45</f>
        <v>UGX</v>
      </c>
      <c r="B31" s="50" t="str">
        <f>'試算-賓果'!B45</f>
        <v>USh</v>
      </c>
      <c r="C31" s="160" t="str">
        <f>'試算-賓果'!C45</f>
        <v>烏干達先令</v>
      </c>
      <c r="D31" s="50" t="str">
        <f>IF('試算-SLOT'!D31=1,"",'試算-SLOT'!D31)</f>
        <v/>
      </c>
      <c r="E31" s="50">
        <f>'試算-賓果'!K45</f>
        <v>5</v>
      </c>
      <c r="F31" s="50">
        <v>1.0</v>
      </c>
      <c r="G31" s="50">
        <v>2.0</v>
      </c>
      <c r="H31" s="50">
        <v>3.0</v>
      </c>
      <c r="I31" s="50">
        <v>4.0</v>
      </c>
      <c r="J31" s="50">
        <v>5.0</v>
      </c>
      <c r="K31" s="50">
        <v>7.0</v>
      </c>
      <c r="L31" s="50">
        <v>10.0</v>
      </c>
      <c r="M31" s="50">
        <v>13.0</v>
      </c>
      <c r="N31" s="50">
        <v>15.0</v>
      </c>
      <c r="O31" s="50">
        <v>16.0</v>
      </c>
      <c r="P31" s="50">
        <v>17.0</v>
      </c>
      <c r="Q31" s="50">
        <v>18.0</v>
      </c>
      <c r="R31" s="50">
        <v>19.0</v>
      </c>
      <c r="S31" s="50">
        <v>20.0</v>
      </c>
      <c r="T31" s="50">
        <v>21.0</v>
      </c>
      <c r="U31" s="50">
        <v>22.0</v>
      </c>
      <c r="V31" s="50">
        <v>23.0</v>
      </c>
      <c r="W31" s="50">
        <v>24.0</v>
      </c>
      <c r="X31" s="50">
        <v>25.0</v>
      </c>
      <c r="Y31" s="50">
        <v>26.0</v>
      </c>
      <c r="AA31" s="52"/>
    </row>
    <row r="32" ht="17.25" customHeight="1">
      <c r="A32" s="82" t="str">
        <f>'試算-賓果'!A46</f>
        <v>EUR</v>
      </c>
      <c r="B32" s="84" t="str">
        <f>'試算-賓果'!B46</f>
        <v>€</v>
      </c>
      <c r="C32" s="161" t="str">
        <f>'試算-賓果'!C46</f>
        <v>歐元</v>
      </c>
      <c r="D32" s="84" t="str">
        <f>IF('試算-SLOT'!D32=1,"",'試算-SLOT'!D32)</f>
        <v/>
      </c>
      <c r="E32" s="84">
        <f>'試算-賓果'!K46</f>
        <v>0.01</v>
      </c>
      <c r="F32" s="84">
        <v>1.0</v>
      </c>
      <c r="G32" s="84">
        <v>2.0</v>
      </c>
      <c r="H32" s="84">
        <v>3.0</v>
      </c>
      <c r="I32" s="84">
        <v>4.0</v>
      </c>
      <c r="J32" s="84">
        <v>5.0</v>
      </c>
      <c r="K32" s="84">
        <v>6.0</v>
      </c>
      <c r="L32" s="84">
        <v>7.0</v>
      </c>
      <c r="M32" s="84">
        <v>8.0</v>
      </c>
      <c r="N32" s="84">
        <v>9.0</v>
      </c>
      <c r="O32" s="84">
        <v>10.0</v>
      </c>
      <c r="P32" s="84">
        <v>11.0</v>
      </c>
      <c r="Q32" s="84">
        <v>12.0</v>
      </c>
      <c r="R32" s="84">
        <v>14.0</v>
      </c>
      <c r="S32" s="84">
        <v>15.0</v>
      </c>
      <c r="T32" s="84">
        <v>16.0</v>
      </c>
      <c r="U32" s="84">
        <v>17.0</v>
      </c>
      <c r="V32" s="84">
        <v>18.0</v>
      </c>
      <c r="W32" s="84">
        <v>19.0</v>
      </c>
      <c r="X32" s="84">
        <v>20.0</v>
      </c>
      <c r="Y32" s="84">
        <v>21.0</v>
      </c>
      <c r="AA32" s="52"/>
    </row>
    <row r="33" ht="16.5" customHeight="1">
      <c r="A33" s="48" t="str">
        <f>'試算-賓果'!A47</f>
        <v>ARS</v>
      </c>
      <c r="B33" s="50" t="str">
        <f>'試算-賓果'!B47</f>
        <v>$</v>
      </c>
      <c r="C33" s="160" t="str">
        <f>'試算-賓果'!C47</f>
        <v>阿根廷披索</v>
      </c>
      <c r="D33" s="50" t="str">
        <f>IF('試算-SLOT'!D33=1,"",'試算-SLOT'!D33)</f>
        <v/>
      </c>
      <c r="E33" s="50">
        <f>'試算-賓果'!K47</f>
        <v>0.25</v>
      </c>
      <c r="F33" s="50">
        <v>1.0</v>
      </c>
      <c r="G33" s="50">
        <v>2.0</v>
      </c>
      <c r="H33" s="50">
        <v>3.0</v>
      </c>
      <c r="I33" s="50">
        <v>4.0</v>
      </c>
      <c r="J33" s="50">
        <v>5.0</v>
      </c>
      <c r="K33" s="50">
        <v>7.0</v>
      </c>
      <c r="L33" s="50">
        <v>10.0</v>
      </c>
      <c r="M33" s="50">
        <v>13.0</v>
      </c>
      <c r="N33" s="50">
        <v>15.0</v>
      </c>
      <c r="O33" s="50">
        <v>16.0</v>
      </c>
      <c r="P33" s="50">
        <v>17.0</v>
      </c>
      <c r="Q33" s="50">
        <v>18.0</v>
      </c>
      <c r="R33" s="50">
        <v>19.0</v>
      </c>
      <c r="S33" s="50">
        <v>20.0</v>
      </c>
      <c r="T33" s="50">
        <v>21.0</v>
      </c>
      <c r="U33" s="50">
        <v>22.0</v>
      </c>
      <c r="V33" s="50">
        <v>23.0</v>
      </c>
      <c r="W33" s="50">
        <v>24.0</v>
      </c>
      <c r="X33" s="50">
        <v>25.0</v>
      </c>
      <c r="Y33" s="50">
        <v>26.0</v>
      </c>
      <c r="AA33" s="52"/>
    </row>
    <row r="34" ht="16.5" customHeight="1">
      <c r="A34" s="48" t="str">
        <f>'試算-賓果'!A48</f>
        <v>NGN</v>
      </c>
      <c r="B34" s="162" t="str">
        <f>'試算-賓果'!B48</f>
        <v>₦</v>
      </c>
      <c r="C34" s="160" t="str">
        <f>'試算-賓果'!C48</f>
        <v>奈及利亞奈拉</v>
      </c>
      <c r="D34" s="50" t="str">
        <f>IF('試算-SLOT'!D34=1,"",'試算-SLOT'!D34)</f>
        <v/>
      </c>
      <c r="E34" s="50">
        <f>'試算-賓果'!K48</f>
        <v>1</v>
      </c>
      <c r="F34" s="50">
        <v>1.0</v>
      </c>
      <c r="G34" s="50">
        <v>2.0</v>
      </c>
      <c r="H34" s="50">
        <v>3.0</v>
      </c>
      <c r="I34" s="50">
        <v>4.0</v>
      </c>
      <c r="J34" s="50">
        <v>5.0</v>
      </c>
      <c r="K34" s="50">
        <v>7.0</v>
      </c>
      <c r="L34" s="50">
        <v>10.0</v>
      </c>
      <c r="M34" s="50">
        <v>13.0</v>
      </c>
      <c r="N34" s="50">
        <v>15.0</v>
      </c>
      <c r="O34" s="50">
        <v>16.0</v>
      </c>
      <c r="P34" s="50">
        <v>17.0</v>
      </c>
      <c r="Q34" s="50">
        <v>18.0</v>
      </c>
      <c r="R34" s="50">
        <v>19.0</v>
      </c>
      <c r="S34" s="50">
        <v>20.0</v>
      </c>
      <c r="T34" s="50">
        <v>21.0</v>
      </c>
      <c r="U34" s="50">
        <v>22.0</v>
      </c>
      <c r="V34" s="50">
        <v>23.0</v>
      </c>
      <c r="W34" s="50">
        <v>24.0</v>
      </c>
      <c r="X34" s="50">
        <v>25.0</v>
      </c>
      <c r="Y34" s="50">
        <v>26.0</v>
      </c>
      <c r="AA34" s="52"/>
    </row>
    <row r="35" ht="16.5" customHeight="1">
      <c r="A35" s="48" t="str">
        <f>'試算-賓果'!A49</f>
        <v>KES</v>
      </c>
      <c r="B35" s="162" t="str">
        <f>'試算-賓果'!B49</f>
        <v>KSh</v>
      </c>
      <c r="C35" s="160" t="str">
        <f>'試算-賓果'!C49</f>
        <v>肯亞先令</v>
      </c>
      <c r="D35" s="50" t="str">
        <f>IF('試算-SLOT'!D35=1,"",'試算-SLOT'!D35)</f>
        <v/>
      </c>
      <c r="E35" s="50">
        <f>'試算-賓果'!K49</f>
        <v>0.2</v>
      </c>
      <c r="F35" s="50">
        <v>1.0</v>
      </c>
      <c r="G35" s="50">
        <v>2.0</v>
      </c>
      <c r="H35" s="50">
        <v>3.0</v>
      </c>
      <c r="I35" s="50">
        <v>4.0</v>
      </c>
      <c r="J35" s="50">
        <v>5.0</v>
      </c>
      <c r="K35" s="50">
        <v>7.0</v>
      </c>
      <c r="L35" s="50">
        <v>10.0</v>
      </c>
      <c r="M35" s="50">
        <v>13.0</v>
      </c>
      <c r="N35" s="50">
        <v>15.0</v>
      </c>
      <c r="O35" s="50">
        <v>16.0</v>
      </c>
      <c r="P35" s="50">
        <v>17.0</v>
      </c>
      <c r="Q35" s="50">
        <v>18.0</v>
      </c>
      <c r="R35" s="50">
        <v>19.0</v>
      </c>
      <c r="S35" s="50">
        <v>20.0</v>
      </c>
      <c r="T35" s="50">
        <v>21.0</v>
      </c>
      <c r="U35" s="50">
        <v>22.0</v>
      </c>
      <c r="V35" s="50">
        <v>23.0</v>
      </c>
      <c r="W35" s="50">
        <v>24.0</v>
      </c>
      <c r="X35" s="50">
        <v>25.0</v>
      </c>
      <c r="Y35" s="50">
        <v>26.0</v>
      </c>
      <c r="AA35" s="52"/>
    </row>
    <row r="36" ht="16.5" customHeight="1">
      <c r="A36" s="48" t="str">
        <f>'試算-賓果'!A50</f>
        <v>ZAR</v>
      </c>
      <c r="B36" s="162" t="str">
        <f>'試算-賓果'!B50</f>
        <v>R</v>
      </c>
      <c r="C36" s="160" t="str">
        <f>'試算-賓果'!C50</f>
        <v>南非鍰</v>
      </c>
      <c r="D36" s="50" t="str">
        <f>IF('試算-SLOT'!D36=1,"",'試算-SLOT'!D36)</f>
        <v/>
      </c>
      <c r="E36" s="50">
        <f>'試算-賓果'!K50</f>
        <v>0.02</v>
      </c>
      <c r="F36" s="50">
        <v>1.0</v>
      </c>
      <c r="G36" s="50">
        <v>2.0</v>
      </c>
      <c r="H36" s="50">
        <v>3.0</v>
      </c>
      <c r="I36" s="50">
        <v>4.0</v>
      </c>
      <c r="J36" s="50">
        <v>5.0</v>
      </c>
      <c r="K36" s="50">
        <v>7.0</v>
      </c>
      <c r="L36" s="50">
        <v>10.0</v>
      </c>
      <c r="M36" s="50">
        <v>13.0</v>
      </c>
      <c r="N36" s="50">
        <v>15.0</v>
      </c>
      <c r="O36" s="50">
        <v>16.0</v>
      </c>
      <c r="P36" s="50">
        <v>17.0</v>
      </c>
      <c r="Q36" s="50">
        <v>18.0</v>
      </c>
      <c r="R36" s="50">
        <v>19.0</v>
      </c>
      <c r="S36" s="50">
        <v>20.0</v>
      </c>
      <c r="T36" s="50">
        <v>21.0</v>
      </c>
      <c r="U36" s="50">
        <v>22.0</v>
      </c>
      <c r="V36" s="50">
        <v>23.0</v>
      </c>
      <c r="W36" s="50">
        <v>24.0</v>
      </c>
      <c r="X36" s="50">
        <v>25.0</v>
      </c>
      <c r="Y36" s="50">
        <v>26.0</v>
      </c>
      <c r="AA36" s="52"/>
    </row>
    <row r="37" ht="16.5" customHeight="1">
      <c r="A37" s="48" t="str">
        <f>'試算-賓果'!A51</f>
        <v>TRY</v>
      </c>
      <c r="B37" s="162" t="str">
        <f>'試算-賓果'!B51</f>
        <v>₺</v>
      </c>
      <c r="C37" s="160" t="str">
        <f>'試算-賓果'!C51</f>
        <v>土耳其里拉</v>
      </c>
      <c r="D37" s="50" t="str">
        <f>IF('試算-SLOT'!D37=1,"",'試算-SLOT'!D37)</f>
        <v/>
      </c>
      <c r="E37" s="50">
        <f>'試算-賓果'!K51</f>
        <v>0.04</v>
      </c>
      <c r="F37" s="50">
        <v>1.0</v>
      </c>
      <c r="G37" s="50">
        <v>2.0</v>
      </c>
      <c r="H37" s="50">
        <v>3.0</v>
      </c>
      <c r="I37" s="50">
        <v>4.0</v>
      </c>
      <c r="J37" s="50">
        <v>5.0</v>
      </c>
      <c r="K37" s="50">
        <v>7.0</v>
      </c>
      <c r="L37" s="50">
        <v>10.0</v>
      </c>
      <c r="M37" s="50">
        <v>13.0</v>
      </c>
      <c r="N37" s="50">
        <v>15.0</v>
      </c>
      <c r="O37" s="50">
        <v>16.0</v>
      </c>
      <c r="P37" s="50">
        <v>17.0</v>
      </c>
      <c r="Q37" s="50">
        <v>18.0</v>
      </c>
      <c r="R37" s="50">
        <v>19.0</v>
      </c>
      <c r="S37" s="50">
        <v>20.0</v>
      </c>
      <c r="T37" s="50">
        <v>21.0</v>
      </c>
      <c r="U37" s="50">
        <v>22.0</v>
      </c>
      <c r="V37" s="50">
        <v>23.0</v>
      </c>
      <c r="W37" s="50">
        <v>24.0</v>
      </c>
      <c r="X37" s="50">
        <v>25.0</v>
      </c>
      <c r="Y37" s="50">
        <v>26.0</v>
      </c>
      <c r="AA37" s="52"/>
    </row>
    <row r="38" ht="16.5" customHeight="1">
      <c r="A38" s="82" t="str">
        <f>'試算-賓果'!A52</f>
        <v>GBP</v>
      </c>
      <c r="B38" s="163" t="str">
        <f>'試算-賓果'!B52</f>
        <v>£</v>
      </c>
      <c r="C38" s="161" t="str">
        <f>'試算-賓果'!C52</f>
        <v>英鎊</v>
      </c>
      <c r="D38" s="84" t="str">
        <f>IF('試算-SLOT'!D38=1,"",'試算-SLOT'!D38)</f>
        <v/>
      </c>
      <c r="E38" s="84">
        <f>'試算-賓果'!K52</f>
        <v>0.01</v>
      </c>
      <c r="F38" s="84">
        <v>1.0</v>
      </c>
      <c r="G38" s="84">
        <v>2.0</v>
      </c>
      <c r="H38" s="84">
        <v>3.0</v>
      </c>
      <c r="I38" s="84">
        <v>4.0</v>
      </c>
      <c r="J38" s="84">
        <v>5.0</v>
      </c>
      <c r="K38" s="84">
        <v>6.0</v>
      </c>
      <c r="L38" s="84">
        <v>7.0</v>
      </c>
      <c r="M38" s="84">
        <v>8.0</v>
      </c>
      <c r="N38" s="84">
        <v>9.0</v>
      </c>
      <c r="O38" s="84">
        <v>10.0</v>
      </c>
      <c r="P38" s="84">
        <v>11.0</v>
      </c>
      <c r="Q38" s="84">
        <v>12.0</v>
      </c>
      <c r="R38" s="84">
        <v>14.0</v>
      </c>
      <c r="S38" s="84">
        <v>15.0</v>
      </c>
      <c r="T38" s="84">
        <v>16.0</v>
      </c>
      <c r="U38" s="84">
        <v>17.0</v>
      </c>
      <c r="V38" s="84">
        <v>18.0</v>
      </c>
      <c r="W38" s="84">
        <v>19.0</v>
      </c>
      <c r="X38" s="84">
        <v>20.0</v>
      </c>
      <c r="Y38" s="84">
        <v>21.0</v>
      </c>
      <c r="AA38" s="52"/>
    </row>
    <row r="39" ht="16.5" customHeight="1">
      <c r="A39" s="48" t="str">
        <f>'試算-賓果'!A53</f>
        <v>NPR</v>
      </c>
      <c r="B39" s="162" t="str">
        <f>'試算-賓果'!B53</f>
        <v>रू</v>
      </c>
      <c r="C39" s="160" t="str">
        <f>'試算-賓果'!C53</f>
        <v>尼泊爾盧比</v>
      </c>
      <c r="D39" s="50" t="str">
        <f>IF('試算-SLOT'!D39=1,"",'試算-SLOT'!D39)</f>
        <v/>
      </c>
      <c r="E39" s="50">
        <f>'試算-賓果'!K53</f>
        <v>0.2</v>
      </c>
      <c r="F39" s="50">
        <v>1.0</v>
      </c>
      <c r="G39" s="50">
        <v>2.0</v>
      </c>
      <c r="H39" s="50">
        <v>3.0</v>
      </c>
      <c r="I39" s="50">
        <v>4.0</v>
      </c>
      <c r="J39" s="50">
        <v>5.0</v>
      </c>
      <c r="K39" s="50">
        <v>7.0</v>
      </c>
      <c r="L39" s="50">
        <v>10.0</v>
      </c>
      <c r="M39" s="50">
        <v>13.0</v>
      </c>
      <c r="N39" s="50">
        <v>15.0</v>
      </c>
      <c r="O39" s="50">
        <v>16.0</v>
      </c>
      <c r="P39" s="50">
        <v>17.0</v>
      </c>
      <c r="Q39" s="50">
        <v>18.0</v>
      </c>
      <c r="R39" s="50">
        <v>19.0</v>
      </c>
      <c r="S39" s="50">
        <v>20.0</v>
      </c>
      <c r="T39" s="50">
        <v>21.0</v>
      </c>
      <c r="U39" s="50">
        <v>22.0</v>
      </c>
      <c r="V39" s="50">
        <v>23.0</v>
      </c>
      <c r="W39" s="50">
        <v>24.0</v>
      </c>
      <c r="X39" s="50">
        <v>25.0</v>
      </c>
      <c r="Y39" s="50">
        <v>26.0</v>
      </c>
      <c r="AA39" s="52"/>
    </row>
    <row r="40" ht="16.5" customHeight="1">
      <c r="A40" s="82" t="str">
        <f>'試算-賓果'!A54</f>
        <v>CHF</v>
      </c>
      <c r="B40" s="163" t="str">
        <f>'試算-賓果'!B54</f>
        <v>CHF</v>
      </c>
      <c r="C40" s="161" t="str">
        <f>'試算-賓果'!C54</f>
        <v>瑞士法郎</v>
      </c>
      <c r="D40" s="84" t="str">
        <f>IF('試算-SLOT'!D40=1,"",'試算-SLOT'!D40)</f>
        <v/>
      </c>
      <c r="E40" s="84">
        <f>'試算-賓果'!K54</f>
        <v>0.01</v>
      </c>
      <c r="F40" s="84">
        <v>1.0</v>
      </c>
      <c r="G40" s="84">
        <v>2.0</v>
      </c>
      <c r="H40" s="84">
        <v>3.0</v>
      </c>
      <c r="I40" s="84">
        <v>4.0</v>
      </c>
      <c r="J40" s="84">
        <v>5.0</v>
      </c>
      <c r="K40" s="84">
        <v>6.0</v>
      </c>
      <c r="L40" s="84">
        <v>7.0</v>
      </c>
      <c r="M40" s="84">
        <v>8.0</v>
      </c>
      <c r="N40" s="84">
        <v>9.0</v>
      </c>
      <c r="O40" s="84">
        <v>10.0</v>
      </c>
      <c r="P40" s="84">
        <v>11.0</v>
      </c>
      <c r="Q40" s="84">
        <v>12.0</v>
      </c>
      <c r="R40" s="84">
        <v>14.0</v>
      </c>
      <c r="S40" s="84">
        <v>15.0</v>
      </c>
      <c r="T40" s="84">
        <v>16.0</v>
      </c>
      <c r="U40" s="84">
        <v>17.0</v>
      </c>
      <c r="V40" s="84">
        <v>18.0</v>
      </c>
      <c r="W40" s="84">
        <v>19.0</v>
      </c>
      <c r="X40" s="84">
        <v>20.0</v>
      </c>
      <c r="Y40" s="84">
        <v>21.0</v>
      </c>
      <c r="AA40" s="52"/>
    </row>
    <row r="41" ht="16.5" customHeight="1">
      <c r="A41" s="82" t="str">
        <f>'試算-賓果'!A55</f>
        <v>CAD</v>
      </c>
      <c r="B41" s="163" t="str">
        <f>'試算-賓果'!B55</f>
        <v>$</v>
      </c>
      <c r="C41" s="161" t="str">
        <f>'試算-賓果'!C55</f>
        <v>加幣</v>
      </c>
      <c r="D41" s="84" t="str">
        <f>IF('試算-SLOT'!D41=1,"",'試算-SLOT'!D41)</f>
        <v/>
      </c>
      <c r="E41" s="84">
        <f>'試算-賓果'!K55</f>
        <v>0.01</v>
      </c>
      <c r="F41" s="84">
        <v>1.0</v>
      </c>
      <c r="G41" s="84">
        <v>2.0</v>
      </c>
      <c r="H41" s="84">
        <v>3.0</v>
      </c>
      <c r="I41" s="84">
        <v>4.0</v>
      </c>
      <c r="J41" s="84">
        <v>5.0</v>
      </c>
      <c r="K41" s="84">
        <v>6.0</v>
      </c>
      <c r="L41" s="84">
        <v>7.0</v>
      </c>
      <c r="M41" s="84">
        <v>8.0</v>
      </c>
      <c r="N41" s="84">
        <v>9.0</v>
      </c>
      <c r="O41" s="84">
        <v>10.0</v>
      </c>
      <c r="P41" s="84">
        <v>11.0</v>
      </c>
      <c r="Q41" s="84">
        <v>12.0</v>
      </c>
      <c r="R41" s="84">
        <v>14.0</v>
      </c>
      <c r="S41" s="84">
        <v>15.0</v>
      </c>
      <c r="T41" s="84">
        <v>16.0</v>
      </c>
      <c r="U41" s="84">
        <v>17.0</v>
      </c>
      <c r="V41" s="84">
        <v>18.0</v>
      </c>
      <c r="W41" s="84">
        <v>19.0</v>
      </c>
      <c r="X41" s="84">
        <v>20.0</v>
      </c>
      <c r="Y41" s="84">
        <v>21.0</v>
      </c>
      <c r="AA41" s="52"/>
    </row>
    <row r="42" ht="16.5" customHeight="1">
      <c r="A42" s="48" t="str">
        <f>'試算-賓果'!A56</f>
        <v>PEN</v>
      </c>
      <c r="B42" s="162" t="str">
        <f>'試算-賓果'!B56</f>
        <v>PEN</v>
      </c>
      <c r="C42" s="160" t="str">
        <f>'試算-賓果'!C56</f>
        <v>秘魯新索爾</v>
      </c>
      <c r="D42" s="50" t="str">
        <f>IF('試算-SLOT'!D42=1,"",'試算-SLOT'!D42)</f>
        <v/>
      </c>
      <c r="E42" s="50">
        <f>'試算-賓果'!K56</f>
        <v>0.01</v>
      </c>
      <c r="F42" s="50">
        <v>1.0</v>
      </c>
      <c r="G42" s="50">
        <v>2.0</v>
      </c>
      <c r="H42" s="50">
        <v>3.0</v>
      </c>
      <c r="I42" s="50">
        <v>4.0</v>
      </c>
      <c r="J42" s="50">
        <v>5.0</v>
      </c>
      <c r="K42" s="50">
        <v>7.0</v>
      </c>
      <c r="L42" s="50">
        <v>10.0</v>
      </c>
      <c r="M42" s="50">
        <v>13.0</v>
      </c>
      <c r="N42" s="50">
        <v>15.0</v>
      </c>
      <c r="O42" s="50">
        <v>16.0</v>
      </c>
      <c r="P42" s="50">
        <v>17.0</v>
      </c>
      <c r="Q42" s="50">
        <v>18.0</v>
      </c>
      <c r="R42" s="50">
        <v>19.0</v>
      </c>
      <c r="S42" s="50">
        <v>20.0</v>
      </c>
      <c r="T42" s="50">
        <v>21.0</v>
      </c>
      <c r="U42" s="50">
        <v>22.0</v>
      </c>
      <c r="V42" s="50">
        <v>23.0</v>
      </c>
      <c r="W42" s="50">
        <v>24.0</v>
      </c>
      <c r="X42" s="50">
        <v>25.0</v>
      </c>
      <c r="Y42" s="50">
        <v>26.0</v>
      </c>
      <c r="AA42" s="52"/>
    </row>
    <row r="43" ht="16.5" customHeight="1">
      <c r="A43" s="48" t="str">
        <f>'試算-賓果'!A57</f>
        <v>AED</v>
      </c>
      <c r="B43" s="162" t="str">
        <f>'試算-賓果'!B57</f>
        <v>AED</v>
      </c>
      <c r="C43" s="160" t="str">
        <f>'試算-賓果'!C57</f>
        <v>阿聯迪拉姆</v>
      </c>
      <c r="D43" s="50" t="str">
        <f>IF('試算-SLOT'!D43=1,"",'試算-SLOT'!D43)</f>
        <v/>
      </c>
      <c r="E43" s="50">
        <f>'試算-賓果'!K57</f>
        <v>0.01</v>
      </c>
      <c r="F43" s="50">
        <v>1.0</v>
      </c>
      <c r="G43" s="50">
        <v>2.0</v>
      </c>
      <c r="H43" s="50">
        <v>3.0</v>
      </c>
      <c r="I43" s="50">
        <v>4.0</v>
      </c>
      <c r="J43" s="50">
        <v>5.0</v>
      </c>
      <c r="K43" s="50">
        <v>7.0</v>
      </c>
      <c r="L43" s="50">
        <v>10.0</v>
      </c>
      <c r="M43" s="50">
        <v>13.0</v>
      </c>
      <c r="N43" s="50">
        <v>15.0</v>
      </c>
      <c r="O43" s="50">
        <v>16.0</v>
      </c>
      <c r="P43" s="50">
        <v>17.0</v>
      </c>
      <c r="Q43" s="50">
        <v>18.0</v>
      </c>
      <c r="R43" s="50">
        <v>19.0</v>
      </c>
      <c r="S43" s="50">
        <v>20.0</v>
      </c>
      <c r="T43" s="50">
        <v>21.0</v>
      </c>
      <c r="U43" s="50">
        <v>22.0</v>
      </c>
      <c r="V43" s="50">
        <v>23.0</v>
      </c>
      <c r="W43" s="50">
        <v>24.0</v>
      </c>
      <c r="X43" s="50">
        <v>25.0</v>
      </c>
      <c r="Y43" s="50">
        <v>26.0</v>
      </c>
      <c r="AA43" s="52"/>
    </row>
    <row r="44" ht="16.5" customHeight="1">
      <c r="A44" s="82" t="str">
        <f>'試算-賓果'!A58</f>
        <v>BND</v>
      </c>
      <c r="B44" s="163" t="str">
        <f>'試算-賓果'!B58</f>
        <v>B$</v>
      </c>
      <c r="C44" s="161" t="str">
        <f>'試算-賓果'!C58</f>
        <v>汶萊幣</v>
      </c>
      <c r="D44" s="84" t="str">
        <f>IF('試算-SLOT'!D44=1,"",'試算-SLOT'!D44)</f>
        <v/>
      </c>
      <c r="E44" s="84">
        <f>'試算-賓果'!K58</f>
        <v>0.01</v>
      </c>
      <c r="F44" s="84">
        <v>1.0</v>
      </c>
      <c r="G44" s="84">
        <v>2.0</v>
      </c>
      <c r="H44" s="84">
        <v>3.0</v>
      </c>
      <c r="I44" s="84">
        <v>4.0</v>
      </c>
      <c r="J44" s="84">
        <v>5.0</v>
      </c>
      <c r="K44" s="84">
        <v>6.0</v>
      </c>
      <c r="L44" s="84">
        <v>7.0</v>
      </c>
      <c r="M44" s="84">
        <v>8.0</v>
      </c>
      <c r="N44" s="84">
        <v>9.0</v>
      </c>
      <c r="O44" s="84">
        <v>10.0</v>
      </c>
      <c r="P44" s="84">
        <v>11.0</v>
      </c>
      <c r="Q44" s="84">
        <v>12.0</v>
      </c>
      <c r="R44" s="84">
        <v>14.0</v>
      </c>
      <c r="S44" s="84">
        <v>15.0</v>
      </c>
      <c r="T44" s="84">
        <v>16.0</v>
      </c>
      <c r="U44" s="84">
        <v>17.0</v>
      </c>
      <c r="V44" s="84">
        <v>18.0</v>
      </c>
      <c r="W44" s="84">
        <v>19.0</v>
      </c>
      <c r="X44" s="84">
        <v>20.0</v>
      </c>
      <c r="Y44" s="84">
        <v>21.0</v>
      </c>
      <c r="AA44" s="52"/>
    </row>
    <row r="45" ht="16.5" customHeight="1">
      <c r="A45" s="48" t="str">
        <f>'試算-賓果'!A59</f>
        <v>COP</v>
      </c>
      <c r="B45" s="162" t="str">
        <f>'試算-賓果'!B59</f>
        <v>$</v>
      </c>
      <c r="C45" s="160" t="str">
        <f>'試算-賓果'!C59</f>
        <v>哥倫比亞披索</v>
      </c>
      <c r="D45" s="50" t="str">
        <f>IF('試算-SLOT'!D45=1,"",'試算-SLOT'!D45)</f>
        <v/>
      </c>
      <c r="E45" s="50">
        <f>'試算-賓果'!K59</f>
        <v>5</v>
      </c>
      <c r="F45" s="50">
        <v>1.0</v>
      </c>
      <c r="G45" s="50">
        <v>2.0</v>
      </c>
      <c r="H45" s="50">
        <v>3.0</v>
      </c>
      <c r="I45" s="50">
        <v>4.0</v>
      </c>
      <c r="J45" s="50">
        <v>5.0</v>
      </c>
      <c r="K45" s="50">
        <v>7.0</v>
      </c>
      <c r="L45" s="50">
        <v>10.0</v>
      </c>
      <c r="M45" s="50">
        <v>13.0</v>
      </c>
      <c r="N45" s="50">
        <v>15.0</v>
      </c>
      <c r="O45" s="50">
        <v>16.0</v>
      </c>
      <c r="P45" s="50">
        <v>17.0</v>
      </c>
      <c r="Q45" s="50">
        <v>18.0</v>
      </c>
      <c r="R45" s="50">
        <v>19.0</v>
      </c>
      <c r="S45" s="50">
        <v>20.0</v>
      </c>
      <c r="T45" s="50">
        <v>21.0</v>
      </c>
      <c r="U45" s="50">
        <v>22.0</v>
      </c>
      <c r="V45" s="50">
        <v>23.0</v>
      </c>
      <c r="W45" s="50">
        <v>24.0</v>
      </c>
      <c r="X45" s="50">
        <v>25.0</v>
      </c>
      <c r="Y45" s="50">
        <v>26.0</v>
      </c>
      <c r="AA45" s="52"/>
    </row>
    <row r="46" ht="16.5" customHeight="1">
      <c r="A46" s="48" t="str">
        <f>'試算-賓果'!A60</f>
        <v>VNDO</v>
      </c>
      <c r="B46" s="162" t="str">
        <f>'試算-賓果'!B60</f>
        <v>₫</v>
      </c>
      <c r="C46" s="160" t="str">
        <f>'試算-賓果'!C60</f>
        <v>越南盾</v>
      </c>
      <c r="D46" s="50" t="str">
        <f>IF('試算-SLOT'!D46=1,"",'試算-SLOT'!D46)</f>
        <v/>
      </c>
      <c r="E46" s="50">
        <f>'試算-賓果'!K60</f>
        <v>40</v>
      </c>
      <c r="F46" s="50">
        <v>1.0</v>
      </c>
      <c r="G46" s="50">
        <v>2.0</v>
      </c>
      <c r="H46" s="50">
        <v>3.0</v>
      </c>
      <c r="I46" s="50">
        <v>4.0</v>
      </c>
      <c r="J46" s="50">
        <v>5.0</v>
      </c>
      <c r="K46" s="50">
        <v>7.0</v>
      </c>
      <c r="L46" s="50">
        <v>10.0</v>
      </c>
      <c r="M46" s="50">
        <v>13.0</v>
      </c>
      <c r="N46" s="50">
        <v>15.0</v>
      </c>
      <c r="O46" s="50">
        <v>16.0</v>
      </c>
      <c r="P46" s="50">
        <v>17.0</v>
      </c>
      <c r="Q46" s="50">
        <v>18.0</v>
      </c>
      <c r="R46" s="50">
        <v>19.0</v>
      </c>
      <c r="S46" s="50">
        <v>20.0</v>
      </c>
      <c r="T46" s="50">
        <v>21.0</v>
      </c>
      <c r="U46" s="50">
        <v>22.0</v>
      </c>
      <c r="V46" s="50">
        <v>23.0</v>
      </c>
      <c r="W46" s="50">
        <v>24.0</v>
      </c>
      <c r="X46" s="50">
        <v>25.0</v>
      </c>
      <c r="Y46" s="50">
        <v>26.0</v>
      </c>
      <c r="AA46" s="52"/>
    </row>
    <row r="47" ht="16.5" customHeight="1">
      <c r="A47" s="48" t="str">
        <f>'試算-賓果'!A61</f>
        <v>MYRC</v>
      </c>
      <c r="B47" s="50" t="str">
        <f>'試算-賓果'!B61</f>
        <v>RM</v>
      </c>
      <c r="C47" s="160" t="str">
        <f>'試算-賓果'!C61</f>
        <v>馬來西亞令吉</v>
      </c>
      <c r="D47" s="50">
        <f>IF('試算-SLOT'!D47=1,"",'試算-SLOT'!D47)</f>
        <v>0.01</v>
      </c>
      <c r="E47" s="50">
        <f>'試算-賓果'!K61</f>
        <v>1</v>
      </c>
      <c r="F47" s="50">
        <v>1.0</v>
      </c>
      <c r="G47" s="50">
        <v>2.0</v>
      </c>
      <c r="H47" s="50">
        <v>3.0</v>
      </c>
      <c r="I47" s="50">
        <v>4.0</v>
      </c>
      <c r="J47" s="50">
        <v>5.0</v>
      </c>
      <c r="K47" s="50">
        <v>7.0</v>
      </c>
      <c r="L47" s="50">
        <v>10.0</v>
      </c>
      <c r="M47" s="50">
        <v>13.0</v>
      </c>
      <c r="N47" s="50">
        <v>15.0</v>
      </c>
      <c r="O47" s="50">
        <v>16.0</v>
      </c>
      <c r="P47" s="50">
        <v>17.0</v>
      </c>
      <c r="Q47" s="50">
        <v>18.0</v>
      </c>
      <c r="R47" s="50">
        <v>19.0</v>
      </c>
      <c r="S47" s="50">
        <v>20.0</v>
      </c>
      <c r="T47" s="50">
        <v>21.0</v>
      </c>
      <c r="U47" s="50">
        <v>22.0</v>
      </c>
      <c r="V47" s="50">
        <v>23.0</v>
      </c>
      <c r="W47" s="50">
        <v>24.0</v>
      </c>
      <c r="X47" s="50">
        <v>25.0</v>
      </c>
      <c r="Y47" s="50">
        <v>26.0</v>
      </c>
      <c r="AA47" s="36"/>
    </row>
    <row r="48" ht="16.5" customHeight="1">
      <c r="A48" s="48" t="str">
        <f>'試算-賓果'!A62</f>
        <v>XSD</v>
      </c>
      <c r="B48" s="50" t="str">
        <f>'試算-賓果'!B62</f>
        <v/>
      </c>
      <c r="C48" s="160" t="str">
        <f>'試算-賓果'!C62</f>
        <v>星幣</v>
      </c>
      <c r="D48" s="50" t="str">
        <f>IF('試算-SLOT'!D48=1,"",'試算-SLOT'!D48)</f>
        <v/>
      </c>
      <c r="E48" s="50">
        <f>'試算-賓果'!K62</f>
        <v>10</v>
      </c>
      <c r="F48" s="50">
        <v>1.0</v>
      </c>
      <c r="G48" s="50">
        <v>2.0</v>
      </c>
      <c r="H48" s="50">
        <v>3.0</v>
      </c>
      <c r="I48" s="50">
        <v>4.0</v>
      </c>
      <c r="J48" s="50">
        <v>5.0</v>
      </c>
      <c r="K48" s="50">
        <v>7.0</v>
      </c>
      <c r="L48" s="50">
        <v>10.0</v>
      </c>
      <c r="M48" s="50">
        <v>13.0</v>
      </c>
      <c r="N48" s="50">
        <v>15.0</v>
      </c>
      <c r="O48" s="50">
        <v>16.0</v>
      </c>
      <c r="P48" s="50">
        <v>17.0</v>
      </c>
      <c r="Q48" s="50">
        <v>18.0</v>
      </c>
      <c r="R48" s="50">
        <v>19.0</v>
      </c>
      <c r="S48" s="50">
        <v>20.0</v>
      </c>
      <c r="T48" s="50">
        <v>21.0</v>
      </c>
      <c r="U48" s="50">
        <v>22.0</v>
      </c>
      <c r="V48" s="50">
        <v>23.0</v>
      </c>
      <c r="W48" s="50">
        <v>24.0</v>
      </c>
      <c r="X48" s="50">
        <v>25.0</v>
      </c>
      <c r="Y48" s="50">
        <v>26.0</v>
      </c>
      <c r="AA48" s="172"/>
    </row>
    <row r="49" ht="16.5" customHeight="1">
      <c r="A49" s="48" t="str">
        <f>'試算-賓果'!A63</f>
        <v>DZD</v>
      </c>
      <c r="B49" s="50" t="str">
        <f>'試算-賓果'!B63</f>
        <v>دج</v>
      </c>
      <c r="C49" s="160" t="str">
        <f>'試算-賓果'!C63</f>
        <v>阿爾及利亞第納爾</v>
      </c>
      <c r="D49" s="50" t="str">
        <f>IF('試算-SLOT'!D49=1,"",'試算-SLOT'!D49)</f>
        <v/>
      </c>
      <c r="E49" s="50">
        <f>'試算-賓果'!K63</f>
        <v>0.2</v>
      </c>
      <c r="F49" s="50">
        <v>1.0</v>
      </c>
      <c r="G49" s="50">
        <v>2.0</v>
      </c>
      <c r="H49" s="50">
        <v>3.0</v>
      </c>
      <c r="I49" s="50">
        <v>4.0</v>
      </c>
      <c r="J49" s="50">
        <v>5.0</v>
      </c>
      <c r="K49" s="50">
        <v>7.0</v>
      </c>
      <c r="L49" s="50">
        <v>10.0</v>
      </c>
      <c r="M49" s="50">
        <v>13.0</v>
      </c>
      <c r="N49" s="50">
        <v>15.0</v>
      </c>
      <c r="O49" s="50">
        <v>16.0</v>
      </c>
      <c r="P49" s="50">
        <v>17.0</v>
      </c>
      <c r="Q49" s="50">
        <v>18.0</v>
      </c>
      <c r="R49" s="50">
        <v>19.0</v>
      </c>
      <c r="S49" s="50">
        <v>20.0</v>
      </c>
      <c r="T49" s="50">
        <v>21.0</v>
      </c>
      <c r="U49" s="50">
        <v>22.0</v>
      </c>
      <c r="V49" s="50">
        <v>23.0</v>
      </c>
      <c r="W49" s="50">
        <v>24.0</v>
      </c>
      <c r="X49" s="50">
        <v>25.0</v>
      </c>
      <c r="Y49" s="50">
        <v>26.0</v>
      </c>
      <c r="AA49" s="172"/>
    </row>
    <row r="50" ht="16.5" customHeight="1">
      <c r="A50" s="48" t="str">
        <f>'試算-賓果'!A64</f>
        <v>MAD</v>
      </c>
      <c r="B50" s="50" t="str">
        <f>'試算-賓果'!B64</f>
        <v>DH</v>
      </c>
      <c r="C50" s="160" t="str">
        <f>'試算-賓果'!C64</f>
        <v>摩洛哥迪拉姆</v>
      </c>
      <c r="D50" s="50" t="str">
        <f>IF('試算-SLOT'!D50=1,"",'試算-SLOT'!D50)</f>
        <v/>
      </c>
      <c r="E50" s="50">
        <f>'試算-賓果'!K64</f>
        <v>0.02</v>
      </c>
      <c r="F50" s="50">
        <v>1.0</v>
      </c>
      <c r="G50" s="50">
        <v>2.0</v>
      </c>
      <c r="H50" s="50">
        <v>3.0</v>
      </c>
      <c r="I50" s="50">
        <v>4.0</v>
      </c>
      <c r="J50" s="50">
        <v>5.0</v>
      </c>
      <c r="K50" s="50">
        <v>7.0</v>
      </c>
      <c r="L50" s="50">
        <v>10.0</v>
      </c>
      <c r="M50" s="50">
        <v>13.0</v>
      </c>
      <c r="N50" s="50">
        <v>15.0</v>
      </c>
      <c r="O50" s="50">
        <v>16.0</v>
      </c>
      <c r="P50" s="50">
        <v>17.0</v>
      </c>
      <c r="Q50" s="50">
        <v>18.0</v>
      </c>
      <c r="R50" s="50">
        <v>19.0</v>
      </c>
      <c r="S50" s="50">
        <v>20.0</v>
      </c>
      <c r="T50" s="50">
        <v>21.0</v>
      </c>
      <c r="U50" s="50">
        <v>22.0</v>
      </c>
      <c r="V50" s="50">
        <v>23.0</v>
      </c>
      <c r="W50" s="50">
        <v>24.0</v>
      </c>
      <c r="X50" s="50">
        <v>25.0</v>
      </c>
      <c r="Y50" s="50">
        <v>26.0</v>
      </c>
      <c r="AA50" s="172"/>
    </row>
    <row r="51" ht="16.5" customHeight="1">
      <c r="A51" s="48" t="str">
        <f>'試算-賓果'!A65</f>
        <v>FRF</v>
      </c>
      <c r="B51" s="50" t="str">
        <f>'試算-賓果'!B65</f>
        <v>₣</v>
      </c>
      <c r="C51" s="160" t="str">
        <f>'試算-賓果'!C65</f>
        <v>法國法郎</v>
      </c>
      <c r="D51" s="50" t="str">
        <f>IF('試算-SLOT'!D51=1,"",'試算-SLOT'!D51)</f>
        <v/>
      </c>
      <c r="E51" s="50">
        <f>'試算-賓果'!K65</f>
        <v>0.01</v>
      </c>
      <c r="F51" s="50">
        <v>1.0</v>
      </c>
      <c r="G51" s="50">
        <v>2.0</v>
      </c>
      <c r="H51" s="50">
        <v>3.0</v>
      </c>
      <c r="I51" s="50">
        <v>4.0</v>
      </c>
      <c r="J51" s="50">
        <v>5.0</v>
      </c>
      <c r="K51" s="50">
        <v>7.0</v>
      </c>
      <c r="L51" s="50">
        <v>10.0</v>
      </c>
      <c r="M51" s="50">
        <v>13.0</v>
      </c>
      <c r="N51" s="50">
        <v>15.0</v>
      </c>
      <c r="O51" s="50">
        <v>16.0</v>
      </c>
      <c r="P51" s="50">
        <v>17.0</v>
      </c>
      <c r="Q51" s="50">
        <v>18.0</v>
      </c>
      <c r="R51" s="50">
        <v>19.0</v>
      </c>
      <c r="S51" s="50">
        <v>20.0</v>
      </c>
      <c r="T51" s="50">
        <v>21.0</v>
      </c>
      <c r="U51" s="50">
        <v>22.0</v>
      </c>
      <c r="V51" s="50">
        <v>23.0</v>
      </c>
      <c r="W51" s="50">
        <v>24.0</v>
      </c>
      <c r="X51" s="50">
        <v>25.0</v>
      </c>
      <c r="Y51" s="50">
        <v>26.0</v>
      </c>
      <c r="AA51" s="172"/>
    </row>
    <row r="52" ht="16.5" customHeight="1">
      <c r="A52" s="48" t="str">
        <f>'試算-賓果'!A66</f>
        <v>GHS</v>
      </c>
      <c r="B52" s="50" t="str">
        <f>'試算-賓果'!B66</f>
        <v>Gp</v>
      </c>
      <c r="C52" s="160" t="str">
        <f>'試算-賓果'!C66</f>
        <v>迦納塞地</v>
      </c>
      <c r="D52" s="50" t="str">
        <f>IF('試算-SLOT'!D52=1,"",'試算-SLOT'!D52)</f>
        <v/>
      </c>
      <c r="E52" s="50">
        <f>'試算-賓果'!K66</f>
        <v>0.02</v>
      </c>
      <c r="F52" s="50">
        <v>1.0</v>
      </c>
      <c r="G52" s="50">
        <v>2.0</v>
      </c>
      <c r="H52" s="50">
        <v>3.0</v>
      </c>
      <c r="I52" s="50">
        <v>4.0</v>
      </c>
      <c r="J52" s="50">
        <v>5.0</v>
      </c>
      <c r="K52" s="50">
        <v>7.0</v>
      </c>
      <c r="L52" s="50">
        <v>10.0</v>
      </c>
      <c r="M52" s="50">
        <v>13.0</v>
      </c>
      <c r="N52" s="50">
        <v>15.0</v>
      </c>
      <c r="O52" s="50">
        <v>16.0</v>
      </c>
      <c r="P52" s="50">
        <v>17.0</v>
      </c>
      <c r="Q52" s="50">
        <v>18.0</v>
      </c>
      <c r="R52" s="50">
        <v>19.0</v>
      </c>
      <c r="S52" s="50">
        <v>20.0</v>
      </c>
      <c r="T52" s="50">
        <v>21.0</v>
      </c>
      <c r="U52" s="50">
        <v>22.0</v>
      </c>
      <c r="V52" s="50">
        <v>23.0</v>
      </c>
      <c r="W52" s="50">
        <v>24.0</v>
      </c>
      <c r="X52" s="50">
        <v>25.0</v>
      </c>
      <c r="Y52" s="50">
        <v>26.0</v>
      </c>
      <c r="AA52" s="172"/>
    </row>
    <row r="53" ht="16.5" customHeight="1">
      <c r="A53" s="82" t="str">
        <f>'試算-賓果'!A67</f>
        <v>RCC</v>
      </c>
      <c r="B53" s="84" t="str">
        <f>'試算-賓果'!B67</f>
        <v/>
      </c>
      <c r="C53" s="161" t="str">
        <f>'試算-賓果'!C67</f>
        <v>RCC幣</v>
      </c>
      <c r="D53" s="84" t="str">
        <f>IF('試算-SLOT'!D53=1,"",'試算-SLOT'!D53)</f>
        <v/>
      </c>
      <c r="E53" s="84">
        <f>'試算-賓果'!K67</f>
        <v>0.01</v>
      </c>
      <c r="F53" s="84">
        <v>1.0</v>
      </c>
      <c r="G53" s="84">
        <v>2.0</v>
      </c>
      <c r="H53" s="84">
        <v>3.0</v>
      </c>
      <c r="I53" s="84">
        <v>4.0</v>
      </c>
      <c r="J53" s="84">
        <v>5.0</v>
      </c>
      <c r="K53" s="84">
        <v>6.0</v>
      </c>
      <c r="L53" s="84">
        <v>7.0</v>
      </c>
      <c r="M53" s="84">
        <v>8.0</v>
      </c>
      <c r="N53" s="84">
        <v>9.0</v>
      </c>
      <c r="O53" s="84">
        <v>10.0</v>
      </c>
      <c r="P53" s="84">
        <v>11.0</v>
      </c>
      <c r="Q53" s="84">
        <v>12.0</v>
      </c>
      <c r="R53" s="84">
        <v>14.0</v>
      </c>
      <c r="S53" s="84">
        <v>15.0</v>
      </c>
      <c r="T53" s="84">
        <v>16.0</v>
      </c>
      <c r="U53" s="84">
        <v>17.0</v>
      </c>
      <c r="V53" s="84">
        <v>18.0</v>
      </c>
      <c r="W53" s="84">
        <v>19.0</v>
      </c>
      <c r="X53" s="84">
        <v>20.0</v>
      </c>
      <c r="Y53" s="84">
        <v>21.0</v>
      </c>
    </row>
    <row r="54" ht="16.5" customHeight="1">
      <c r="A54" s="48" t="str">
        <f>'試算-賓果'!A68</f>
        <v>KBB</v>
      </c>
      <c r="B54" s="50" t="str">
        <f>'試算-賓果'!B68</f>
        <v/>
      </c>
      <c r="C54" s="160" t="str">
        <f>'試算-賓果'!C68</f>
        <v>爸幣</v>
      </c>
      <c r="D54" s="50" t="str">
        <f>IF('試算-SLOT'!D54=1,"",'試算-SLOT'!D54)</f>
        <v/>
      </c>
      <c r="E54" s="50">
        <f>'試算-賓果'!K68</f>
        <v>0.5</v>
      </c>
      <c r="F54" s="50">
        <v>1.0</v>
      </c>
      <c r="G54" s="50">
        <v>2.0</v>
      </c>
      <c r="H54" s="50">
        <v>3.0</v>
      </c>
      <c r="I54" s="50">
        <v>4.0</v>
      </c>
      <c r="J54" s="50">
        <v>5.0</v>
      </c>
      <c r="K54" s="50">
        <v>7.0</v>
      </c>
      <c r="L54" s="50">
        <v>10.0</v>
      </c>
      <c r="M54" s="50">
        <v>13.0</v>
      </c>
      <c r="N54" s="50">
        <v>15.0</v>
      </c>
      <c r="O54" s="50">
        <v>16.0</v>
      </c>
      <c r="P54" s="50">
        <v>17.0</v>
      </c>
      <c r="Q54" s="50">
        <v>18.0</v>
      </c>
      <c r="R54" s="50">
        <v>19.0</v>
      </c>
      <c r="S54" s="50">
        <v>20.0</v>
      </c>
      <c r="T54" s="50">
        <v>21.0</v>
      </c>
      <c r="U54" s="50">
        <v>22.0</v>
      </c>
      <c r="V54" s="50">
        <v>23.0</v>
      </c>
      <c r="W54" s="50">
        <v>24.0</v>
      </c>
      <c r="X54" s="50">
        <v>25.0</v>
      </c>
      <c r="Y54" s="50">
        <v>26.0</v>
      </c>
    </row>
    <row r="55" ht="16.5" customHeight="1">
      <c r="A55" s="48" t="str">
        <f>'試算-賓果'!A69</f>
        <v>XSMY</v>
      </c>
      <c r="B55" s="50" t="str">
        <f>'試算-賓果'!B69</f>
        <v/>
      </c>
      <c r="C55" s="160" t="str">
        <f>'試算-賓果'!C69</f>
        <v>星城馬來西亞</v>
      </c>
      <c r="D55" s="50" t="str">
        <f>IF('試算-SLOT'!D55=1,"",'試算-SLOT'!D55)</f>
        <v/>
      </c>
      <c r="E55" s="50">
        <f>'試算-賓果'!K69</f>
        <v>10</v>
      </c>
      <c r="F55" s="50">
        <v>1.0</v>
      </c>
      <c r="G55" s="50">
        <v>2.0</v>
      </c>
      <c r="H55" s="50">
        <v>3.0</v>
      </c>
      <c r="I55" s="50">
        <v>4.0</v>
      </c>
      <c r="J55" s="50">
        <v>5.0</v>
      </c>
      <c r="K55" s="50">
        <v>7.0</v>
      </c>
      <c r="L55" s="50">
        <v>10.0</v>
      </c>
      <c r="M55" s="50">
        <v>13.0</v>
      </c>
      <c r="N55" s="50">
        <v>15.0</v>
      </c>
      <c r="O55" s="50">
        <v>16.0</v>
      </c>
      <c r="P55" s="50">
        <v>17.0</v>
      </c>
      <c r="Q55" s="50">
        <v>18.0</v>
      </c>
      <c r="R55" s="50">
        <v>19.0</v>
      </c>
      <c r="S55" s="50">
        <v>20.0</v>
      </c>
      <c r="T55" s="50">
        <v>21.0</v>
      </c>
      <c r="U55" s="50">
        <v>22.0</v>
      </c>
      <c r="V55" s="50">
        <v>23.0</v>
      </c>
      <c r="W55" s="50">
        <v>24.0</v>
      </c>
      <c r="X55" s="50">
        <v>25.0</v>
      </c>
      <c r="Y55" s="50">
        <v>26.0</v>
      </c>
    </row>
    <row r="56" ht="16.5" customHeight="1">
      <c r="A56" s="175"/>
      <c r="B56" s="175"/>
      <c r="C56" s="175"/>
      <c r="D56" s="175"/>
      <c r="E56" s="176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ht="16.5" customHeight="1">
      <c r="A57" s="40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</row>
    <row r="58" ht="16.5" customHeight="1">
      <c r="A58" s="74" t="str">
        <f t="shared" ref="A58:Y58" si="1">A5</f>
        <v>貨幣簡稱</v>
      </c>
      <c r="B58" s="50" t="str">
        <f t="shared" si="1"/>
        <v>貨幣符號</v>
      </c>
      <c r="C58" s="50" t="str">
        <f t="shared" si="1"/>
        <v>中文名稱</v>
      </c>
      <c r="D58" s="50" t="str">
        <f t="shared" si="1"/>
        <v>貨幣轉換</v>
      </c>
      <c r="E58" s="50" t="str">
        <f t="shared" si="1"/>
        <v>Denom</v>
      </c>
      <c r="F58" s="50" t="str">
        <f t="shared" si="1"/>
        <v>第 1 組</v>
      </c>
      <c r="G58" s="50" t="str">
        <f t="shared" si="1"/>
        <v>第 2 組</v>
      </c>
      <c r="H58" s="50" t="str">
        <f t="shared" si="1"/>
        <v>第 3 組</v>
      </c>
      <c r="I58" s="50" t="str">
        <f t="shared" si="1"/>
        <v>第 4 組</v>
      </c>
      <c r="J58" s="50" t="str">
        <f t="shared" si="1"/>
        <v>第 5 組</v>
      </c>
      <c r="K58" s="50" t="str">
        <f t="shared" si="1"/>
        <v>第 6 組</v>
      </c>
      <c r="L58" s="50" t="str">
        <f t="shared" si="1"/>
        <v>第 7 組</v>
      </c>
      <c r="M58" s="50" t="str">
        <f t="shared" si="1"/>
        <v>第 8 組</v>
      </c>
      <c r="N58" s="50" t="str">
        <f t="shared" si="1"/>
        <v>第 9 組</v>
      </c>
      <c r="O58" s="50" t="str">
        <f t="shared" si="1"/>
        <v>第 10 組</v>
      </c>
      <c r="P58" s="50" t="str">
        <f t="shared" si="1"/>
        <v>第 11 組</v>
      </c>
      <c r="Q58" s="50" t="str">
        <f t="shared" si="1"/>
        <v>第 12 組</v>
      </c>
      <c r="R58" s="50" t="str">
        <f t="shared" si="1"/>
        <v>第 13 組</v>
      </c>
      <c r="S58" s="50" t="str">
        <f t="shared" si="1"/>
        <v>第 14 組</v>
      </c>
      <c r="T58" s="50" t="str">
        <f t="shared" si="1"/>
        <v>第 15 組</v>
      </c>
      <c r="U58" s="50" t="str">
        <f t="shared" si="1"/>
        <v>第 16 組</v>
      </c>
      <c r="V58" s="50" t="str">
        <f t="shared" si="1"/>
        <v>第 17 組</v>
      </c>
      <c r="W58" s="50" t="str">
        <f t="shared" si="1"/>
        <v>第 18 組</v>
      </c>
      <c r="X58" s="50" t="str">
        <f t="shared" si="1"/>
        <v>第 19 組</v>
      </c>
      <c r="Y58" s="50" t="str">
        <f t="shared" si="1"/>
        <v>第 20 組</v>
      </c>
      <c r="Z58" s="165"/>
      <c r="AA58" s="117" t="s">
        <v>71</v>
      </c>
    </row>
    <row r="59" ht="16.5" customHeight="1">
      <c r="A59" s="48" t="str">
        <f t="shared" ref="A59:E59" si="2">A6</f>
        <v>THB</v>
      </c>
      <c r="B59" s="48" t="str">
        <f t="shared" si="2"/>
        <v>฿</v>
      </c>
      <c r="C59" s="166" t="str">
        <f t="shared" si="2"/>
        <v>泰銖</v>
      </c>
      <c r="D59" s="50" t="str">
        <f t="shared" si="2"/>
        <v/>
      </c>
      <c r="E59" s="167">
        <f t="shared" si="2"/>
        <v>0.05</v>
      </c>
      <c r="F59" s="65">
        <f t="shared" ref="F59:Y59" si="3">HLOOKUP(F6,$F$1:$AI$2,2) * $D$1 * $E59</f>
        <v>0.5</v>
      </c>
      <c r="G59" s="65">
        <f t="shared" si="3"/>
        <v>1</v>
      </c>
      <c r="H59" s="65">
        <f t="shared" si="3"/>
        <v>1.5</v>
      </c>
      <c r="I59" s="65">
        <f t="shared" si="3"/>
        <v>2</v>
      </c>
      <c r="J59" s="65">
        <f t="shared" si="3"/>
        <v>2.5</v>
      </c>
      <c r="K59" s="65">
        <f t="shared" si="3"/>
        <v>3.5</v>
      </c>
      <c r="L59" s="65">
        <f t="shared" si="3"/>
        <v>5</v>
      </c>
      <c r="M59" s="65">
        <f t="shared" si="3"/>
        <v>7.5</v>
      </c>
      <c r="N59" s="65">
        <f t="shared" si="3"/>
        <v>10</v>
      </c>
      <c r="O59" s="65">
        <f t="shared" si="3"/>
        <v>12.5</v>
      </c>
      <c r="P59" s="65">
        <f t="shared" si="3"/>
        <v>15</v>
      </c>
      <c r="Q59" s="65">
        <f t="shared" si="3"/>
        <v>17.5</v>
      </c>
      <c r="R59" s="65">
        <f t="shared" si="3"/>
        <v>20</v>
      </c>
      <c r="S59" s="65">
        <f t="shared" si="3"/>
        <v>22.5</v>
      </c>
      <c r="T59" s="65">
        <f t="shared" si="3"/>
        <v>25</v>
      </c>
      <c r="U59" s="65">
        <f t="shared" si="3"/>
        <v>27.5</v>
      </c>
      <c r="V59" s="65">
        <f t="shared" si="3"/>
        <v>32.5</v>
      </c>
      <c r="W59" s="65">
        <f t="shared" si="3"/>
        <v>37.5</v>
      </c>
      <c r="X59" s="65">
        <f t="shared" si="3"/>
        <v>50</v>
      </c>
      <c r="Y59" s="65">
        <f t="shared" si="3"/>
        <v>62.5</v>
      </c>
      <c r="Z59" s="168"/>
      <c r="AA59" s="80"/>
    </row>
    <row r="60" ht="16.5" customHeight="1">
      <c r="A60" s="48" t="str">
        <f t="shared" ref="A60:E60" si="4">A7</f>
        <v>HKD</v>
      </c>
      <c r="B60" s="48" t="str">
        <f t="shared" si="4"/>
        <v>HK$</v>
      </c>
      <c r="C60" s="166" t="str">
        <f t="shared" si="4"/>
        <v>港幣</v>
      </c>
      <c r="D60" s="50" t="str">
        <f t="shared" si="4"/>
        <v/>
      </c>
      <c r="E60" s="167">
        <f t="shared" si="4"/>
        <v>0.01</v>
      </c>
      <c r="F60" s="65">
        <f t="shared" ref="F60:Y60" si="5">HLOOKUP(F7,$F$1:$AI$2,2) * $D$1 * $E60</f>
        <v>0.1</v>
      </c>
      <c r="G60" s="65">
        <f t="shared" si="5"/>
        <v>0.2</v>
      </c>
      <c r="H60" s="65">
        <f t="shared" si="5"/>
        <v>0.3</v>
      </c>
      <c r="I60" s="65">
        <f t="shared" si="5"/>
        <v>0.4</v>
      </c>
      <c r="J60" s="65">
        <f t="shared" si="5"/>
        <v>0.5</v>
      </c>
      <c r="K60" s="65">
        <f t="shared" si="5"/>
        <v>0.7</v>
      </c>
      <c r="L60" s="65">
        <f t="shared" si="5"/>
        <v>1</v>
      </c>
      <c r="M60" s="65">
        <f t="shared" si="5"/>
        <v>1.5</v>
      </c>
      <c r="N60" s="65">
        <f t="shared" si="5"/>
        <v>2</v>
      </c>
      <c r="O60" s="65">
        <f t="shared" si="5"/>
        <v>2.5</v>
      </c>
      <c r="P60" s="65">
        <f t="shared" si="5"/>
        <v>3</v>
      </c>
      <c r="Q60" s="65">
        <f t="shared" si="5"/>
        <v>3.5</v>
      </c>
      <c r="R60" s="65">
        <f t="shared" si="5"/>
        <v>4</v>
      </c>
      <c r="S60" s="65">
        <f t="shared" si="5"/>
        <v>4.5</v>
      </c>
      <c r="T60" s="65">
        <f t="shared" si="5"/>
        <v>5</v>
      </c>
      <c r="U60" s="65">
        <f t="shared" si="5"/>
        <v>5.5</v>
      </c>
      <c r="V60" s="65">
        <f t="shared" si="5"/>
        <v>6.5</v>
      </c>
      <c r="W60" s="65">
        <f t="shared" si="5"/>
        <v>7.5</v>
      </c>
      <c r="X60" s="65">
        <f t="shared" si="5"/>
        <v>10</v>
      </c>
      <c r="Y60" s="65">
        <f t="shared" si="5"/>
        <v>12.5</v>
      </c>
      <c r="Z60" s="168"/>
      <c r="AA60" s="80"/>
    </row>
    <row r="61" ht="16.5" customHeight="1">
      <c r="A61" s="48" t="str">
        <f t="shared" ref="A61:E61" si="6">A8</f>
        <v>INR</v>
      </c>
      <c r="B61" s="48" t="str">
        <f t="shared" si="6"/>
        <v>₹</v>
      </c>
      <c r="C61" s="166" t="str">
        <f t="shared" si="6"/>
        <v>印度盧比</v>
      </c>
      <c r="D61" s="50" t="str">
        <f t="shared" si="6"/>
        <v/>
      </c>
      <c r="E61" s="167">
        <f t="shared" si="6"/>
        <v>0.1</v>
      </c>
      <c r="F61" s="65">
        <f t="shared" ref="F61:Y61" si="7">HLOOKUP(F8,$F$1:$AI$2,2) * $D$1 * $E61</f>
        <v>1</v>
      </c>
      <c r="G61" s="65">
        <f t="shared" si="7"/>
        <v>2</v>
      </c>
      <c r="H61" s="65">
        <f t="shared" si="7"/>
        <v>3</v>
      </c>
      <c r="I61" s="65">
        <f t="shared" si="7"/>
        <v>4</v>
      </c>
      <c r="J61" s="65">
        <f t="shared" si="7"/>
        <v>5</v>
      </c>
      <c r="K61" s="65">
        <f t="shared" si="7"/>
        <v>7</v>
      </c>
      <c r="L61" s="65">
        <f t="shared" si="7"/>
        <v>10</v>
      </c>
      <c r="M61" s="65">
        <f t="shared" si="7"/>
        <v>15</v>
      </c>
      <c r="N61" s="65">
        <f t="shared" si="7"/>
        <v>20</v>
      </c>
      <c r="O61" s="65">
        <f t="shared" si="7"/>
        <v>25</v>
      </c>
      <c r="P61" s="65">
        <f t="shared" si="7"/>
        <v>30</v>
      </c>
      <c r="Q61" s="65">
        <f t="shared" si="7"/>
        <v>35</v>
      </c>
      <c r="R61" s="65">
        <f t="shared" si="7"/>
        <v>40</v>
      </c>
      <c r="S61" s="65">
        <f t="shared" si="7"/>
        <v>45</v>
      </c>
      <c r="T61" s="65">
        <f t="shared" si="7"/>
        <v>50</v>
      </c>
      <c r="U61" s="65">
        <f t="shared" si="7"/>
        <v>55</v>
      </c>
      <c r="V61" s="65">
        <f t="shared" si="7"/>
        <v>65</v>
      </c>
      <c r="W61" s="65">
        <f t="shared" si="7"/>
        <v>75</v>
      </c>
      <c r="X61" s="65">
        <f t="shared" si="7"/>
        <v>100</v>
      </c>
      <c r="Y61" s="65">
        <f t="shared" si="7"/>
        <v>125</v>
      </c>
      <c r="Z61" s="168"/>
      <c r="AA61" s="80"/>
    </row>
    <row r="62" ht="16.5" customHeight="1">
      <c r="A62" s="48" t="str">
        <f t="shared" ref="A62:E62" si="8">A9</f>
        <v>IDR</v>
      </c>
      <c r="B62" s="48" t="str">
        <f t="shared" si="8"/>
        <v>Rp</v>
      </c>
      <c r="C62" s="166" t="str">
        <f t="shared" si="8"/>
        <v>印尼盧比(K)</v>
      </c>
      <c r="D62" s="50">
        <f t="shared" si="8"/>
        <v>1000</v>
      </c>
      <c r="E62" s="167">
        <f t="shared" si="8"/>
        <v>0.02</v>
      </c>
      <c r="F62" s="65">
        <f t="shared" ref="F62:Y62" si="9">HLOOKUP(F9,$F$1:$AI$2,2) * $D$1 * $E62</f>
        <v>0.2</v>
      </c>
      <c r="G62" s="65">
        <f t="shared" si="9"/>
        <v>0.4</v>
      </c>
      <c r="H62" s="65">
        <f t="shared" si="9"/>
        <v>0.6</v>
      </c>
      <c r="I62" s="65">
        <f t="shared" si="9"/>
        <v>0.8</v>
      </c>
      <c r="J62" s="65">
        <f t="shared" si="9"/>
        <v>1</v>
      </c>
      <c r="K62" s="65">
        <f t="shared" si="9"/>
        <v>1.4</v>
      </c>
      <c r="L62" s="65">
        <f t="shared" si="9"/>
        <v>2</v>
      </c>
      <c r="M62" s="65">
        <f t="shared" si="9"/>
        <v>3</v>
      </c>
      <c r="N62" s="65">
        <f t="shared" si="9"/>
        <v>4</v>
      </c>
      <c r="O62" s="65">
        <f t="shared" si="9"/>
        <v>5</v>
      </c>
      <c r="P62" s="65">
        <f t="shared" si="9"/>
        <v>6</v>
      </c>
      <c r="Q62" s="65">
        <f t="shared" si="9"/>
        <v>7</v>
      </c>
      <c r="R62" s="65">
        <f t="shared" si="9"/>
        <v>8</v>
      </c>
      <c r="S62" s="65">
        <f t="shared" si="9"/>
        <v>9</v>
      </c>
      <c r="T62" s="65">
        <f t="shared" si="9"/>
        <v>10</v>
      </c>
      <c r="U62" s="65">
        <f t="shared" si="9"/>
        <v>11</v>
      </c>
      <c r="V62" s="65">
        <f t="shared" si="9"/>
        <v>13</v>
      </c>
      <c r="W62" s="65">
        <f t="shared" si="9"/>
        <v>15</v>
      </c>
      <c r="X62" s="65">
        <f t="shared" si="9"/>
        <v>20</v>
      </c>
      <c r="Y62" s="65">
        <f t="shared" si="9"/>
        <v>25</v>
      </c>
      <c r="Z62" s="168"/>
      <c r="AA62" s="80"/>
    </row>
    <row r="63" ht="16.5" customHeight="1">
      <c r="A63" s="48" t="str">
        <f t="shared" ref="A63:E63" si="10">A10</f>
        <v>VND</v>
      </c>
      <c r="B63" s="48" t="str">
        <f t="shared" si="10"/>
        <v>₫</v>
      </c>
      <c r="C63" s="166" t="str">
        <f t="shared" si="10"/>
        <v>越南盾(K)</v>
      </c>
      <c r="D63" s="50">
        <f t="shared" si="10"/>
        <v>1000</v>
      </c>
      <c r="E63" s="167">
        <f t="shared" si="10"/>
        <v>0.04</v>
      </c>
      <c r="F63" s="65">
        <f t="shared" ref="F63:Y63" si="11">HLOOKUP(F10,$F$1:$AI$2,2) * $D$1 * $E63</f>
        <v>0.4</v>
      </c>
      <c r="G63" s="65">
        <f t="shared" si="11"/>
        <v>0.8</v>
      </c>
      <c r="H63" s="65">
        <f t="shared" si="11"/>
        <v>1.2</v>
      </c>
      <c r="I63" s="65">
        <f t="shared" si="11"/>
        <v>1.6</v>
      </c>
      <c r="J63" s="65">
        <f t="shared" si="11"/>
        <v>2</v>
      </c>
      <c r="K63" s="65">
        <f t="shared" si="11"/>
        <v>2.8</v>
      </c>
      <c r="L63" s="65">
        <f t="shared" si="11"/>
        <v>4</v>
      </c>
      <c r="M63" s="65">
        <f t="shared" si="11"/>
        <v>6</v>
      </c>
      <c r="N63" s="65">
        <f t="shared" si="11"/>
        <v>8</v>
      </c>
      <c r="O63" s="65">
        <f t="shared" si="11"/>
        <v>10</v>
      </c>
      <c r="P63" s="65">
        <f t="shared" si="11"/>
        <v>12</v>
      </c>
      <c r="Q63" s="65">
        <f t="shared" si="11"/>
        <v>14</v>
      </c>
      <c r="R63" s="65">
        <f t="shared" si="11"/>
        <v>16</v>
      </c>
      <c r="S63" s="65">
        <f t="shared" si="11"/>
        <v>18</v>
      </c>
      <c r="T63" s="65">
        <f t="shared" si="11"/>
        <v>20</v>
      </c>
      <c r="U63" s="65">
        <f t="shared" si="11"/>
        <v>22</v>
      </c>
      <c r="V63" s="65">
        <f t="shared" si="11"/>
        <v>26</v>
      </c>
      <c r="W63" s="65">
        <f t="shared" si="11"/>
        <v>30</v>
      </c>
      <c r="X63" s="65">
        <f t="shared" si="11"/>
        <v>40</v>
      </c>
      <c r="Y63" s="65">
        <f t="shared" si="11"/>
        <v>50</v>
      </c>
      <c r="Z63" s="168"/>
      <c r="AA63" s="80"/>
    </row>
    <row r="64" ht="16.5" customHeight="1">
      <c r="A64" s="48" t="str">
        <f t="shared" ref="A64:E64" si="12">A11</f>
        <v>MYR</v>
      </c>
      <c r="B64" s="48" t="str">
        <f t="shared" si="12"/>
        <v>RM</v>
      </c>
      <c r="C64" s="166" t="str">
        <f t="shared" si="12"/>
        <v>馬來西亞令吉</v>
      </c>
      <c r="D64" s="50" t="str">
        <f t="shared" si="12"/>
        <v/>
      </c>
      <c r="E64" s="167">
        <f t="shared" si="12"/>
        <v>0.01</v>
      </c>
      <c r="F64" s="65">
        <f t="shared" ref="F64:Y64" si="13">HLOOKUP(F11,$F$1:$AI$2,2) * $D$1 * $E64</f>
        <v>0.1</v>
      </c>
      <c r="G64" s="65">
        <f t="shared" si="13"/>
        <v>0.2</v>
      </c>
      <c r="H64" s="65">
        <f t="shared" si="13"/>
        <v>0.3</v>
      </c>
      <c r="I64" s="65">
        <f t="shared" si="13"/>
        <v>0.4</v>
      </c>
      <c r="J64" s="65">
        <f t="shared" si="13"/>
        <v>0.5</v>
      </c>
      <c r="K64" s="65">
        <f t="shared" si="13"/>
        <v>0.7</v>
      </c>
      <c r="L64" s="65">
        <f t="shared" si="13"/>
        <v>1</v>
      </c>
      <c r="M64" s="65">
        <f t="shared" si="13"/>
        <v>1.5</v>
      </c>
      <c r="N64" s="65">
        <f t="shared" si="13"/>
        <v>2</v>
      </c>
      <c r="O64" s="65">
        <f t="shared" si="13"/>
        <v>2.5</v>
      </c>
      <c r="P64" s="65">
        <f t="shared" si="13"/>
        <v>3</v>
      </c>
      <c r="Q64" s="65">
        <f t="shared" si="13"/>
        <v>3.5</v>
      </c>
      <c r="R64" s="65">
        <f t="shared" si="13"/>
        <v>4</v>
      </c>
      <c r="S64" s="65">
        <f t="shared" si="13"/>
        <v>4.5</v>
      </c>
      <c r="T64" s="65">
        <f t="shared" si="13"/>
        <v>5</v>
      </c>
      <c r="U64" s="65">
        <f t="shared" si="13"/>
        <v>5.5</v>
      </c>
      <c r="V64" s="65">
        <f t="shared" si="13"/>
        <v>6.5</v>
      </c>
      <c r="W64" s="65">
        <f t="shared" si="13"/>
        <v>7.5</v>
      </c>
      <c r="X64" s="65">
        <f t="shared" si="13"/>
        <v>10</v>
      </c>
      <c r="Y64" s="65">
        <f t="shared" si="13"/>
        <v>12.5</v>
      </c>
      <c r="Z64" s="168"/>
      <c r="AA64" s="80"/>
    </row>
    <row r="65" ht="16.5" customHeight="1">
      <c r="A65" s="82" t="str">
        <f t="shared" ref="A65:E65" si="14">A12</f>
        <v>SGD</v>
      </c>
      <c r="B65" s="82" t="str">
        <f t="shared" si="14"/>
        <v>S$</v>
      </c>
      <c r="C65" s="177" t="str">
        <f t="shared" si="14"/>
        <v>新加坡幣</v>
      </c>
      <c r="D65" s="84" t="str">
        <f t="shared" si="14"/>
        <v/>
      </c>
      <c r="E65" s="178">
        <f t="shared" si="14"/>
        <v>0.01</v>
      </c>
      <c r="F65" s="86">
        <f t="shared" ref="F65:Y65" si="15">HLOOKUP(F12,$F$1:$AI$2,2) * $D$1 * $E65</f>
        <v>0.1</v>
      </c>
      <c r="G65" s="86">
        <f t="shared" si="15"/>
        <v>0.2</v>
      </c>
      <c r="H65" s="86">
        <f t="shared" si="15"/>
        <v>0.3</v>
      </c>
      <c r="I65" s="86">
        <f t="shared" si="15"/>
        <v>0.4</v>
      </c>
      <c r="J65" s="86">
        <f t="shared" si="15"/>
        <v>0.5</v>
      </c>
      <c r="K65" s="86">
        <f t="shared" si="15"/>
        <v>0.6</v>
      </c>
      <c r="L65" s="86">
        <f t="shared" si="15"/>
        <v>0.7</v>
      </c>
      <c r="M65" s="86">
        <f t="shared" si="15"/>
        <v>0.8</v>
      </c>
      <c r="N65" s="86">
        <f t="shared" si="15"/>
        <v>0.9</v>
      </c>
      <c r="O65" s="86">
        <f t="shared" si="15"/>
        <v>1</v>
      </c>
      <c r="P65" s="86">
        <f t="shared" si="15"/>
        <v>1.2</v>
      </c>
      <c r="Q65" s="86">
        <f t="shared" si="15"/>
        <v>1.4</v>
      </c>
      <c r="R65" s="86">
        <f t="shared" si="15"/>
        <v>1.6</v>
      </c>
      <c r="S65" s="86">
        <f t="shared" si="15"/>
        <v>2</v>
      </c>
      <c r="T65" s="86">
        <f t="shared" si="15"/>
        <v>2.5</v>
      </c>
      <c r="U65" s="86">
        <f t="shared" si="15"/>
        <v>3</v>
      </c>
      <c r="V65" s="86">
        <f t="shared" si="15"/>
        <v>3.5</v>
      </c>
      <c r="W65" s="86">
        <f t="shared" si="15"/>
        <v>4</v>
      </c>
      <c r="X65" s="86">
        <f t="shared" si="15"/>
        <v>4.5</v>
      </c>
      <c r="Y65" s="86">
        <f t="shared" si="15"/>
        <v>5</v>
      </c>
      <c r="Z65" s="168"/>
      <c r="AA65" s="80"/>
    </row>
    <row r="66" ht="16.5" customHeight="1">
      <c r="A66" s="82" t="str">
        <f t="shared" ref="A66:E66" si="16">A13</f>
        <v>USD</v>
      </c>
      <c r="B66" s="82" t="str">
        <f t="shared" si="16"/>
        <v>$</v>
      </c>
      <c r="C66" s="177" t="str">
        <f t="shared" si="16"/>
        <v>美元</v>
      </c>
      <c r="D66" s="84" t="str">
        <f t="shared" si="16"/>
        <v/>
      </c>
      <c r="E66" s="178">
        <f t="shared" si="16"/>
        <v>0.01</v>
      </c>
      <c r="F66" s="86">
        <f t="shared" ref="F66:Y66" si="17">HLOOKUP(F13,$F$1:$AI$2,2) * $D$1 * $E66</f>
        <v>0.1</v>
      </c>
      <c r="G66" s="86">
        <f t="shared" si="17"/>
        <v>0.2</v>
      </c>
      <c r="H66" s="86">
        <f t="shared" si="17"/>
        <v>0.3</v>
      </c>
      <c r="I66" s="86">
        <f t="shared" si="17"/>
        <v>0.4</v>
      </c>
      <c r="J66" s="86">
        <f t="shared" si="17"/>
        <v>0.5</v>
      </c>
      <c r="K66" s="86">
        <f t="shared" si="17"/>
        <v>0.6</v>
      </c>
      <c r="L66" s="86">
        <f t="shared" si="17"/>
        <v>0.7</v>
      </c>
      <c r="M66" s="86">
        <f t="shared" si="17"/>
        <v>0.8</v>
      </c>
      <c r="N66" s="86">
        <f t="shared" si="17"/>
        <v>0.9</v>
      </c>
      <c r="O66" s="86">
        <f t="shared" si="17"/>
        <v>1</v>
      </c>
      <c r="P66" s="86">
        <f t="shared" si="17"/>
        <v>1.2</v>
      </c>
      <c r="Q66" s="86">
        <f t="shared" si="17"/>
        <v>1.4</v>
      </c>
      <c r="R66" s="86">
        <f t="shared" si="17"/>
        <v>1.6</v>
      </c>
      <c r="S66" s="86">
        <f t="shared" si="17"/>
        <v>2</v>
      </c>
      <c r="T66" s="86">
        <f t="shared" si="17"/>
        <v>2.5</v>
      </c>
      <c r="U66" s="86">
        <f t="shared" si="17"/>
        <v>3</v>
      </c>
      <c r="V66" s="86">
        <f t="shared" si="17"/>
        <v>3.5</v>
      </c>
      <c r="W66" s="86">
        <f t="shared" si="17"/>
        <v>4</v>
      </c>
      <c r="X66" s="86">
        <f t="shared" si="17"/>
        <v>4.5</v>
      </c>
      <c r="Y66" s="86">
        <f t="shared" si="17"/>
        <v>5</v>
      </c>
      <c r="Z66" s="168"/>
      <c r="AA66" s="80"/>
    </row>
    <row r="67" ht="16.5" customHeight="1">
      <c r="A67" s="48" t="str">
        <f t="shared" ref="A67:E67" si="18">A14</f>
        <v>BDT</v>
      </c>
      <c r="B67" s="48" t="str">
        <f t="shared" si="18"/>
        <v>৳</v>
      </c>
      <c r="C67" s="166" t="str">
        <f t="shared" si="18"/>
        <v>孟加拉塔卡</v>
      </c>
      <c r="D67" s="50" t="str">
        <f t="shared" si="18"/>
        <v/>
      </c>
      <c r="E67" s="167">
        <f t="shared" si="18"/>
        <v>0.1</v>
      </c>
      <c r="F67" s="65">
        <f t="shared" ref="F67:Y67" si="19">HLOOKUP(F14,$F$1:$AI$2,2) * $D$1 * $E67</f>
        <v>1</v>
      </c>
      <c r="G67" s="65">
        <f t="shared" si="19"/>
        <v>2</v>
      </c>
      <c r="H67" s="65">
        <f t="shared" si="19"/>
        <v>3</v>
      </c>
      <c r="I67" s="65">
        <f t="shared" si="19"/>
        <v>4</v>
      </c>
      <c r="J67" s="65">
        <f t="shared" si="19"/>
        <v>5</v>
      </c>
      <c r="K67" s="65">
        <f t="shared" si="19"/>
        <v>7</v>
      </c>
      <c r="L67" s="65">
        <f t="shared" si="19"/>
        <v>10</v>
      </c>
      <c r="M67" s="65">
        <f t="shared" si="19"/>
        <v>15</v>
      </c>
      <c r="N67" s="65">
        <f t="shared" si="19"/>
        <v>20</v>
      </c>
      <c r="O67" s="65">
        <f t="shared" si="19"/>
        <v>25</v>
      </c>
      <c r="P67" s="65">
        <f t="shared" si="19"/>
        <v>30</v>
      </c>
      <c r="Q67" s="65">
        <f t="shared" si="19"/>
        <v>35</v>
      </c>
      <c r="R67" s="65">
        <f t="shared" si="19"/>
        <v>40</v>
      </c>
      <c r="S67" s="65">
        <f t="shared" si="19"/>
        <v>45</v>
      </c>
      <c r="T67" s="65">
        <f t="shared" si="19"/>
        <v>50</v>
      </c>
      <c r="U67" s="65">
        <f t="shared" si="19"/>
        <v>55</v>
      </c>
      <c r="V67" s="65">
        <f t="shared" si="19"/>
        <v>65</v>
      </c>
      <c r="W67" s="65">
        <f t="shared" si="19"/>
        <v>75</v>
      </c>
      <c r="X67" s="65">
        <f t="shared" si="19"/>
        <v>100</v>
      </c>
      <c r="Y67" s="65">
        <f t="shared" si="19"/>
        <v>125</v>
      </c>
      <c r="Z67" s="168"/>
      <c r="AA67" s="80"/>
    </row>
    <row r="68" ht="16.5" customHeight="1">
      <c r="A68" s="48" t="str">
        <f t="shared" ref="A68:E68" si="20">A15</f>
        <v>PKR</v>
      </c>
      <c r="B68" s="48" t="str">
        <f t="shared" si="20"/>
        <v>₨</v>
      </c>
      <c r="C68" s="166" t="str">
        <f t="shared" si="20"/>
        <v>巴基斯坦盧比</v>
      </c>
      <c r="D68" s="50" t="str">
        <f t="shared" si="20"/>
        <v/>
      </c>
      <c r="E68" s="167">
        <f t="shared" si="20"/>
        <v>0.25</v>
      </c>
      <c r="F68" s="65">
        <f t="shared" ref="F68:Y68" si="21">HLOOKUP(F15,$F$1:$AI$2,2) * $D$1 * $E68</f>
        <v>2.5</v>
      </c>
      <c r="G68" s="65">
        <f t="shared" si="21"/>
        <v>5</v>
      </c>
      <c r="H68" s="65">
        <f t="shared" si="21"/>
        <v>7.5</v>
      </c>
      <c r="I68" s="65">
        <f t="shared" si="21"/>
        <v>10</v>
      </c>
      <c r="J68" s="65">
        <f t="shared" si="21"/>
        <v>12.5</v>
      </c>
      <c r="K68" s="65">
        <f t="shared" si="21"/>
        <v>17.5</v>
      </c>
      <c r="L68" s="65">
        <f t="shared" si="21"/>
        <v>25</v>
      </c>
      <c r="M68" s="65">
        <f t="shared" si="21"/>
        <v>37.5</v>
      </c>
      <c r="N68" s="65">
        <f t="shared" si="21"/>
        <v>50</v>
      </c>
      <c r="O68" s="65">
        <f t="shared" si="21"/>
        <v>62.5</v>
      </c>
      <c r="P68" s="65">
        <f t="shared" si="21"/>
        <v>75</v>
      </c>
      <c r="Q68" s="65">
        <f t="shared" si="21"/>
        <v>87.5</v>
      </c>
      <c r="R68" s="65">
        <f t="shared" si="21"/>
        <v>100</v>
      </c>
      <c r="S68" s="65">
        <f t="shared" si="21"/>
        <v>112.5</v>
      </c>
      <c r="T68" s="65">
        <f t="shared" si="21"/>
        <v>125</v>
      </c>
      <c r="U68" s="65">
        <f t="shared" si="21"/>
        <v>137.5</v>
      </c>
      <c r="V68" s="65">
        <f t="shared" si="21"/>
        <v>162.5</v>
      </c>
      <c r="W68" s="65">
        <f t="shared" si="21"/>
        <v>187.5</v>
      </c>
      <c r="X68" s="65">
        <f t="shared" si="21"/>
        <v>250</v>
      </c>
      <c r="Y68" s="65">
        <f t="shared" si="21"/>
        <v>312.5</v>
      </c>
      <c r="Z68" s="168"/>
      <c r="AA68" s="80"/>
    </row>
    <row r="69" ht="16.5" customHeight="1">
      <c r="A69" s="82" t="str">
        <f t="shared" ref="A69:E69" si="22">A16</f>
        <v>MMK</v>
      </c>
      <c r="B69" s="82" t="str">
        <f t="shared" si="22"/>
        <v>K</v>
      </c>
      <c r="C69" s="177" t="str">
        <f t="shared" si="22"/>
        <v>緬甸元(K)</v>
      </c>
      <c r="D69" s="84">
        <f t="shared" si="22"/>
        <v>1000</v>
      </c>
      <c r="E69" s="178">
        <f t="shared" si="22"/>
        <v>0.01</v>
      </c>
      <c r="F69" s="86">
        <f t="shared" ref="F69:Y69" si="23">HLOOKUP(F16,$F$1:$AI$2,2) * $D$1 * $E69</f>
        <v>0.1</v>
      </c>
      <c r="G69" s="86">
        <f t="shared" si="23"/>
        <v>0.2</v>
      </c>
      <c r="H69" s="86">
        <f t="shared" si="23"/>
        <v>0.3</v>
      </c>
      <c r="I69" s="86">
        <f t="shared" si="23"/>
        <v>0.4</v>
      </c>
      <c r="J69" s="86">
        <f t="shared" si="23"/>
        <v>0.5</v>
      </c>
      <c r="K69" s="86">
        <f t="shared" si="23"/>
        <v>0.6</v>
      </c>
      <c r="L69" s="86">
        <f t="shared" si="23"/>
        <v>0.7</v>
      </c>
      <c r="M69" s="86">
        <f t="shared" si="23"/>
        <v>0.8</v>
      </c>
      <c r="N69" s="86">
        <f t="shared" si="23"/>
        <v>0.9</v>
      </c>
      <c r="O69" s="86">
        <f t="shared" si="23"/>
        <v>1</v>
      </c>
      <c r="P69" s="86">
        <f t="shared" si="23"/>
        <v>1.2</v>
      </c>
      <c r="Q69" s="86">
        <f t="shared" si="23"/>
        <v>1.4</v>
      </c>
      <c r="R69" s="86">
        <f t="shared" si="23"/>
        <v>1.6</v>
      </c>
      <c r="S69" s="86">
        <f t="shared" si="23"/>
        <v>2</v>
      </c>
      <c r="T69" s="86">
        <f t="shared" si="23"/>
        <v>2.5</v>
      </c>
      <c r="U69" s="86">
        <f t="shared" si="23"/>
        <v>3</v>
      </c>
      <c r="V69" s="86">
        <f t="shared" si="23"/>
        <v>3.5</v>
      </c>
      <c r="W69" s="86">
        <f t="shared" si="23"/>
        <v>4</v>
      </c>
      <c r="X69" s="86">
        <f t="shared" si="23"/>
        <v>4.5</v>
      </c>
      <c r="Y69" s="86">
        <f t="shared" si="23"/>
        <v>5</v>
      </c>
      <c r="Z69" s="168"/>
      <c r="AA69" s="80"/>
    </row>
    <row r="70" ht="16.5" customHeight="1">
      <c r="A70" s="82" t="str">
        <f t="shared" ref="A70:E70" si="24">A17</f>
        <v>MMH</v>
      </c>
      <c r="B70" s="82" t="str">
        <f t="shared" si="24"/>
        <v>K</v>
      </c>
      <c r="C70" s="177" t="str">
        <f t="shared" si="24"/>
        <v>緬甸元(H)</v>
      </c>
      <c r="D70" s="84">
        <f t="shared" si="24"/>
        <v>100</v>
      </c>
      <c r="E70" s="178">
        <f t="shared" si="24"/>
        <v>0.1</v>
      </c>
      <c r="F70" s="86">
        <f t="shared" ref="F70:Y70" si="25">HLOOKUP(F17,$F$1:$AI$2,2) * $D$1 * $E70</f>
        <v>1</v>
      </c>
      <c r="G70" s="86">
        <f t="shared" si="25"/>
        <v>2</v>
      </c>
      <c r="H70" s="86">
        <f t="shared" si="25"/>
        <v>3</v>
      </c>
      <c r="I70" s="86">
        <f t="shared" si="25"/>
        <v>4</v>
      </c>
      <c r="J70" s="86">
        <f t="shared" si="25"/>
        <v>5</v>
      </c>
      <c r="K70" s="86">
        <f t="shared" si="25"/>
        <v>6</v>
      </c>
      <c r="L70" s="86">
        <f t="shared" si="25"/>
        <v>7</v>
      </c>
      <c r="M70" s="86">
        <f t="shared" si="25"/>
        <v>8</v>
      </c>
      <c r="N70" s="86">
        <f t="shared" si="25"/>
        <v>9</v>
      </c>
      <c r="O70" s="86">
        <f t="shared" si="25"/>
        <v>10</v>
      </c>
      <c r="P70" s="86">
        <f t="shared" si="25"/>
        <v>12</v>
      </c>
      <c r="Q70" s="86">
        <f t="shared" si="25"/>
        <v>14</v>
      </c>
      <c r="R70" s="86">
        <f t="shared" si="25"/>
        <v>16</v>
      </c>
      <c r="S70" s="86">
        <f t="shared" si="25"/>
        <v>20</v>
      </c>
      <c r="T70" s="86">
        <f t="shared" si="25"/>
        <v>25</v>
      </c>
      <c r="U70" s="86">
        <f t="shared" si="25"/>
        <v>30</v>
      </c>
      <c r="V70" s="86">
        <f t="shared" si="25"/>
        <v>35</v>
      </c>
      <c r="W70" s="86">
        <f t="shared" si="25"/>
        <v>40</v>
      </c>
      <c r="X70" s="86">
        <f t="shared" si="25"/>
        <v>45</v>
      </c>
      <c r="Y70" s="86">
        <f t="shared" si="25"/>
        <v>50</v>
      </c>
      <c r="Z70" s="168"/>
      <c r="AA70" s="80"/>
    </row>
    <row r="71" ht="16.5" customHeight="1">
      <c r="A71" s="48" t="str">
        <f t="shared" ref="A71:E71" si="26">A18</f>
        <v>PHP</v>
      </c>
      <c r="B71" s="48" t="str">
        <f t="shared" si="26"/>
        <v>₱</v>
      </c>
      <c r="C71" s="166" t="str">
        <f t="shared" si="26"/>
        <v>菲律賓披索</v>
      </c>
      <c r="D71" s="50" t="str">
        <f t="shared" si="26"/>
        <v/>
      </c>
      <c r="E71" s="167">
        <f t="shared" si="26"/>
        <v>0.1</v>
      </c>
      <c r="F71" s="65">
        <f t="shared" ref="F71:Y71" si="27">HLOOKUP(F18,$F$1:$AI$2,2) * $D$1 * $E71</f>
        <v>1</v>
      </c>
      <c r="G71" s="65">
        <f t="shared" si="27"/>
        <v>2</v>
      </c>
      <c r="H71" s="65">
        <f t="shared" si="27"/>
        <v>3</v>
      </c>
      <c r="I71" s="65">
        <f t="shared" si="27"/>
        <v>4</v>
      </c>
      <c r="J71" s="65">
        <f t="shared" si="27"/>
        <v>5</v>
      </c>
      <c r="K71" s="65">
        <f t="shared" si="27"/>
        <v>7</v>
      </c>
      <c r="L71" s="65">
        <f t="shared" si="27"/>
        <v>10</v>
      </c>
      <c r="M71" s="65">
        <f t="shared" si="27"/>
        <v>15</v>
      </c>
      <c r="N71" s="65">
        <f t="shared" si="27"/>
        <v>20</v>
      </c>
      <c r="O71" s="65">
        <f t="shared" si="27"/>
        <v>25</v>
      </c>
      <c r="P71" s="65">
        <f t="shared" si="27"/>
        <v>30</v>
      </c>
      <c r="Q71" s="65">
        <f t="shared" si="27"/>
        <v>35</v>
      </c>
      <c r="R71" s="65">
        <f t="shared" si="27"/>
        <v>40</v>
      </c>
      <c r="S71" s="65">
        <f t="shared" si="27"/>
        <v>45</v>
      </c>
      <c r="T71" s="65">
        <f t="shared" si="27"/>
        <v>50</v>
      </c>
      <c r="U71" s="65">
        <f t="shared" si="27"/>
        <v>55</v>
      </c>
      <c r="V71" s="65">
        <f t="shared" si="27"/>
        <v>65</v>
      </c>
      <c r="W71" s="65">
        <f t="shared" si="27"/>
        <v>75</v>
      </c>
      <c r="X71" s="65">
        <f t="shared" si="27"/>
        <v>100</v>
      </c>
      <c r="Y71" s="65">
        <f t="shared" si="27"/>
        <v>125</v>
      </c>
      <c r="Z71" s="168"/>
      <c r="AA71" s="80"/>
    </row>
    <row r="72" ht="16.5" customHeight="1">
      <c r="A72" s="48" t="str">
        <f t="shared" ref="A72:E72" si="28">A19</f>
        <v>CNY</v>
      </c>
      <c r="B72" s="48" t="str">
        <f t="shared" si="28"/>
        <v>￥</v>
      </c>
      <c r="C72" s="166" t="str">
        <f t="shared" si="28"/>
        <v>人民幣</v>
      </c>
      <c r="D72" s="50" t="str">
        <f t="shared" si="28"/>
        <v/>
      </c>
      <c r="E72" s="167">
        <f t="shared" si="28"/>
        <v>0.01</v>
      </c>
      <c r="F72" s="65">
        <f t="shared" ref="F72:Y72" si="29">HLOOKUP(F19,$F$1:$AI$2,2) * $D$1 * $E72</f>
        <v>0.1</v>
      </c>
      <c r="G72" s="65">
        <f t="shared" si="29"/>
        <v>0.2</v>
      </c>
      <c r="H72" s="65">
        <f t="shared" si="29"/>
        <v>0.3</v>
      </c>
      <c r="I72" s="65">
        <f t="shared" si="29"/>
        <v>0.4</v>
      </c>
      <c r="J72" s="65">
        <f t="shared" si="29"/>
        <v>0.5</v>
      </c>
      <c r="K72" s="65">
        <f t="shared" si="29"/>
        <v>0.7</v>
      </c>
      <c r="L72" s="65">
        <f t="shared" si="29"/>
        <v>1</v>
      </c>
      <c r="M72" s="65">
        <f t="shared" si="29"/>
        <v>1.5</v>
      </c>
      <c r="N72" s="65">
        <f t="shared" si="29"/>
        <v>2</v>
      </c>
      <c r="O72" s="65">
        <f t="shared" si="29"/>
        <v>2.5</v>
      </c>
      <c r="P72" s="65">
        <f t="shared" si="29"/>
        <v>3</v>
      </c>
      <c r="Q72" s="65">
        <f t="shared" si="29"/>
        <v>3.5</v>
      </c>
      <c r="R72" s="65">
        <f t="shared" si="29"/>
        <v>4</v>
      </c>
      <c r="S72" s="65">
        <f t="shared" si="29"/>
        <v>4.5</v>
      </c>
      <c r="T72" s="65">
        <f t="shared" si="29"/>
        <v>5</v>
      </c>
      <c r="U72" s="65">
        <f t="shared" si="29"/>
        <v>5.5</v>
      </c>
      <c r="V72" s="65">
        <f t="shared" si="29"/>
        <v>6.5</v>
      </c>
      <c r="W72" s="65">
        <f t="shared" si="29"/>
        <v>7.5</v>
      </c>
      <c r="X72" s="65">
        <f t="shared" si="29"/>
        <v>10</v>
      </c>
      <c r="Y72" s="65">
        <f t="shared" si="29"/>
        <v>12.5</v>
      </c>
      <c r="Z72" s="168"/>
      <c r="AA72" s="80"/>
    </row>
    <row r="73" ht="16.5" customHeight="1">
      <c r="A73" s="48" t="str">
        <f t="shared" ref="A73:E73" si="30">A20</f>
        <v>MXN</v>
      </c>
      <c r="B73" s="48" t="str">
        <f t="shared" si="30"/>
        <v>Mex$</v>
      </c>
      <c r="C73" s="166" t="str">
        <f t="shared" si="30"/>
        <v>墨⻄哥披索</v>
      </c>
      <c r="D73" s="50" t="str">
        <f t="shared" si="30"/>
        <v/>
      </c>
      <c r="E73" s="167">
        <f t="shared" si="30"/>
        <v>0.02</v>
      </c>
      <c r="F73" s="65">
        <f t="shared" ref="F73:Y73" si="31">HLOOKUP(F20,$F$1:$AI$2,2) * $D$1 * $E73</f>
        <v>0.2</v>
      </c>
      <c r="G73" s="65">
        <f t="shared" si="31"/>
        <v>0.4</v>
      </c>
      <c r="H73" s="65">
        <f t="shared" si="31"/>
        <v>0.6</v>
      </c>
      <c r="I73" s="65">
        <f t="shared" si="31"/>
        <v>0.8</v>
      </c>
      <c r="J73" s="65">
        <f t="shared" si="31"/>
        <v>1</v>
      </c>
      <c r="K73" s="65">
        <f t="shared" si="31"/>
        <v>1.4</v>
      </c>
      <c r="L73" s="65">
        <f t="shared" si="31"/>
        <v>2</v>
      </c>
      <c r="M73" s="65">
        <f t="shared" si="31"/>
        <v>3</v>
      </c>
      <c r="N73" s="65">
        <f t="shared" si="31"/>
        <v>4</v>
      </c>
      <c r="O73" s="65">
        <f t="shared" si="31"/>
        <v>5</v>
      </c>
      <c r="P73" s="65">
        <f t="shared" si="31"/>
        <v>6</v>
      </c>
      <c r="Q73" s="65">
        <f t="shared" si="31"/>
        <v>7</v>
      </c>
      <c r="R73" s="65">
        <f t="shared" si="31"/>
        <v>8</v>
      </c>
      <c r="S73" s="65">
        <f t="shared" si="31"/>
        <v>9</v>
      </c>
      <c r="T73" s="65">
        <f t="shared" si="31"/>
        <v>10</v>
      </c>
      <c r="U73" s="65">
        <f t="shared" si="31"/>
        <v>11</v>
      </c>
      <c r="V73" s="65">
        <f t="shared" si="31"/>
        <v>13</v>
      </c>
      <c r="W73" s="65">
        <f t="shared" si="31"/>
        <v>15</v>
      </c>
      <c r="X73" s="65">
        <f t="shared" si="31"/>
        <v>20</v>
      </c>
      <c r="Y73" s="65">
        <f t="shared" si="31"/>
        <v>25</v>
      </c>
      <c r="Z73" s="169"/>
      <c r="AA73" s="80"/>
    </row>
    <row r="74" ht="16.5" customHeight="1">
      <c r="A74" s="48" t="str">
        <f t="shared" ref="A74:E74" si="32">A21</f>
        <v>BRL</v>
      </c>
      <c r="B74" s="48" t="str">
        <f t="shared" si="32"/>
        <v>R$</v>
      </c>
      <c r="C74" s="166" t="str">
        <f t="shared" si="32"/>
        <v>巴西雷亞爾</v>
      </c>
      <c r="D74" s="50" t="str">
        <f t="shared" si="32"/>
        <v/>
      </c>
      <c r="E74" s="167">
        <f t="shared" si="32"/>
        <v>0.01</v>
      </c>
      <c r="F74" s="65">
        <f t="shared" ref="F74:Y74" si="33">HLOOKUP(F21,$F$1:$AI$2,2) * $D$1 * $E74</f>
        <v>0.1</v>
      </c>
      <c r="G74" s="65">
        <f t="shared" si="33"/>
        <v>0.2</v>
      </c>
      <c r="H74" s="65">
        <f t="shared" si="33"/>
        <v>0.3</v>
      </c>
      <c r="I74" s="65">
        <f t="shared" si="33"/>
        <v>0.4</v>
      </c>
      <c r="J74" s="65">
        <f t="shared" si="33"/>
        <v>0.5</v>
      </c>
      <c r="K74" s="65">
        <f t="shared" si="33"/>
        <v>0.7</v>
      </c>
      <c r="L74" s="65">
        <f t="shared" si="33"/>
        <v>1</v>
      </c>
      <c r="M74" s="65">
        <f t="shared" si="33"/>
        <v>1.5</v>
      </c>
      <c r="N74" s="65">
        <f t="shared" si="33"/>
        <v>2</v>
      </c>
      <c r="O74" s="65">
        <f t="shared" si="33"/>
        <v>2.5</v>
      </c>
      <c r="P74" s="65">
        <f t="shared" si="33"/>
        <v>3</v>
      </c>
      <c r="Q74" s="65">
        <f t="shared" si="33"/>
        <v>3.5</v>
      </c>
      <c r="R74" s="65">
        <f t="shared" si="33"/>
        <v>4</v>
      </c>
      <c r="S74" s="65">
        <f t="shared" si="33"/>
        <v>4.5</v>
      </c>
      <c r="T74" s="65">
        <f t="shared" si="33"/>
        <v>5</v>
      </c>
      <c r="U74" s="65">
        <f t="shared" si="33"/>
        <v>5.5</v>
      </c>
      <c r="V74" s="65">
        <f t="shared" si="33"/>
        <v>6.5</v>
      </c>
      <c r="W74" s="65">
        <f t="shared" si="33"/>
        <v>7.5</v>
      </c>
      <c r="X74" s="65">
        <f t="shared" si="33"/>
        <v>10</v>
      </c>
      <c r="Y74" s="65">
        <f t="shared" si="33"/>
        <v>12.5</v>
      </c>
      <c r="Z74" s="169"/>
      <c r="AA74" s="80"/>
    </row>
    <row r="75" ht="16.5" customHeight="1">
      <c r="A75" s="82" t="str">
        <f t="shared" ref="A75:E75" si="34">A22</f>
        <v>AUD</v>
      </c>
      <c r="B75" s="82" t="str">
        <f t="shared" si="34"/>
        <v>A$</v>
      </c>
      <c r="C75" s="177" t="str">
        <f t="shared" si="34"/>
        <v>澳洲元</v>
      </c>
      <c r="D75" s="179" t="str">
        <f t="shared" si="34"/>
        <v/>
      </c>
      <c r="E75" s="178">
        <f t="shared" si="34"/>
        <v>0.01</v>
      </c>
      <c r="F75" s="86">
        <f t="shared" ref="F75:Y75" si="35">HLOOKUP(F22,$F$1:$AI$2,2) * $D$1 * $E75</f>
        <v>0.1</v>
      </c>
      <c r="G75" s="86">
        <f t="shared" si="35"/>
        <v>0.2</v>
      </c>
      <c r="H75" s="86">
        <f t="shared" si="35"/>
        <v>0.3</v>
      </c>
      <c r="I75" s="86">
        <f t="shared" si="35"/>
        <v>0.4</v>
      </c>
      <c r="J75" s="86">
        <f t="shared" si="35"/>
        <v>0.5</v>
      </c>
      <c r="K75" s="86">
        <f t="shared" si="35"/>
        <v>0.6</v>
      </c>
      <c r="L75" s="86">
        <f t="shared" si="35"/>
        <v>0.7</v>
      </c>
      <c r="M75" s="86">
        <f t="shared" si="35"/>
        <v>0.8</v>
      </c>
      <c r="N75" s="86">
        <f t="shared" si="35"/>
        <v>0.9</v>
      </c>
      <c r="O75" s="86">
        <f t="shared" si="35"/>
        <v>1</v>
      </c>
      <c r="P75" s="86">
        <f t="shared" si="35"/>
        <v>1.2</v>
      </c>
      <c r="Q75" s="86">
        <f t="shared" si="35"/>
        <v>1.4</v>
      </c>
      <c r="R75" s="86">
        <f t="shared" si="35"/>
        <v>1.6</v>
      </c>
      <c r="S75" s="86">
        <f t="shared" si="35"/>
        <v>2</v>
      </c>
      <c r="T75" s="86">
        <f t="shared" si="35"/>
        <v>2.5</v>
      </c>
      <c r="U75" s="86">
        <f t="shared" si="35"/>
        <v>3</v>
      </c>
      <c r="V75" s="86">
        <f t="shared" si="35"/>
        <v>3.5</v>
      </c>
      <c r="W75" s="86">
        <f t="shared" si="35"/>
        <v>4</v>
      </c>
      <c r="X75" s="86">
        <f t="shared" si="35"/>
        <v>4.5</v>
      </c>
      <c r="Y75" s="86">
        <f t="shared" si="35"/>
        <v>5</v>
      </c>
      <c r="Z75" s="169"/>
      <c r="AA75" s="80"/>
    </row>
    <row r="76" ht="16.5" customHeight="1">
      <c r="A76" s="48" t="str">
        <f t="shared" ref="A76:E76" si="36">A23</f>
        <v>JPY</v>
      </c>
      <c r="B76" s="48" t="str">
        <f t="shared" si="36"/>
        <v>￥</v>
      </c>
      <c r="C76" s="166" t="str">
        <f t="shared" si="36"/>
        <v>日圓</v>
      </c>
      <c r="D76" s="127" t="str">
        <f t="shared" si="36"/>
        <v/>
      </c>
      <c r="E76" s="167">
        <f t="shared" si="36"/>
        <v>0.2</v>
      </c>
      <c r="F76" s="65">
        <f t="shared" ref="F76:Y76" si="37">HLOOKUP(F23,$F$1:$AI$2,2) * $D$1 * $E76</f>
        <v>2</v>
      </c>
      <c r="G76" s="65">
        <f t="shared" si="37"/>
        <v>4</v>
      </c>
      <c r="H76" s="65">
        <f t="shared" si="37"/>
        <v>6</v>
      </c>
      <c r="I76" s="65">
        <f t="shared" si="37"/>
        <v>8</v>
      </c>
      <c r="J76" s="65">
        <f t="shared" si="37"/>
        <v>10</v>
      </c>
      <c r="K76" s="65">
        <f t="shared" si="37"/>
        <v>14</v>
      </c>
      <c r="L76" s="65">
        <f t="shared" si="37"/>
        <v>20</v>
      </c>
      <c r="M76" s="65">
        <f t="shared" si="37"/>
        <v>30</v>
      </c>
      <c r="N76" s="65">
        <f t="shared" si="37"/>
        <v>40</v>
      </c>
      <c r="O76" s="65">
        <f t="shared" si="37"/>
        <v>50</v>
      </c>
      <c r="P76" s="65">
        <f t="shared" si="37"/>
        <v>60</v>
      </c>
      <c r="Q76" s="65">
        <f t="shared" si="37"/>
        <v>70</v>
      </c>
      <c r="R76" s="65">
        <f t="shared" si="37"/>
        <v>80</v>
      </c>
      <c r="S76" s="65">
        <f t="shared" si="37"/>
        <v>90</v>
      </c>
      <c r="T76" s="65">
        <f t="shared" si="37"/>
        <v>100</v>
      </c>
      <c r="U76" s="65">
        <f t="shared" si="37"/>
        <v>110</v>
      </c>
      <c r="V76" s="65">
        <f t="shared" si="37"/>
        <v>130</v>
      </c>
      <c r="W76" s="65">
        <f t="shared" si="37"/>
        <v>150</v>
      </c>
      <c r="X76" s="65">
        <f t="shared" si="37"/>
        <v>200</v>
      </c>
      <c r="Y76" s="65">
        <f t="shared" si="37"/>
        <v>250</v>
      </c>
      <c r="Z76" s="169"/>
      <c r="AA76" s="80"/>
    </row>
    <row r="77" ht="16.5" customHeight="1">
      <c r="A77" s="48" t="str">
        <f t="shared" ref="A77:E77" si="38">A24</f>
        <v>KRW</v>
      </c>
      <c r="B77" s="48" t="str">
        <f t="shared" si="38"/>
        <v>₩</v>
      </c>
      <c r="C77" s="166" t="str">
        <f t="shared" si="38"/>
        <v>韓圓</v>
      </c>
      <c r="D77" s="127" t="str">
        <f t="shared" si="38"/>
        <v/>
      </c>
      <c r="E77" s="167">
        <f t="shared" si="38"/>
        <v>2</v>
      </c>
      <c r="F77" s="65">
        <f t="shared" ref="F77:Y77" si="39">HLOOKUP(F24,$F$1:$AI$2,2) * $D$1 * $E77</f>
        <v>20</v>
      </c>
      <c r="G77" s="65">
        <f t="shared" si="39"/>
        <v>40</v>
      </c>
      <c r="H77" s="65">
        <f t="shared" si="39"/>
        <v>60</v>
      </c>
      <c r="I77" s="65">
        <f t="shared" si="39"/>
        <v>80</v>
      </c>
      <c r="J77" s="65">
        <f t="shared" si="39"/>
        <v>100</v>
      </c>
      <c r="K77" s="65">
        <f t="shared" si="39"/>
        <v>140</v>
      </c>
      <c r="L77" s="65">
        <f t="shared" si="39"/>
        <v>200</v>
      </c>
      <c r="M77" s="65">
        <f t="shared" si="39"/>
        <v>300</v>
      </c>
      <c r="N77" s="65">
        <f t="shared" si="39"/>
        <v>400</v>
      </c>
      <c r="O77" s="65">
        <f t="shared" si="39"/>
        <v>500</v>
      </c>
      <c r="P77" s="65">
        <f t="shared" si="39"/>
        <v>600</v>
      </c>
      <c r="Q77" s="65">
        <f t="shared" si="39"/>
        <v>700</v>
      </c>
      <c r="R77" s="65">
        <f t="shared" si="39"/>
        <v>800</v>
      </c>
      <c r="S77" s="65">
        <f t="shared" si="39"/>
        <v>900</v>
      </c>
      <c r="T77" s="65">
        <f t="shared" si="39"/>
        <v>1000</v>
      </c>
      <c r="U77" s="65">
        <f t="shared" si="39"/>
        <v>1100</v>
      </c>
      <c r="V77" s="65">
        <f t="shared" si="39"/>
        <v>1300</v>
      </c>
      <c r="W77" s="65">
        <f t="shared" si="39"/>
        <v>1500</v>
      </c>
      <c r="X77" s="65">
        <f t="shared" si="39"/>
        <v>2000</v>
      </c>
      <c r="Y77" s="65">
        <f t="shared" si="39"/>
        <v>2500</v>
      </c>
      <c r="Z77" s="169"/>
      <c r="AA77" s="80"/>
    </row>
    <row r="78" ht="16.5" customHeight="1">
      <c r="A78" s="48" t="str">
        <f t="shared" ref="A78:E78" si="40">A25</f>
        <v>CLP</v>
      </c>
      <c r="B78" s="48" t="str">
        <f t="shared" si="40"/>
        <v>$</v>
      </c>
      <c r="C78" s="166" t="str">
        <f t="shared" si="40"/>
        <v>智利披索</v>
      </c>
      <c r="D78" s="127" t="str">
        <f t="shared" si="40"/>
        <v/>
      </c>
      <c r="E78" s="167">
        <f t="shared" si="40"/>
        <v>1</v>
      </c>
      <c r="F78" s="65">
        <f t="shared" ref="F78:Y78" si="41">HLOOKUP(F25,$F$1:$AI$2,2) * $D$1 * $E78</f>
        <v>10</v>
      </c>
      <c r="G78" s="65">
        <f t="shared" si="41"/>
        <v>20</v>
      </c>
      <c r="H78" s="65">
        <f t="shared" si="41"/>
        <v>30</v>
      </c>
      <c r="I78" s="65">
        <f t="shared" si="41"/>
        <v>40</v>
      </c>
      <c r="J78" s="65">
        <f t="shared" si="41"/>
        <v>50</v>
      </c>
      <c r="K78" s="65">
        <f t="shared" si="41"/>
        <v>70</v>
      </c>
      <c r="L78" s="65">
        <f t="shared" si="41"/>
        <v>100</v>
      </c>
      <c r="M78" s="65">
        <f t="shared" si="41"/>
        <v>150</v>
      </c>
      <c r="N78" s="65">
        <f t="shared" si="41"/>
        <v>200</v>
      </c>
      <c r="O78" s="65">
        <f t="shared" si="41"/>
        <v>250</v>
      </c>
      <c r="P78" s="65">
        <f t="shared" si="41"/>
        <v>300</v>
      </c>
      <c r="Q78" s="65">
        <f t="shared" si="41"/>
        <v>350</v>
      </c>
      <c r="R78" s="65">
        <f t="shared" si="41"/>
        <v>400</v>
      </c>
      <c r="S78" s="65">
        <f t="shared" si="41"/>
        <v>450</v>
      </c>
      <c r="T78" s="65">
        <f t="shared" si="41"/>
        <v>500</v>
      </c>
      <c r="U78" s="65">
        <f t="shared" si="41"/>
        <v>550</v>
      </c>
      <c r="V78" s="65">
        <f t="shared" si="41"/>
        <v>650</v>
      </c>
      <c r="W78" s="65">
        <f t="shared" si="41"/>
        <v>750</v>
      </c>
      <c r="X78" s="65">
        <f t="shared" si="41"/>
        <v>1000</v>
      </c>
      <c r="Y78" s="65">
        <f t="shared" si="41"/>
        <v>1250</v>
      </c>
      <c r="Z78" s="169"/>
      <c r="AA78" s="80"/>
    </row>
    <row r="79" ht="16.5" customHeight="1">
      <c r="A79" s="48" t="str">
        <f t="shared" ref="A79:E79" si="42">A26</f>
        <v>MMKO</v>
      </c>
      <c r="B79" s="48" t="str">
        <f t="shared" si="42"/>
        <v>K</v>
      </c>
      <c r="C79" s="166" t="str">
        <f t="shared" si="42"/>
        <v>緬甸元</v>
      </c>
      <c r="D79" s="50" t="str">
        <f t="shared" si="42"/>
        <v/>
      </c>
      <c r="E79" s="167">
        <f t="shared" si="42"/>
        <v>2</v>
      </c>
      <c r="F79" s="65">
        <f t="shared" ref="F79:Y79" si="43">HLOOKUP(F26,$F$1:$AI$2,2) * $D$1 * $E79</f>
        <v>20</v>
      </c>
      <c r="G79" s="65">
        <f t="shared" si="43"/>
        <v>40</v>
      </c>
      <c r="H79" s="65">
        <f t="shared" si="43"/>
        <v>60</v>
      </c>
      <c r="I79" s="65">
        <f t="shared" si="43"/>
        <v>80</v>
      </c>
      <c r="J79" s="65">
        <f t="shared" si="43"/>
        <v>100</v>
      </c>
      <c r="K79" s="65">
        <f t="shared" si="43"/>
        <v>140</v>
      </c>
      <c r="L79" s="65">
        <f t="shared" si="43"/>
        <v>200</v>
      </c>
      <c r="M79" s="65">
        <f t="shared" si="43"/>
        <v>300</v>
      </c>
      <c r="N79" s="65">
        <f t="shared" si="43"/>
        <v>400</v>
      </c>
      <c r="O79" s="65">
        <f t="shared" si="43"/>
        <v>500</v>
      </c>
      <c r="P79" s="65">
        <f t="shared" si="43"/>
        <v>600</v>
      </c>
      <c r="Q79" s="65">
        <f t="shared" si="43"/>
        <v>700</v>
      </c>
      <c r="R79" s="65">
        <f t="shared" si="43"/>
        <v>800</v>
      </c>
      <c r="S79" s="65">
        <f t="shared" si="43"/>
        <v>900</v>
      </c>
      <c r="T79" s="65">
        <f t="shared" si="43"/>
        <v>1000</v>
      </c>
      <c r="U79" s="65">
        <f t="shared" si="43"/>
        <v>1100</v>
      </c>
      <c r="V79" s="65">
        <f t="shared" si="43"/>
        <v>1300</v>
      </c>
      <c r="W79" s="65">
        <f t="shared" si="43"/>
        <v>1500</v>
      </c>
      <c r="X79" s="65">
        <f t="shared" si="43"/>
        <v>2000</v>
      </c>
      <c r="Y79" s="65">
        <f t="shared" si="43"/>
        <v>2500</v>
      </c>
      <c r="Z79" s="170"/>
      <c r="AA79" s="80"/>
    </row>
    <row r="80" ht="16.5" customHeight="1">
      <c r="A80" s="48" t="str">
        <f t="shared" ref="A80:E80" si="44">A27</f>
        <v>IDRO</v>
      </c>
      <c r="B80" s="48" t="str">
        <f t="shared" si="44"/>
        <v>Rp</v>
      </c>
      <c r="C80" s="166" t="str">
        <f t="shared" si="44"/>
        <v>印尼盧比</v>
      </c>
      <c r="D80" s="50" t="str">
        <f t="shared" si="44"/>
        <v/>
      </c>
      <c r="E80" s="167">
        <f t="shared" si="44"/>
        <v>20</v>
      </c>
      <c r="F80" s="65">
        <f t="shared" ref="F80:Y80" si="45">HLOOKUP(F27,$F$1:$AI$2,2) * $D$1 * $E80</f>
        <v>200</v>
      </c>
      <c r="G80" s="65">
        <f t="shared" si="45"/>
        <v>400</v>
      </c>
      <c r="H80" s="65">
        <f t="shared" si="45"/>
        <v>600</v>
      </c>
      <c r="I80" s="65">
        <f t="shared" si="45"/>
        <v>800</v>
      </c>
      <c r="J80" s="65">
        <f t="shared" si="45"/>
        <v>1000</v>
      </c>
      <c r="K80" s="65">
        <f t="shared" si="45"/>
        <v>1400</v>
      </c>
      <c r="L80" s="65">
        <f t="shared" si="45"/>
        <v>2000</v>
      </c>
      <c r="M80" s="65">
        <f t="shared" si="45"/>
        <v>3000</v>
      </c>
      <c r="N80" s="65">
        <f t="shared" si="45"/>
        <v>4000</v>
      </c>
      <c r="O80" s="65">
        <f t="shared" si="45"/>
        <v>5000</v>
      </c>
      <c r="P80" s="65">
        <f t="shared" si="45"/>
        <v>6000</v>
      </c>
      <c r="Q80" s="65">
        <f t="shared" si="45"/>
        <v>7000</v>
      </c>
      <c r="R80" s="65">
        <f t="shared" si="45"/>
        <v>8000</v>
      </c>
      <c r="S80" s="65">
        <f t="shared" si="45"/>
        <v>9000</v>
      </c>
      <c r="T80" s="65">
        <f t="shared" si="45"/>
        <v>10000</v>
      </c>
      <c r="U80" s="65">
        <f t="shared" si="45"/>
        <v>11000</v>
      </c>
      <c r="V80" s="65">
        <f t="shared" si="45"/>
        <v>13000</v>
      </c>
      <c r="W80" s="65">
        <f t="shared" si="45"/>
        <v>15000</v>
      </c>
      <c r="X80" s="65">
        <f t="shared" si="45"/>
        <v>20000</v>
      </c>
      <c r="Y80" s="65">
        <f t="shared" si="45"/>
        <v>25000</v>
      </c>
      <c r="Z80" s="170"/>
      <c r="AA80" s="80"/>
    </row>
    <row r="81" ht="16.5" customHeight="1">
      <c r="A81" s="48" t="str">
        <f t="shared" ref="A81:E81" si="46">A28</f>
        <v>RUB</v>
      </c>
      <c r="B81" s="48" t="str">
        <f t="shared" si="46"/>
        <v>₽</v>
      </c>
      <c r="C81" s="166" t="str">
        <f t="shared" si="46"/>
        <v>盧布</v>
      </c>
      <c r="D81" s="50" t="str">
        <f t="shared" si="46"/>
        <v/>
      </c>
      <c r="E81" s="167">
        <f t="shared" si="46"/>
        <v>0.1</v>
      </c>
      <c r="F81" s="65">
        <f t="shared" ref="F81:Y81" si="47">HLOOKUP(F28,$F$1:$AI$2,2) * $D$1 * $E81</f>
        <v>1</v>
      </c>
      <c r="G81" s="65">
        <f t="shared" si="47"/>
        <v>2</v>
      </c>
      <c r="H81" s="65">
        <f t="shared" si="47"/>
        <v>3</v>
      </c>
      <c r="I81" s="65">
        <f t="shared" si="47"/>
        <v>4</v>
      </c>
      <c r="J81" s="65">
        <f t="shared" si="47"/>
        <v>5</v>
      </c>
      <c r="K81" s="65">
        <f t="shared" si="47"/>
        <v>7</v>
      </c>
      <c r="L81" s="65">
        <f t="shared" si="47"/>
        <v>10</v>
      </c>
      <c r="M81" s="65">
        <f t="shared" si="47"/>
        <v>15</v>
      </c>
      <c r="N81" s="65">
        <f t="shared" si="47"/>
        <v>20</v>
      </c>
      <c r="O81" s="65">
        <f t="shared" si="47"/>
        <v>25</v>
      </c>
      <c r="P81" s="65">
        <f t="shared" si="47"/>
        <v>30</v>
      </c>
      <c r="Q81" s="65">
        <f t="shared" si="47"/>
        <v>35</v>
      </c>
      <c r="R81" s="65">
        <f t="shared" si="47"/>
        <v>40</v>
      </c>
      <c r="S81" s="65">
        <f t="shared" si="47"/>
        <v>45</v>
      </c>
      <c r="T81" s="65">
        <f t="shared" si="47"/>
        <v>50</v>
      </c>
      <c r="U81" s="65">
        <f t="shared" si="47"/>
        <v>55</v>
      </c>
      <c r="V81" s="65">
        <f t="shared" si="47"/>
        <v>65</v>
      </c>
      <c r="W81" s="65">
        <f t="shared" si="47"/>
        <v>75</v>
      </c>
      <c r="X81" s="65">
        <f t="shared" si="47"/>
        <v>100</v>
      </c>
      <c r="Y81" s="65">
        <f t="shared" si="47"/>
        <v>125</v>
      </c>
      <c r="Z81" s="170"/>
      <c r="AA81" s="80"/>
    </row>
    <row r="82" ht="16.5" customHeight="1">
      <c r="A82" s="48" t="str">
        <f t="shared" ref="A82:E82" si="48">A29</f>
        <v>LKR</v>
      </c>
      <c r="B82" s="48" t="str">
        <f t="shared" si="48"/>
        <v>₨</v>
      </c>
      <c r="C82" s="166" t="str">
        <f t="shared" si="48"/>
        <v>斯里蘭卡盧比</v>
      </c>
      <c r="D82" s="50" t="str">
        <f t="shared" si="48"/>
        <v/>
      </c>
      <c r="E82" s="167">
        <f t="shared" si="48"/>
        <v>0.5</v>
      </c>
      <c r="F82" s="65">
        <f t="shared" ref="F82:Y82" si="49">HLOOKUP(F29,$F$1:$AI$2,2) * $D$1 * $E82</f>
        <v>5</v>
      </c>
      <c r="G82" s="65">
        <f t="shared" si="49"/>
        <v>10</v>
      </c>
      <c r="H82" s="65">
        <f t="shared" si="49"/>
        <v>15</v>
      </c>
      <c r="I82" s="65">
        <f t="shared" si="49"/>
        <v>20</v>
      </c>
      <c r="J82" s="65">
        <f t="shared" si="49"/>
        <v>25</v>
      </c>
      <c r="K82" s="65">
        <f t="shared" si="49"/>
        <v>35</v>
      </c>
      <c r="L82" s="65">
        <f t="shared" si="49"/>
        <v>50</v>
      </c>
      <c r="M82" s="65">
        <f t="shared" si="49"/>
        <v>75</v>
      </c>
      <c r="N82" s="65">
        <f t="shared" si="49"/>
        <v>100</v>
      </c>
      <c r="O82" s="65">
        <f t="shared" si="49"/>
        <v>125</v>
      </c>
      <c r="P82" s="65">
        <f t="shared" si="49"/>
        <v>150</v>
      </c>
      <c r="Q82" s="65">
        <f t="shared" si="49"/>
        <v>175</v>
      </c>
      <c r="R82" s="65">
        <f t="shared" si="49"/>
        <v>200</v>
      </c>
      <c r="S82" s="65">
        <f t="shared" si="49"/>
        <v>225</v>
      </c>
      <c r="T82" s="65">
        <f t="shared" si="49"/>
        <v>250</v>
      </c>
      <c r="U82" s="65">
        <f t="shared" si="49"/>
        <v>275</v>
      </c>
      <c r="V82" s="65">
        <f t="shared" si="49"/>
        <v>325</v>
      </c>
      <c r="W82" s="65">
        <f t="shared" si="49"/>
        <v>375</v>
      </c>
      <c r="X82" s="65">
        <f t="shared" si="49"/>
        <v>500</v>
      </c>
      <c r="Y82" s="65">
        <f t="shared" si="49"/>
        <v>625</v>
      </c>
      <c r="Z82" s="170"/>
      <c r="AA82" s="80"/>
    </row>
    <row r="83" ht="16.5" customHeight="1">
      <c r="A83" s="48" t="str">
        <f t="shared" ref="A83:E83" si="50">A30</f>
        <v>ETB</v>
      </c>
      <c r="B83" s="48" t="str">
        <f t="shared" si="50"/>
        <v>Br‎</v>
      </c>
      <c r="C83" s="166" t="str">
        <f t="shared" si="50"/>
        <v>衣索比亞比爾</v>
      </c>
      <c r="D83" s="50" t="str">
        <f t="shared" si="50"/>
        <v/>
      </c>
      <c r="E83" s="167">
        <f t="shared" si="50"/>
        <v>0.05</v>
      </c>
      <c r="F83" s="65">
        <f t="shared" ref="F83:Y83" si="51">HLOOKUP(F30,$F$1:$AI$2,2) * $D$1 * $E83</f>
        <v>0.5</v>
      </c>
      <c r="G83" s="65">
        <f t="shared" si="51"/>
        <v>1</v>
      </c>
      <c r="H83" s="65">
        <f t="shared" si="51"/>
        <v>1.5</v>
      </c>
      <c r="I83" s="65">
        <f t="shared" si="51"/>
        <v>2</v>
      </c>
      <c r="J83" s="65">
        <f t="shared" si="51"/>
        <v>2.5</v>
      </c>
      <c r="K83" s="65">
        <f t="shared" si="51"/>
        <v>3.5</v>
      </c>
      <c r="L83" s="65">
        <f t="shared" si="51"/>
        <v>5</v>
      </c>
      <c r="M83" s="65">
        <f t="shared" si="51"/>
        <v>7.5</v>
      </c>
      <c r="N83" s="65">
        <f t="shared" si="51"/>
        <v>10</v>
      </c>
      <c r="O83" s="65">
        <f t="shared" si="51"/>
        <v>12.5</v>
      </c>
      <c r="P83" s="65">
        <f t="shared" si="51"/>
        <v>15</v>
      </c>
      <c r="Q83" s="65">
        <f t="shared" si="51"/>
        <v>17.5</v>
      </c>
      <c r="R83" s="65">
        <f t="shared" si="51"/>
        <v>20</v>
      </c>
      <c r="S83" s="65">
        <f t="shared" si="51"/>
        <v>22.5</v>
      </c>
      <c r="T83" s="65">
        <f t="shared" si="51"/>
        <v>25</v>
      </c>
      <c r="U83" s="65">
        <f t="shared" si="51"/>
        <v>27.5</v>
      </c>
      <c r="V83" s="65">
        <f t="shared" si="51"/>
        <v>32.5</v>
      </c>
      <c r="W83" s="65">
        <f t="shared" si="51"/>
        <v>37.5</v>
      </c>
      <c r="X83" s="65">
        <f t="shared" si="51"/>
        <v>50</v>
      </c>
      <c r="Y83" s="65">
        <f t="shared" si="51"/>
        <v>62.5</v>
      </c>
      <c r="Z83" s="170"/>
      <c r="AA83" s="80"/>
    </row>
    <row r="84" ht="16.5" customHeight="1">
      <c r="A84" s="48" t="str">
        <f t="shared" ref="A84:E84" si="52">A31</f>
        <v>UGX</v>
      </c>
      <c r="B84" s="48" t="str">
        <f t="shared" si="52"/>
        <v>USh</v>
      </c>
      <c r="C84" s="166" t="str">
        <f t="shared" si="52"/>
        <v>烏干達先令</v>
      </c>
      <c r="D84" s="50" t="str">
        <f t="shared" si="52"/>
        <v/>
      </c>
      <c r="E84" s="167">
        <f t="shared" si="52"/>
        <v>5</v>
      </c>
      <c r="F84" s="65">
        <f t="shared" ref="F84:Y84" si="53">HLOOKUP(F31,$F$1:$AI$2,2) * $D$1 * $E84</f>
        <v>50</v>
      </c>
      <c r="G84" s="65">
        <f t="shared" si="53"/>
        <v>100</v>
      </c>
      <c r="H84" s="65">
        <f t="shared" si="53"/>
        <v>150</v>
      </c>
      <c r="I84" s="65">
        <f t="shared" si="53"/>
        <v>200</v>
      </c>
      <c r="J84" s="65">
        <f t="shared" si="53"/>
        <v>250</v>
      </c>
      <c r="K84" s="65">
        <f t="shared" si="53"/>
        <v>350</v>
      </c>
      <c r="L84" s="65">
        <f t="shared" si="53"/>
        <v>500</v>
      </c>
      <c r="M84" s="65">
        <f t="shared" si="53"/>
        <v>750</v>
      </c>
      <c r="N84" s="65">
        <f t="shared" si="53"/>
        <v>1000</v>
      </c>
      <c r="O84" s="65">
        <f t="shared" si="53"/>
        <v>1250</v>
      </c>
      <c r="P84" s="65">
        <f t="shared" si="53"/>
        <v>1500</v>
      </c>
      <c r="Q84" s="65">
        <f t="shared" si="53"/>
        <v>1750</v>
      </c>
      <c r="R84" s="65">
        <f t="shared" si="53"/>
        <v>2000</v>
      </c>
      <c r="S84" s="65">
        <f t="shared" si="53"/>
        <v>2250</v>
      </c>
      <c r="T84" s="65">
        <f t="shared" si="53"/>
        <v>2500</v>
      </c>
      <c r="U84" s="65">
        <f t="shared" si="53"/>
        <v>2750</v>
      </c>
      <c r="V84" s="65">
        <f t="shared" si="53"/>
        <v>3250</v>
      </c>
      <c r="W84" s="65">
        <f t="shared" si="53"/>
        <v>3750</v>
      </c>
      <c r="X84" s="65">
        <f t="shared" si="53"/>
        <v>5000</v>
      </c>
      <c r="Y84" s="65">
        <f t="shared" si="53"/>
        <v>6250</v>
      </c>
      <c r="Z84" s="170"/>
      <c r="AA84" s="80"/>
    </row>
    <row r="85" ht="16.5" customHeight="1">
      <c r="A85" s="82" t="str">
        <f t="shared" ref="A85:E85" si="54">A32</f>
        <v>EUR</v>
      </c>
      <c r="B85" s="82" t="str">
        <f t="shared" si="54"/>
        <v>€</v>
      </c>
      <c r="C85" s="177" t="str">
        <f t="shared" si="54"/>
        <v>歐元</v>
      </c>
      <c r="D85" s="84" t="str">
        <f t="shared" si="54"/>
        <v/>
      </c>
      <c r="E85" s="178">
        <f t="shared" si="54"/>
        <v>0.01</v>
      </c>
      <c r="F85" s="86">
        <f t="shared" ref="F85:Y85" si="55">HLOOKUP(F32,$F$1:$AI$2,2) * $D$1 * $E85</f>
        <v>0.1</v>
      </c>
      <c r="G85" s="86">
        <f t="shared" si="55"/>
        <v>0.2</v>
      </c>
      <c r="H85" s="86">
        <f t="shared" si="55"/>
        <v>0.3</v>
      </c>
      <c r="I85" s="86">
        <f t="shared" si="55"/>
        <v>0.4</v>
      </c>
      <c r="J85" s="86">
        <f t="shared" si="55"/>
        <v>0.5</v>
      </c>
      <c r="K85" s="86">
        <f t="shared" si="55"/>
        <v>0.6</v>
      </c>
      <c r="L85" s="86">
        <f t="shared" si="55"/>
        <v>0.7</v>
      </c>
      <c r="M85" s="86">
        <f t="shared" si="55"/>
        <v>0.8</v>
      </c>
      <c r="N85" s="86">
        <f t="shared" si="55"/>
        <v>0.9</v>
      </c>
      <c r="O85" s="86">
        <f t="shared" si="55"/>
        <v>1</v>
      </c>
      <c r="P85" s="86">
        <f t="shared" si="55"/>
        <v>1.2</v>
      </c>
      <c r="Q85" s="86">
        <f t="shared" si="55"/>
        <v>1.4</v>
      </c>
      <c r="R85" s="86">
        <f t="shared" si="55"/>
        <v>1.6</v>
      </c>
      <c r="S85" s="86">
        <f t="shared" si="55"/>
        <v>2</v>
      </c>
      <c r="T85" s="86">
        <f t="shared" si="55"/>
        <v>2.5</v>
      </c>
      <c r="U85" s="86">
        <f t="shared" si="55"/>
        <v>3</v>
      </c>
      <c r="V85" s="86">
        <f t="shared" si="55"/>
        <v>3.5</v>
      </c>
      <c r="W85" s="86">
        <f t="shared" si="55"/>
        <v>4</v>
      </c>
      <c r="X85" s="86">
        <f t="shared" si="55"/>
        <v>4.5</v>
      </c>
      <c r="Y85" s="86">
        <f t="shared" si="55"/>
        <v>5</v>
      </c>
      <c r="Z85" s="170"/>
      <c r="AA85" s="80"/>
    </row>
    <row r="86" ht="16.5" customHeight="1">
      <c r="A86" s="48" t="str">
        <f t="shared" ref="A86:E86" si="56">A33</f>
        <v>ARS</v>
      </c>
      <c r="B86" s="48" t="str">
        <f t="shared" si="56"/>
        <v>$</v>
      </c>
      <c r="C86" s="166" t="str">
        <f t="shared" si="56"/>
        <v>阿根廷披索</v>
      </c>
      <c r="D86" s="50" t="str">
        <f t="shared" si="56"/>
        <v/>
      </c>
      <c r="E86" s="167">
        <f t="shared" si="56"/>
        <v>0.25</v>
      </c>
      <c r="F86" s="65">
        <f t="shared" ref="F86:Y86" si="57">HLOOKUP(F33,$F$1:$AI$2,2) * $D$1 * $E86</f>
        <v>2.5</v>
      </c>
      <c r="G86" s="65">
        <f t="shared" si="57"/>
        <v>5</v>
      </c>
      <c r="H86" s="65">
        <f t="shared" si="57"/>
        <v>7.5</v>
      </c>
      <c r="I86" s="65">
        <f t="shared" si="57"/>
        <v>10</v>
      </c>
      <c r="J86" s="65">
        <f t="shared" si="57"/>
        <v>12.5</v>
      </c>
      <c r="K86" s="65">
        <f t="shared" si="57"/>
        <v>17.5</v>
      </c>
      <c r="L86" s="65">
        <f t="shared" si="57"/>
        <v>25</v>
      </c>
      <c r="M86" s="65">
        <f t="shared" si="57"/>
        <v>37.5</v>
      </c>
      <c r="N86" s="65">
        <f t="shared" si="57"/>
        <v>50</v>
      </c>
      <c r="O86" s="65">
        <f t="shared" si="57"/>
        <v>62.5</v>
      </c>
      <c r="P86" s="65">
        <f t="shared" si="57"/>
        <v>75</v>
      </c>
      <c r="Q86" s="65">
        <f t="shared" si="57"/>
        <v>87.5</v>
      </c>
      <c r="R86" s="65">
        <f t="shared" si="57"/>
        <v>100</v>
      </c>
      <c r="S86" s="65">
        <f t="shared" si="57"/>
        <v>112.5</v>
      </c>
      <c r="T86" s="65">
        <f t="shared" si="57"/>
        <v>125</v>
      </c>
      <c r="U86" s="65">
        <f t="shared" si="57"/>
        <v>137.5</v>
      </c>
      <c r="V86" s="65">
        <f t="shared" si="57"/>
        <v>162.5</v>
      </c>
      <c r="W86" s="65">
        <f t="shared" si="57"/>
        <v>187.5</v>
      </c>
      <c r="X86" s="65">
        <f t="shared" si="57"/>
        <v>250</v>
      </c>
      <c r="Y86" s="65">
        <f t="shared" si="57"/>
        <v>312.5</v>
      </c>
      <c r="Z86" s="170"/>
      <c r="AA86" s="80"/>
    </row>
    <row r="87" ht="16.5" customHeight="1">
      <c r="A87" s="48" t="str">
        <f t="shared" ref="A87:E87" si="58">A34</f>
        <v>NGN</v>
      </c>
      <c r="B87" s="48" t="str">
        <f t="shared" si="58"/>
        <v>₦</v>
      </c>
      <c r="C87" s="166" t="str">
        <f t="shared" si="58"/>
        <v>奈及利亞奈拉</v>
      </c>
      <c r="D87" s="162" t="str">
        <f t="shared" si="58"/>
        <v/>
      </c>
      <c r="E87" s="167">
        <f t="shared" si="58"/>
        <v>1</v>
      </c>
      <c r="F87" s="65">
        <f t="shared" ref="F87:Y87" si="59">HLOOKUP(F34,$F$1:$AI$2,2) * $D$1 * $E87</f>
        <v>10</v>
      </c>
      <c r="G87" s="65">
        <f t="shared" si="59"/>
        <v>20</v>
      </c>
      <c r="H87" s="65">
        <f t="shared" si="59"/>
        <v>30</v>
      </c>
      <c r="I87" s="65">
        <f t="shared" si="59"/>
        <v>40</v>
      </c>
      <c r="J87" s="65">
        <f t="shared" si="59"/>
        <v>50</v>
      </c>
      <c r="K87" s="65">
        <f t="shared" si="59"/>
        <v>70</v>
      </c>
      <c r="L87" s="65">
        <f t="shared" si="59"/>
        <v>100</v>
      </c>
      <c r="M87" s="65">
        <f t="shared" si="59"/>
        <v>150</v>
      </c>
      <c r="N87" s="65">
        <f t="shared" si="59"/>
        <v>200</v>
      </c>
      <c r="O87" s="65">
        <f t="shared" si="59"/>
        <v>250</v>
      </c>
      <c r="P87" s="65">
        <f t="shared" si="59"/>
        <v>300</v>
      </c>
      <c r="Q87" s="65">
        <f t="shared" si="59"/>
        <v>350</v>
      </c>
      <c r="R87" s="65">
        <f t="shared" si="59"/>
        <v>400</v>
      </c>
      <c r="S87" s="65">
        <f t="shared" si="59"/>
        <v>450</v>
      </c>
      <c r="T87" s="65">
        <f t="shared" si="59"/>
        <v>500</v>
      </c>
      <c r="U87" s="65">
        <f t="shared" si="59"/>
        <v>550</v>
      </c>
      <c r="V87" s="65">
        <f t="shared" si="59"/>
        <v>650</v>
      </c>
      <c r="W87" s="65">
        <f t="shared" si="59"/>
        <v>750</v>
      </c>
      <c r="X87" s="65">
        <f t="shared" si="59"/>
        <v>1000</v>
      </c>
      <c r="Y87" s="65">
        <f t="shared" si="59"/>
        <v>1250</v>
      </c>
      <c r="Z87" s="170"/>
      <c r="AA87" s="80"/>
    </row>
    <row r="88" ht="16.5" customHeight="1">
      <c r="A88" s="48" t="str">
        <f t="shared" ref="A88:E88" si="60">A35</f>
        <v>KES</v>
      </c>
      <c r="B88" s="48" t="str">
        <f t="shared" si="60"/>
        <v>KSh</v>
      </c>
      <c r="C88" s="166" t="str">
        <f t="shared" si="60"/>
        <v>肯亞先令</v>
      </c>
      <c r="D88" s="162" t="str">
        <f t="shared" si="60"/>
        <v/>
      </c>
      <c r="E88" s="167">
        <f t="shared" si="60"/>
        <v>0.2</v>
      </c>
      <c r="F88" s="65">
        <f t="shared" ref="F88:Y88" si="61">HLOOKUP(F35,$F$1:$AI$2,2) * $D$1 * $E88</f>
        <v>2</v>
      </c>
      <c r="G88" s="65">
        <f t="shared" si="61"/>
        <v>4</v>
      </c>
      <c r="H88" s="65">
        <f t="shared" si="61"/>
        <v>6</v>
      </c>
      <c r="I88" s="65">
        <f t="shared" si="61"/>
        <v>8</v>
      </c>
      <c r="J88" s="65">
        <f t="shared" si="61"/>
        <v>10</v>
      </c>
      <c r="K88" s="65">
        <f t="shared" si="61"/>
        <v>14</v>
      </c>
      <c r="L88" s="65">
        <f t="shared" si="61"/>
        <v>20</v>
      </c>
      <c r="M88" s="65">
        <f t="shared" si="61"/>
        <v>30</v>
      </c>
      <c r="N88" s="65">
        <f t="shared" si="61"/>
        <v>40</v>
      </c>
      <c r="O88" s="65">
        <f t="shared" si="61"/>
        <v>50</v>
      </c>
      <c r="P88" s="65">
        <f t="shared" si="61"/>
        <v>60</v>
      </c>
      <c r="Q88" s="65">
        <f t="shared" si="61"/>
        <v>70</v>
      </c>
      <c r="R88" s="65">
        <f t="shared" si="61"/>
        <v>80</v>
      </c>
      <c r="S88" s="65">
        <f t="shared" si="61"/>
        <v>90</v>
      </c>
      <c r="T88" s="65">
        <f t="shared" si="61"/>
        <v>100</v>
      </c>
      <c r="U88" s="65">
        <f t="shared" si="61"/>
        <v>110</v>
      </c>
      <c r="V88" s="65">
        <f t="shared" si="61"/>
        <v>130</v>
      </c>
      <c r="W88" s="65">
        <f t="shared" si="61"/>
        <v>150</v>
      </c>
      <c r="X88" s="65">
        <f t="shared" si="61"/>
        <v>200</v>
      </c>
      <c r="Y88" s="65">
        <f t="shared" si="61"/>
        <v>250</v>
      </c>
      <c r="Z88" s="170"/>
      <c r="AA88" s="80"/>
    </row>
    <row r="89" ht="16.5" customHeight="1">
      <c r="A89" s="48" t="str">
        <f t="shared" ref="A89:E89" si="62">A36</f>
        <v>ZAR</v>
      </c>
      <c r="B89" s="48" t="str">
        <f t="shared" si="62"/>
        <v>R</v>
      </c>
      <c r="C89" s="166" t="str">
        <f t="shared" si="62"/>
        <v>南非鍰</v>
      </c>
      <c r="D89" s="162" t="str">
        <f t="shared" si="62"/>
        <v/>
      </c>
      <c r="E89" s="167">
        <f t="shared" si="62"/>
        <v>0.02</v>
      </c>
      <c r="F89" s="65">
        <f t="shared" ref="F89:Y89" si="63">HLOOKUP(F36,$F$1:$AI$2,2) * $D$1 * $E89</f>
        <v>0.2</v>
      </c>
      <c r="G89" s="65">
        <f t="shared" si="63"/>
        <v>0.4</v>
      </c>
      <c r="H89" s="65">
        <f t="shared" si="63"/>
        <v>0.6</v>
      </c>
      <c r="I89" s="65">
        <f t="shared" si="63"/>
        <v>0.8</v>
      </c>
      <c r="J89" s="65">
        <f t="shared" si="63"/>
        <v>1</v>
      </c>
      <c r="K89" s="65">
        <f t="shared" si="63"/>
        <v>1.4</v>
      </c>
      <c r="L89" s="65">
        <f t="shared" si="63"/>
        <v>2</v>
      </c>
      <c r="M89" s="65">
        <f t="shared" si="63"/>
        <v>3</v>
      </c>
      <c r="N89" s="65">
        <f t="shared" si="63"/>
        <v>4</v>
      </c>
      <c r="O89" s="65">
        <f t="shared" si="63"/>
        <v>5</v>
      </c>
      <c r="P89" s="65">
        <f t="shared" si="63"/>
        <v>6</v>
      </c>
      <c r="Q89" s="65">
        <f t="shared" si="63"/>
        <v>7</v>
      </c>
      <c r="R89" s="65">
        <f t="shared" si="63"/>
        <v>8</v>
      </c>
      <c r="S89" s="65">
        <f t="shared" si="63"/>
        <v>9</v>
      </c>
      <c r="T89" s="65">
        <f t="shared" si="63"/>
        <v>10</v>
      </c>
      <c r="U89" s="65">
        <f t="shared" si="63"/>
        <v>11</v>
      </c>
      <c r="V89" s="65">
        <f t="shared" si="63"/>
        <v>13</v>
      </c>
      <c r="W89" s="65">
        <f t="shared" si="63"/>
        <v>15</v>
      </c>
      <c r="X89" s="65">
        <f t="shared" si="63"/>
        <v>20</v>
      </c>
      <c r="Y89" s="65">
        <f t="shared" si="63"/>
        <v>25</v>
      </c>
      <c r="Z89" s="170"/>
      <c r="AA89" s="80"/>
    </row>
    <row r="90" ht="16.5" customHeight="1">
      <c r="A90" s="48" t="str">
        <f t="shared" ref="A90:E90" si="64">A37</f>
        <v>TRY</v>
      </c>
      <c r="B90" s="48" t="str">
        <f t="shared" si="64"/>
        <v>₺</v>
      </c>
      <c r="C90" s="166" t="str">
        <f t="shared" si="64"/>
        <v>土耳其里拉</v>
      </c>
      <c r="D90" s="162" t="str">
        <f t="shared" si="64"/>
        <v/>
      </c>
      <c r="E90" s="167">
        <f t="shared" si="64"/>
        <v>0.04</v>
      </c>
      <c r="F90" s="65">
        <f t="shared" ref="F90:Y90" si="65">HLOOKUP(F37,$F$1:$AI$2,2) * $D$1 * $E90</f>
        <v>0.4</v>
      </c>
      <c r="G90" s="65">
        <f t="shared" si="65"/>
        <v>0.8</v>
      </c>
      <c r="H90" s="65">
        <f t="shared" si="65"/>
        <v>1.2</v>
      </c>
      <c r="I90" s="65">
        <f t="shared" si="65"/>
        <v>1.6</v>
      </c>
      <c r="J90" s="65">
        <f t="shared" si="65"/>
        <v>2</v>
      </c>
      <c r="K90" s="65">
        <f t="shared" si="65"/>
        <v>2.8</v>
      </c>
      <c r="L90" s="65">
        <f t="shared" si="65"/>
        <v>4</v>
      </c>
      <c r="M90" s="65">
        <f t="shared" si="65"/>
        <v>6</v>
      </c>
      <c r="N90" s="65">
        <f t="shared" si="65"/>
        <v>8</v>
      </c>
      <c r="O90" s="65">
        <f t="shared" si="65"/>
        <v>10</v>
      </c>
      <c r="P90" s="65">
        <f t="shared" si="65"/>
        <v>12</v>
      </c>
      <c r="Q90" s="65">
        <f t="shared" si="65"/>
        <v>14</v>
      </c>
      <c r="R90" s="65">
        <f t="shared" si="65"/>
        <v>16</v>
      </c>
      <c r="S90" s="65">
        <f t="shared" si="65"/>
        <v>18</v>
      </c>
      <c r="T90" s="65">
        <f t="shared" si="65"/>
        <v>20</v>
      </c>
      <c r="U90" s="65">
        <f t="shared" si="65"/>
        <v>22</v>
      </c>
      <c r="V90" s="65">
        <f t="shared" si="65"/>
        <v>26</v>
      </c>
      <c r="W90" s="65">
        <f t="shared" si="65"/>
        <v>30</v>
      </c>
      <c r="X90" s="65">
        <f t="shared" si="65"/>
        <v>40</v>
      </c>
      <c r="Y90" s="65">
        <f t="shared" si="65"/>
        <v>50</v>
      </c>
      <c r="Z90" s="170"/>
      <c r="AA90" s="80"/>
    </row>
    <row r="91" ht="16.5" customHeight="1">
      <c r="A91" s="82" t="str">
        <f t="shared" ref="A91:E91" si="66">A38</f>
        <v>GBP</v>
      </c>
      <c r="B91" s="82" t="str">
        <f t="shared" si="66"/>
        <v>£</v>
      </c>
      <c r="C91" s="177" t="str">
        <f t="shared" si="66"/>
        <v>英鎊</v>
      </c>
      <c r="D91" s="163" t="str">
        <f t="shared" si="66"/>
        <v/>
      </c>
      <c r="E91" s="178">
        <f t="shared" si="66"/>
        <v>0.01</v>
      </c>
      <c r="F91" s="86">
        <f t="shared" ref="F91:Y91" si="67">HLOOKUP(F38,$F$1:$AI$2,2) * $D$1 * $E91</f>
        <v>0.1</v>
      </c>
      <c r="G91" s="86">
        <f t="shared" si="67"/>
        <v>0.2</v>
      </c>
      <c r="H91" s="86">
        <f t="shared" si="67"/>
        <v>0.3</v>
      </c>
      <c r="I91" s="86">
        <f t="shared" si="67"/>
        <v>0.4</v>
      </c>
      <c r="J91" s="86">
        <f t="shared" si="67"/>
        <v>0.5</v>
      </c>
      <c r="K91" s="86">
        <f t="shared" si="67"/>
        <v>0.6</v>
      </c>
      <c r="L91" s="86">
        <f t="shared" si="67"/>
        <v>0.7</v>
      </c>
      <c r="M91" s="86">
        <f t="shared" si="67"/>
        <v>0.8</v>
      </c>
      <c r="N91" s="86">
        <f t="shared" si="67"/>
        <v>0.9</v>
      </c>
      <c r="O91" s="86">
        <f t="shared" si="67"/>
        <v>1</v>
      </c>
      <c r="P91" s="86">
        <f t="shared" si="67"/>
        <v>1.2</v>
      </c>
      <c r="Q91" s="86">
        <f t="shared" si="67"/>
        <v>1.4</v>
      </c>
      <c r="R91" s="86">
        <f t="shared" si="67"/>
        <v>1.6</v>
      </c>
      <c r="S91" s="86">
        <f t="shared" si="67"/>
        <v>2</v>
      </c>
      <c r="T91" s="86">
        <f t="shared" si="67"/>
        <v>2.5</v>
      </c>
      <c r="U91" s="86">
        <f t="shared" si="67"/>
        <v>3</v>
      </c>
      <c r="V91" s="86">
        <f t="shared" si="67"/>
        <v>3.5</v>
      </c>
      <c r="W91" s="86">
        <f t="shared" si="67"/>
        <v>4</v>
      </c>
      <c r="X91" s="86">
        <f t="shared" si="67"/>
        <v>4.5</v>
      </c>
      <c r="Y91" s="86">
        <f t="shared" si="67"/>
        <v>5</v>
      </c>
      <c r="Z91" s="170"/>
      <c r="AA91" s="80"/>
    </row>
    <row r="92" ht="16.5" customHeight="1">
      <c r="A92" s="48" t="str">
        <f t="shared" ref="A92:E92" si="68">A39</f>
        <v>NPR</v>
      </c>
      <c r="B92" s="48" t="str">
        <f t="shared" si="68"/>
        <v>रू</v>
      </c>
      <c r="C92" s="166" t="str">
        <f t="shared" si="68"/>
        <v>尼泊爾盧比</v>
      </c>
      <c r="D92" s="162" t="str">
        <f t="shared" si="68"/>
        <v/>
      </c>
      <c r="E92" s="167">
        <f t="shared" si="68"/>
        <v>0.2</v>
      </c>
      <c r="F92" s="65">
        <f t="shared" ref="F92:Y92" si="69">HLOOKUP(F39,$F$1:$AI$2,2) * $D$1 * $E92</f>
        <v>2</v>
      </c>
      <c r="G92" s="65">
        <f t="shared" si="69"/>
        <v>4</v>
      </c>
      <c r="H92" s="65">
        <f t="shared" si="69"/>
        <v>6</v>
      </c>
      <c r="I92" s="65">
        <f t="shared" si="69"/>
        <v>8</v>
      </c>
      <c r="J92" s="65">
        <f t="shared" si="69"/>
        <v>10</v>
      </c>
      <c r="K92" s="65">
        <f t="shared" si="69"/>
        <v>14</v>
      </c>
      <c r="L92" s="65">
        <f t="shared" si="69"/>
        <v>20</v>
      </c>
      <c r="M92" s="65">
        <f t="shared" si="69"/>
        <v>30</v>
      </c>
      <c r="N92" s="65">
        <f t="shared" si="69"/>
        <v>40</v>
      </c>
      <c r="O92" s="65">
        <f t="shared" si="69"/>
        <v>50</v>
      </c>
      <c r="P92" s="65">
        <f t="shared" si="69"/>
        <v>60</v>
      </c>
      <c r="Q92" s="65">
        <f t="shared" si="69"/>
        <v>70</v>
      </c>
      <c r="R92" s="65">
        <f t="shared" si="69"/>
        <v>80</v>
      </c>
      <c r="S92" s="65">
        <f t="shared" si="69"/>
        <v>90</v>
      </c>
      <c r="T92" s="65">
        <f t="shared" si="69"/>
        <v>100</v>
      </c>
      <c r="U92" s="65">
        <f t="shared" si="69"/>
        <v>110</v>
      </c>
      <c r="V92" s="65">
        <f t="shared" si="69"/>
        <v>130</v>
      </c>
      <c r="W92" s="65">
        <f t="shared" si="69"/>
        <v>150</v>
      </c>
      <c r="X92" s="65">
        <f t="shared" si="69"/>
        <v>200</v>
      </c>
      <c r="Y92" s="65">
        <f t="shared" si="69"/>
        <v>250</v>
      </c>
      <c r="Z92" s="170"/>
      <c r="AA92" s="80"/>
    </row>
    <row r="93" ht="16.5" customHeight="1">
      <c r="A93" s="82" t="str">
        <f t="shared" ref="A93:E93" si="70">A40</f>
        <v>CHF</v>
      </c>
      <c r="B93" s="82" t="str">
        <f t="shared" si="70"/>
        <v>CHF</v>
      </c>
      <c r="C93" s="177" t="str">
        <f t="shared" si="70"/>
        <v>瑞士法郎</v>
      </c>
      <c r="D93" s="163" t="str">
        <f t="shared" si="70"/>
        <v/>
      </c>
      <c r="E93" s="178">
        <f t="shared" si="70"/>
        <v>0.01</v>
      </c>
      <c r="F93" s="86">
        <f t="shared" ref="F93:Y93" si="71">HLOOKUP(F40,$F$1:$AI$2,2) * $D$1 * $E93</f>
        <v>0.1</v>
      </c>
      <c r="G93" s="86">
        <f t="shared" si="71"/>
        <v>0.2</v>
      </c>
      <c r="H93" s="86">
        <f t="shared" si="71"/>
        <v>0.3</v>
      </c>
      <c r="I93" s="86">
        <f t="shared" si="71"/>
        <v>0.4</v>
      </c>
      <c r="J93" s="86">
        <f t="shared" si="71"/>
        <v>0.5</v>
      </c>
      <c r="K93" s="86">
        <f t="shared" si="71"/>
        <v>0.6</v>
      </c>
      <c r="L93" s="86">
        <f t="shared" si="71"/>
        <v>0.7</v>
      </c>
      <c r="M93" s="86">
        <f t="shared" si="71"/>
        <v>0.8</v>
      </c>
      <c r="N93" s="86">
        <f t="shared" si="71"/>
        <v>0.9</v>
      </c>
      <c r="O93" s="86">
        <f t="shared" si="71"/>
        <v>1</v>
      </c>
      <c r="P93" s="86">
        <f t="shared" si="71"/>
        <v>1.2</v>
      </c>
      <c r="Q93" s="86">
        <f t="shared" si="71"/>
        <v>1.4</v>
      </c>
      <c r="R93" s="86">
        <f t="shared" si="71"/>
        <v>1.6</v>
      </c>
      <c r="S93" s="86">
        <f t="shared" si="71"/>
        <v>2</v>
      </c>
      <c r="T93" s="86">
        <f t="shared" si="71"/>
        <v>2.5</v>
      </c>
      <c r="U93" s="86">
        <f t="shared" si="71"/>
        <v>3</v>
      </c>
      <c r="V93" s="86">
        <f t="shared" si="71"/>
        <v>3.5</v>
      </c>
      <c r="W93" s="86">
        <f t="shared" si="71"/>
        <v>4</v>
      </c>
      <c r="X93" s="86">
        <f t="shared" si="71"/>
        <v>4.5</v>
      </c>
      <c r="Y93" s="86">
        <f t="shared" si="71"/>
        <v>5</v>
      </c>
      <c r="Z93" s="170"/>
      <c r="AA93" s="80"/>
    </row>
    <row r="94" ht="16.5" customHeight="1">
      <c r="A94" s="82" t="str">
        <f t="shared" ref="A94:E94" si="72">A41</f>
        <v>CAD</v>
      </c>
      <c r="B94" s="82" t="str">
        <f t="shared" si="72"/>
        <v>$</v>
      </c>
      <c r="C94" s="177" t="str">
        <f t="shared" si="72"/>
        <v>加幣</v>
      </c>
      <c r="D94" s="163" t="str">
        <f t="shared" si="72"/>
        <v/>
      </c>
      <c r="E94" s="178">
        <f t="shared" si="72"/>
        <v>0.01</v>
      </c>
      <c r="F94" s="86">
        <f t="shared" ref="F94:Y94" si="73">HLOOKUP(F41,$F$1:$AI$2,2) * $D$1 * $E94</f>
        <v>0.1</v>
      </c>
      <c r="G94" s="86">
        <f t="shared" si="73"/>
        <v>0.2</v>
      </c>
      <c r="H94" s="86">
        <f t="shared" si="73"/>
        <v>0.3</v>
      </c>
      <c r="I94" s="86">
        <f t="shared" si="73"/>
        <v>0.4</v>
      </c>
      <c r="J94" s="86">
        <f t="shared" si="73"/>
        <v>0.5</v>
      </c>
      <c r="K94" s="86">
        <f t="shared" si="73"/>
        <v>0.6</v>
      </c>
      <c r="L94" s="86">
        <f t="shared" si="73"/>
        <v>0.7</v>
      </c>
      <c r="M94" s="86">
        <f t="shared" si="73"/>
        <v>0.8</v>
      </c>
      <c r="N94" s="86">
        <f t="shared" si="73"/>
        <v>0.9</v>
      </c>
      <c r="O94" s="86">
        <f t="shared" si="73"/>
        <v>1</v>
      </c>
      <c r="P94" s="86">
        <f t="shared" si="73"/>
        <v>1.2</v>
      </c>
      <c r="Q94" s="86">
        <f t="shared" si="73"/>
        <v>1.4</v>
      </c>
      <c r="R94" s="86">
        <f t="shared" si="73"/>
        <v>1.6</v>
      </c>
      <c r="S94" s="86">
        <f t="shared" si="73"/>
        <v>2</v>
      </c>
      <c r="T94" s="86">
        <f t="shared" si="73"/>
        <v>2.5</v>
      </c>
      <c r="U94" s="86">
        <f t="shared" si="73"/>
        <v>3</v>
      </c>
      <c r="V94" s="86">
        <f t="shared" si="73"/>
        <v>3.5</v>
      </c>
      <c r="W94" s="86">
        <f t="shared" si="73"/>
        <v>4</v>
      </c>
      <c r="X94" s="86">
        <f t="shared" si="73"/>
        <v>4.5</v>
      </c>
      <c r="Y94" s="86">
        <f t="shared" si="73"/>
        <v>5</v>
      </c>
      <c r="Z94" s="170"/>
      <c r="AA94" s="80"/>
    </row>
    <row r="95" ht="16.5" customHeight="1">
      <c r="A95" s="48" t="str">
        <f t="shared" ref="A95:E95" si="74">A42</f>
        <v>PEN</v>
      </c>
      <c r="B95" s="48" t="str">
        <f t="shared" si="74"/>
        <v>PEN</v>
      </c>
      <c r="C95" s="166" t="str">
        <f t="shared" si="74"/>
        <v>秘魯新索爾</v>
      </c>
      <c r="D95" s="162" t="str">
        <f t="shared" si="74"/>
        <v/>
      </c>
      <c r="E95" s="167">
        <f t="shared" si="74"/>
        <v>0.01</v>
      </c>
      <c r="F95" s="65">
        <f t="shared" ref="F95:Y95" si="75">HLOOKUP(F42,$F$1:$AI$2,2) * $D$1 * $E95</f>
        <v>0.1</v>
      </c>
      <c r="G95" s="65">
        <f t="shared" si="75"/>
        <v>0.2</v>
      </c>
      <c r="H95" s="65">
        <f t="shared" si="75"/>
        <v>0.3</v>
      </c>
      <c r="I95" s="65">
        <f t="shared" si="75"/>
        <v>0.4</v>
      </c>
      <c r="J95" s="65">
        <f t="shared" si="75"/>
        <v>0.5</v>
      </c>
      <c r="K95" s="65">
        <f t="shared" si="75"/>
        <v>0.7</v>
      </c>
      <c r="L95" s="65">
        <f t="shared" si="75"/>
        <v>1</v>
      </c>
      <c r="M95" s="65">
        <f t="shared" si="75"/>
        <v>1.5</v>
      </c>
      <c r="N95" s="65">
        <f t="shared" si="75"/>
        <v>2</v>
      </c>
      <c r="O95" s="65">
        <f t="shared" si="75"/>
        <v>2.5</v>
      </c>
      <c r="P95" s="65">
        <f t="shared" si="75"/>
        <v>3</v>
      </c>
      <c r="Q95" s="65">
        <f t="shared" si="75"/>
        <v>3.5</v>
      </c>
      <c r="R95" s="65">
        <f t="shared" si="75"/>
        <v>4</v>
      </c>
      <c r="S95" s="65">
        <f t="shared" si="75"/>
        <v>4.5</v>
      </c>
      <c r="T95" s="65">
        <f t="shared" si="75"/>
        <v>5</v>
      </c>
      <c r="U95" s="65">
        <f t="shared" si="75"/>
        <v>5.5</v>
      </c>
      <c r="V95" s="65">
        <f t="shared" si="75"/>
        <v>6.5</v>
      </c>
      <c r="W95" s="65">
        <f t="shared" si="75"/>
        <v>7.5</v>
      </c>
      <c r="X95" s="65">
        <f t="shared" si="75"/>
        <v>10</v>
      </c>
      <c r="Y95" s="65">
        <f t="shared" si="75"/>
        <v>12.5</v>
      </c>
      <c r="Z95" s="170"/>
      <c r="AA95" s="80"/>
    </row>
    <row r="96" ht="16.5" customHeight="1">
      <c r="A96" s="48" t="str">
        <f t="shared" ref="A96:E96" si="76">A43</f>
        <v>AED</v>
      </c>
      <c r="B96" s="48" t="str">
        <f t="shared" si="76"/>
        <v>AED</v>
      </c>
      <c r="C96" s="166" t="str">
        <f t="shared" si="76"/>
        <v>阿聯迪拉姆</v>
      </c>
      <c r="D96" s="162" t="str">
        <f t="shared" si="76"/>
        <v/>
      </c>
      <c r="E96" s="167">
        <f t="shared" si="76"/>
        <v>0.01</v>
      </c>
      <c r="F96" s="65">
        <f t="shared" ref="F96:Y96" si="77">HLOOKUP(F43,$F$1:$AI$2,2) * $D$1 * $E96</f>
        <v>0.1</v>
      </c>
      <c r="G96" s="65">
        <f t="shared" si="77"/>
        <v>0.2</v>
      </c>
      <c r="H96" s="65">
        <f t="shared" si="77"/>
        <v>0.3</v>
      </c>
      <c r="I96" s="65">
        <f t="shared" si="77"/>
        <v>0.4</v>
      </c>
      <c r="J96" s="65">
        <f t="shared" si="77"/>
        <v>0.5</v>
      </c>
      <c r="K96" s="65">
        <f t="shared" si="77"/>
        <v>0.7</v>
      </c>
      <c r="L96" s="65">
        <f t="shared" si="77"/>
        <v>1</v>
      </c>
      <c r="M96" s="65">
        <f t="shared" si="77"/>
        <v>1.5</v>
      </c>
      <c r="N96" s="65">
        <f t="shared" si="77"/>
        <v>2</v>
      </c>
      <c r="O96" s="65">
        <f t="shared" si="77"/>
        <v>2.5</v>
      </c>
      <c r="P96" s="65">
        <f t="shared" si="77"/>
        <v>3</v>
      </c>
      <c r="Q96" s="65">
        <f t="shared" si="77"/>
        <v>3.5</v>
      </c>
      <c r="R96" s="65">
        <f t="shared" si="77"/>
        <v>4</v>
      </c>
      <c r="S96" s="65">
        <f t="shared" si="77"/>
        <v>4.5</v>
      </c>
      <c r="T96" s="65">
        <f t="shared" si="77"/>
        <v>5</v>
      </c>
      <c r="U96" s="65">
        <f t="shared" si="77"/>
        <v>5.5</v>
      </c>
      <c r="V96" s="65">
        <f t="shared" si="77"/>
        <v>6.5</v>
      </c>
      <c r="W96" s="65">
        <f t="shared" si="77"/>
        <v>7.5</v>
      </c>
      <c r="X96" s="65">
        <f t="shared" si="77"/>
        <v>10</v>
      </c>
      <c r="Y96" s="65">
        <f t="shared" si="77"/>
        <v>12.5</v>
      </c>
      <c r="Z96" s="170"/>
      <c r="AA96" s="80"/>
    </row>
    <row r="97" ht="16.5" customHeight="1">
      <c r="A97" s="82" t="str">
        <f t="shared" ref="A97:E97" si="78">A44</f>
        <v>BND</v>
      </c>
      <c r="B97" s="82" t="str">
        <f t="shared" si="78"/>
        <v>B$</v>
      </c>
      <c r="C97" s="177" t="str">
        <f t="shared" si="78"/>
        <v>汶萊幣</v>
      </c>
      <c r="D97" s="163" t="str">
        <f t="shared" si="78"/>
        <v/>
      </c>
      <c r="E97" s="178">
        <f t="shared" si="78"/>
        <v>0.01</v>
      </c>
      <c r="F97" s="86">
        <f t="shared" ref="F97:Y97" si="79">HLOOKUP(F44,$F$1:$AI$2,2) * $D$1 * $E97</f>
        <v>0.1</v>
      </c>
      <c r="G97" s="86">
        <f t="shared" si="79"/>
        <v>0.2</v>
      </c>
      <c r="H97" s="86">
        <f t="shared" si="79"/>
        <v>0.3</v>
      </c>
      <c r="I97" s="86">
        <f t="shared" si="79"/>
        <v>0.4</v>
      </c>
      <c r="J97" s="86">
        <f t="shared" si="79"/>
        <v>0.5</v>
      </c>
      <c r="K97" s="86">
        <f t="shared" si="79"/>
        <v>0.6</v>
      </c>
      <c r="L97" s="86">
        <f t="shared" si="79"/>
        <v>0.7</v>
      </c>
      <c r="M97" s="86">
        <f t="shared" si="79"/>
        <v>0.8</v>
      </c>
      <c r="N97" s="86">
        <f t="shared" si="79"/>
        <v>0.9</v>
      </c>
      <c r="O97" s="86">
        <f t="shared" si="79"/>
        <v>1</v>
      </c>
      <c r="P97" s="86">
        <f t="shared" si="79"/>
        <v>1.2</v>
      </c>
      <c r="Q97" s="86">
        <f t="shared" si="79"/>
        <v>1.4</v>
      </c>
      <c r="R97" s="86">
        <f t="shared" si="79"/>
        <v>1.6</v>
      </c>
      <c r="S97" s="86">
        <f t="shared" si="79"/>
        <v>2</v>
      </c>
      <c r="T97" s="86">
        <f t="shared" si="79"/>
        <v>2.5</v>
      </c>
      <c r="U97" s="86">
        <f t="shared" si="79"/>
        <v>3</v>
      </c>
      <c r="V97" s="86">
        <f t="shared" si="79"/>
        <v>3.5</v>
      </c>
      <c r="W97" s="86">
        <f t="shared" si="79"/>
        <v>4</v>
      </c>
      <c r="X97" s="86">
        <f t="shared" si="79"/>
        <v>4.5</v>
      </c>
      <c r="Y97" s="86">
        <f t="shared" si="79"/>
        <v>5</v>
      </c>
      <c r="Z97" s="170"/>
      <c r="AA97" s="80"/>
    </row>
    <row r="98" ht="16.5" customHeight="1">
      <c r="A98" s="48" t="str">
        <f t="shared" ref="A98:E98" si="80">A45</f>
        <v>COP</v>
      </c>
      <c r="B98" s="48" t="str">
        <f t="shared" si="80"/>
        <v>$</v>
      </c>
      <c r="C98" s="166" t="str">
        <f t="shared" si="80"/>
        <v>哥倫比亞披索</v>
      </c>
      <c r="D98" s="162" t="str">
        <f t="shared" si="80"/>
        <v/>
      </c>
      <c r="E98" s="167">
        <f t="shared" si="80"/>
        <v>5</v>
      </c>
      <c r="F98" s="65">
        <f t="shared" ref="F98:Y98" si="81">HLOOKUP(F45,$F$1:$AI$2,2) * $D$1 * $E98</f>
        <v>50</v>
      </c>
      <c r="G98" s="65">
        <f t="shared" si="81"/>
        <v>100</v>
      </c>
      <c r="H98" s="65">
        <f t="shared" si="81"/>
        <v>150</v>
      </c>
      <c r="I98" s="65">
        <f t="shared" si="81"/>
        <v>200</v>
      </c>
      <c r="J98" s="65">
        <f t="shared" si="81"/>
        <v>250</v>
      </c>
      <c r="K98" s="65">
        <f t="shared" si="81"/>
        <v>350</v>
      </c>
      <c r="L98" s="65">
        <f t="shared" si="81"/>
        <v>500</v>
      </c>
      <c r="M98" s="65">
        <f t="shared" si="81"/>
        <v>750</v>
      </c>
      <c r="N98" s="65">
        <f t="shared" si="81"/>
        <v>1000</v>
      </c>
      <c r="O98" s="65">
        <f t="shared" si="81"/>
        <v>1250</v>
      </c>
      <c r="P98" s="65">
        <f t="shared" si="81"/>
        <v>1500</v>
      </c>
      <c r="Q98" s="65">
        <f t="shared" si="81"/>
        <v>1750</v>
      </c>
      <c r="R98" s="65">
        <f t="shared" si="81"/>
        <v>2000</v>
      </c>
      <c r="S98" s="65">
        <f t="shared" si="81"/>
        <v>2250</v>
      </c>
      <c r="T98" s="65">
        <f t="shared" si="81"/>
        <v>2500</v>
      </c>
      <c r="U98" s="65">
        <f t="shared" si="81"/>
        <v>2750</v>
      </c>
      <c r="V98" s="65">
        <f t="shared" si="81"/>
        <v>3250</v>
      </c>
      <c r="W98" s="65">
        <f t="shared" si="81"/>
        <v>3750</v>
      </c>
      <c r="X98" s="65">
        <f t="shared" si="81"/>
        <v>5000</v>
      </c>
      <c r="Y98" s="65">
        <f t="shared" si="81"/>
        <v>6250</v>
      </c>
      <c r="Z98" s="170"/>
      <c r="AA98" s="80"/>
    </row>
    <row r="99" ht="16.5" customHeight="1">
      <c r="A99" s="48" t="str">
        <f t="shared" ref="A99:E99" si="82">A46</f>
        <v>VNDO</v>
      </c>
      <c r="B99" s="48" t="str">
        <f t="shared" si="82"/>
        <v>₫</v>
      </c>
      <c r="C99" s="166" t="str">
        <f t="shared" si="82"/>
        <v>越南盾</v>
      </c>
      <c r="D99" s="162" t="str">
        <f t="shared" si="82"/>
        <v/>
      </c>
      <c r="E99" s="167">
        <f t="shared" si="82"/>
        <v>40</v>
      </c>
      <c r="F99" s="65">
        <f t="shared" ref="F99:Y99" si="83">HLOOKUP(F46,$F$1:$AI$2,2) * $D$1 * $E99</f>
        <v>400</v>
      </c>
      <c r="G99" s="65">
        <f t="shared" si="83"/>
        <v>800</v>
      </c>
      <c r="H99" s="65">
        <f t="shared" si="83"/>
        <v>1200</v>
      </c>
      <c r="I99" s="65">
        <f t="shared" si="83"/>
        <v>1600</v>
      </c>
      <c r="J99" s="65">
        <f t="shared" si="83"/>
        <v>2000</v>
      </c>
      <c r="K99" s="65">
        <f t="shared" si="83"/>
        <v>2800</v>
      </c>
      <c r="L99" s="65">
        <f t="shared" si="83"/>
        <v>4000</v>
      </c>
      <c r="M99" s="65">
        <f t="shared" si="83"/>
        <v>6000</v>
      </c>
      <c r="N99" s="65">
        <f t="shared" si="83"/>
        <v>8000</v>
      </c>
      <c r="O99" s="65">
        <f t="shared" si="83"/>
        <v>10000</v>
      </c>
      <c r="P99" s="65">
        <f t="shared" si="83"/>
        <v>12000</v>
      </c>
      <c r="Q99" s="65">
        <f t="shared" si="83"/>
        <v>14000</v>
      </c>
      <c r="R99" s="65">
        <f t="shared" si="83"/>
        <v>16000</v>
      </c>
      <c r="S99" s="65">
        <f t="shared" si="83"/>
        <v>18000</v>
      </c>
      <c r="T99" s="65">
        <f t="shared" si="83"/>
        <v>20000</v>
      </c>
      <c r="U99" s="65">
        <f t="shared" si="83"/>
        <v>22000</v>
      </c>
      <c r="V99" s="65">
        <f t="shared" si="83"/>
        <v>26000</v>
      </c>
      <c r="W99" s="65">
        <f t="shared" si="83"/>
        <v>30000</v>
      </c>
      <c r="X99" s="65">
        <f t="shared" si="83"/>
        <v>40000</v>
      </c>
      <c r="Y99" s="65">
        <f t="shared" si="83"/>
        <v>50000</v>
      </c>
      <c r="Z99" s="170"/>
      <c r="AA99" s="80"/>
    </row>
    <row r="100" ht="16.5" customHeight="1">
      <c r="A100" s="48" t="str">
        <f t="shared" ref="A100:E100" si="84">A47</f>
        <v>MYRC</v>
      </c>
      <c r="B100" s="48" t="str">
        <f t="shared" si="84"/>
        <v>RM</v>
      </c>
      <c r="C100" s="166" t="str">
        <f t="shared" si="84"/>
        <v>馬來西亞令吉</v>
      </c>
      <c r="D100" s="162">
        <f t="shared" si="84"/>
        <v>0.01</v>
      </c>
      <c r="E100" s="167">
        <f t="shared" si="84"/>
        <v>1</v>
      </c>
      <c r="F100" s="65">
        <f t="shared" ref="F100:Y100" si="85">HLOOKUP(F47,$F$1:$AI$2,2) * $D$1 * $E100</f>
        <v>10</v>
      </c>
      <c r="G100" s="65">
        <f t="shared" si="85"/>
        <v>20</v>
      </c>
      <c r="H100" s="65">
        <f t="shared" si="85"/>
        <v>30</v>
      </c>
      <c r="I100" s="65">
        <f t="shared" si="85"/>
        <v>40</v>
      </c>
      <c r="J100" s="65">
        <f t="shared" si="85"/>
        <v>50</v>
      </c>
      <c r="K100" s="65">
        <f t="shared" si="85"/>
        <v>70</v>
      </c>
      <c r="L100" s="65">
        <f t="shared" si="85"/>
        <v>100</v>
      </c>
      <c r="M100" s="65">
        <f t="shared" si="85"/>
        <v>150</v>
      </c>
      <c r="N100" s="65">
        <f t="shared" si="85"/>
        <v>200</v>
      </c>
      <c r="O100" s="65">
        <f t="shared" si="85"/>
        <v>250</v>
      </c>
      <c r="P100" s="65">
        <f t="shared" si="85"/>
        <v>300</v>
      </c>
      <c r="Q100" s="65">
        <f t="shared" si="85"/>
        <v>350</v>
      </c>
      <c r="R100" s="65">
        <f t="shared" si="85"/>
        <v>400</v>
      </c>
      <c r="S100" s="65">
        <f t="shared" si="85"/>
        <v>450</v>
      </c>
      <c r="T100" s="65">
        <f t="shared" si="85"/>
        <v>500</v>
      </c>
      <c r="U100" s="65">
        <f t="shared" si="85"/>
        <v>550</v>
      </c>
      <c r="V100" s="65">
        <f t="shared" si="85"/>
        <v>650</v>
      </c>
      <c r="W100" s="65">
        <f t="shared" si="85"/>
        <v>750</v>
      </c>
      <c r="X100" s="65">
        <f t="shared" si="85"/>
        <v>1000</v>
      </c>
      <c r="Y100" s="65">
        <f t="shared" si="85"/>
        <v>1250</v>
      </c>
      <c r="Z100" s="170"/>
      <c r="AA100" s="81"/>
    </row>
    <row r="101" ht="16.5" customHeight="1">
      <c r="A101" s="48" t="str">
        <f t="shared" ref="A101:E101" si="86">A48</f>
        <v>XSD</v>
      </c>
      <c r="B101" s="48" t="str">
        <f t="shared" si="86"/>
        <v/>
      </c>
      <c r="C101" s="166" t="str">
        <f t="shared" si="86"/>
        <v>星幣</v>
      </c>
      <c r="D101" s="162" t="str">
        <f t="shared" si="86"/>
        <v/>
      </c>
      <c r="E101" s="167">
        <f t="shared" si="86"/>
        <v>10</v>
      </c>
      <c r="F101" s="65">
        <f t="shared" ref="F101:Y101" si="87">HLOOKUP(F48,$F$1:$AI$2,2) * $D$1 * $E101</f>
        <v>100</v>
      </c>
      <c r="G101" s="65">
        <f t="shared" si="87"/>
        <v>200</v>
      </c>
      <c r="H101" s="65">
        <f t="shared" si="87"/>
        <v>300</v>
      </c>
      <c r="I101" s="65">
        <f t="shared" si="87"/>
        <v>400</v>
      </c>
      <c r="J101" s="65">
        <f t="shared" si="87"/>
        <v>500</v>
      </c>
      <c r="K101" s="65">
        <f t="shared" si="87"/>
        <v>700</v>
      </c>
      <c r="L101" s="65">
        <f t="shared" si="87"/>
        <v>1000</v>
      </c>
      <c r="M101" s="65">
        <f t="shared" si="87"/>
        <v>1500</v>
      </c>
      <c r="N101" s="65">
        <f t="shared" si="87"/>
        <v>2000</v>
      </c>
      <c r="O101" s="65">
        <f t="shared" si="87"/>
        <v>2500</v>
      </c>
      <c r="P101" s="65">
        <f t="shared" si="87"/>
        <v>3000</v>
      </c>
      <c r="Q101" s="65">
        <f t="shared" si="87"/>
        <v>3500</v>
      </c>
      <c r="R101" s="65">
        <f t="shared" si="87"/>
        <v>4000</v>
      </c>
      <c r="S101" s="65">
        <f t="shared" si="87"/>
        <v>4500</v>
      </c>
      <c r="T101" s="65">
        <f t="shared" si="87"/>
        <v>5000</v>
      </c>
      <c r="U101" s="65">
        <f t="shared" si="87"/>
        <v>5500</v>
      </c>
      <c r="V101" s="65">
        <f t="shared" si="87"/>
        <v>6500</v>
      </c>
      <c r="W101" s="65">
        <f t="shared" si="87"/>
        <v>7500</v>
      </c>
      <c r="X101" s="65">
        <f t="shared" si="87"/>
        <v>10000</v>
      </c>
      <c r="Y101" s="65">
        <f t="shared" si="87"/>
        <v>12500</v>
      </c>
      <c r="Z101" s="53"/>
      <c r="AA101" s="172"/>
    </row>
    <row r="102" ht="16.5" customHeight="1">
      <c r="A102" s="48" t="str">
        <f t="shared" ref="A102:E102" si="88">A49</f>
        <v>DZD</v>
      </c>
      <c r="B102" s="48" t="str">
        <f t="shared" si="88"/>
        <v>دج</v>
      </c>
      <c r="C102" s="166" t="str">
        <f t="shared" si="88"/>
        <v>阿爾及利亞第納爾</v>
      </c>
      <c r="D102" s="162" t="str">
        <f t="shared" si="88"/>
        <v/>
      </c>
      <c r="E102" s="167">
        <f t="shared" si="88"/>
        <v>0.2</v>
      </c>
      <c r="F102" s="65">
        <f t="shared" ref="F102:Y102" si="89">HLOOKUP(F49,$F$1:$AI$2,2) * $D$1 * $E102</f>
        <v>2</v>
      </c>
      <c r="G102" s="65">
        <f t="shared" si="89"/>
        <v>4</v>
      </c>
      <c r="H102" s="65">
        <f t="shared" si="89"/>
        <v>6</v>
      </c>
      <c r="I102" s="65">
        <f t="shared" si="89"/>
        <v>8</v>
      </c>
      <c r="J102" s="65">
        <f t="shared" si="89"/>
        <v>10</v>
      </c>
      <c r="K102" s="65">
        <f t="shared" si="89"/>
        <v>14</v>
      </c>
      <c r="L102" s="65">
        <f t="shared" si="89"/>
        <v>20</v>
      </c>
      <c r="M102" s="65">
        <f t="shared" si="89"/>
        <v>30</v>
      </c>
      <c r="N102" s="65">
        <f t="shared" si="89"/>
        <v>40</v>
      </c>
      <c r="O102" s="65">
        <f t="shared" si="89"/>
        <v>50</v>
      </c>
      <c r="P102" s="65">
        <f t="shared" si="89"/>
        <v>60</v>
      </c>
      <c r="Q102" s="65">
        <f t="shared" si="89"/>
        <v>70</v>
      </c>
      <c r="R102" s="65">
        <f t="shared" si="89"/>
        <v>80</v>
      </c>
      <c r="S102" s="65">
        <f t="shared" si="89"/>
        <v>90</v>
      </c>
      <c r="T102" s="65">
        <f t="shared" si="89"/>
        <v>100</v>
      </c>
      <c r="U102" s="65">
        <f t="shared" si="89"/>
        <v>110</v>
      </c>
      <c r="V102" s="65">
        <f t="shared" si="89"/>
        <v>130</v>
      </c>
      <c r="W102" s="65">
        <f t="shared" si="89"/>
        <v>150</v>
      </c>
      <c r="X102" s="65">
        <f t="shared" si="89"/>
        <v>200</v>
      </c>
      <c r="Y102" s="65">
        <f t="shared" si="89"/>
        <v>250</v>
      </c>
      <c r="Z102" s="53"/>
      <c r="AA102" s="172"/>
    </row>
    <row r="103" ht="16.5" customHeight="1">
      <c r="A103" s="48" t="str">
        <f t="shared" ref="A103:E103" si="90">A50</f>
        <v>MAD</v>
      </c>
      <c r="B103" s="48" t="str">
        <f t="shared" si="90"/>
        <v>DH</v>
      </c>
      <c r="C103" s="166" t="str">
        <f t="shared" si="90"/>
        <v>摩洛哥迪拉姆</v>
      </c>
      <c r="D103" s="162" t="str">
        <f t="shared" si="90"/>
        <v/>
      </c>
      <c r="E103" s="167">
        <f t="shared" si="90"/>
        <v>0.02</v>
      </c>
      <c r="F103" s="65">
        <f t="shared" ref="F103:Y103" si="91">HLOOKUP(F50,$F$1:$AI$2,2) * $D$1 * $E103</f>
        <v>0.2</v>
      </c>
      <c r="G103" s="65">
        <f t="shared" si="91"/>
        <v>0.4</v>
      </c>
      <c r="H103" s="65">
        <f t="shared" si="91"/>
        <v>0.6</v>
      </c>
      <c r="I103" s="65">
        <f t="shared" si="91"/>
        <v>0.8</v>
      </c>
      <c r="J103" s="65">
        <f t="shared" si="91"/>
        <v>1</v>
      </c>
      <c r="K103" s="65">
        <f t="shared" si="91"/>
        <v>1.4</v>
      </c>
      <c r="L103" s="65">
        <f t="shared" si="91"/>
        <v>2</v>
      </c>
      <c r="M103" s="65">
        <f t="shared" si="91"/>
        <v>3</v>
      </c>
      <c r="N103" s="65">
        <f t="shared" si="91"/>
        <v>4</v>
      </c>
      <c r="O103" s="65">
        <f t="shared" si="91"/>
        <v>5</v>
      </c>
      <c r="P103" s="65">
        <f t="shared" si="91"/>
        <v>6</v>
      </c>
      <c r="Q103" s="65">
        <f t="shared" si="91"/>
        <v>7</v>
      </c>
      <c r="R103" s="65">
        <f t="shared" si="91"/>
        <v>8</v>
      </c>
      <c r="S103" s="65">
        <f t="shared" si="91"/>
        <v>9</v>
      </c>
      <c r="T103" s="65">
        <f t="shared" si="91"/>
        <v>10</v>
      </c>
      <c r="U103" s="65">
        <f t="shared" si="91"/>
        <v>11</v>
      </c>
      <c r="V103" s="65">
        <f t="shared" si="91"/>
        <v>13</v>
      </c>
      <c r="W103" s="65">
        <f t="shared" si="91"/>
        <v>15</v>
      </c>
      <c r="X103" s="65">
        <f t="shared" si="91"/>
        <v>20</v>
      </c>
      <c r="Y103" s="65">
        <f t="shared" si="91"/>
        <v>25</v>
      </c>
      <c r="Z103" s="53"/>
      <c r="AA103" s="172"/>
    </row>
    <row r="104" ht="16.5" customHeight="1">
      <c r="A104" s="48" t="str">
        <f t="shared" ref="A104:E104" si="92">A51</f>
        <v>FRF</v>
      </c>
      <c r="B104" s="48" t="str">
        <f t="shared" si="92"/>
        <v>₣</v>
      </c>
      <c r="C104" s="166" t="str">
        <f t="shared" si="92"/>
        <v>法國法郎</v>
      </c>
      <c r="D104" s="162" t="str">
        <f t="shared" si="92"/>
        <v/>
      </c>
      <c r="E104" s="167">
        <f t="shared" si="92"/>
        <v>0.01</v>
      </c>
      <c r="F104" s="65">
        <f t="shared" ref="F104:Y104" si="93">HLOOKUP(F51,$F$1:$AI$2,2) * $D$1 * $E104</f>
        <v>0.1</v>
      </c>
      <c r="G104" s="65">
        <f t="shared" si="93"/>
        <v>0.2</v>
      </c>
      <c r="H104" s="65">
        <f t="shared" si="93"/>
        <v>0.3</v>
      </c>
      <c r="I104" s="65">
        <f t="shared" si="93"/>
        <v>0.4</v>
      </c>
      <c r="J104" s="65">
        <f t="shared" si="93"/>
        <v>0.5</v>
      </c>
      <c r="K104" s="65">
        <f t="shared" si="93"/>
        <v>0.7</v>
      </c>
      <c r="L104" s="65">
        <f t="shared" si="93"/>
        <v>1</v>
      </c>
      <c r="M104" s="65">
        <f t="shared" si="93"/>
        <v>1.5</v>
      </c>
      <c r="N104" s="65">
        <f t="shared" si="93"/>
        <v>2</v>
      </c>
      <c r="O104" s="65">
        <f t="shared" si="93"/>
        <v>2.5</v>
      </c>
      <c r="P104" s="65">
        <f t="shared" si="93"/>
        <v>3</v>
      </c>
      <c r="Q104" s="65">
        <f t="shared" si="93"/>
        <v>3.5</v>
      </c>
      <c r="R104" s="65">
        <f t="shared" si="93"/>
        <v>4</v>
      </c>
      <c r="S104" s="65">
        <f t="shared" si="93"/>
        <v>4.5</v>
      </c>
      <c r="T104" s="65">
        <f t="shared" si="93"/>
        <v>5</v>
      </c>
      <c r="U104" s="65">
        <f t="shared" si="93"/>
        <v>5.5</v>
      </c>
      <c r="V104" s="65">
        <f t="shared" si="93"/>
        <v>6.5</v>
      </c>
      <c r="W104" s="65">
        <f t="shared" si="93"/>
        <v>7.5</v>
      </c>
      <c r="X104" s="65">
        <f t="shared" si="93"/>
        <v>10</v>
      </c>
      <c r="Y104" s="65">
        <f t="shared" si="93"/>
        <v>12.5</v>
      </c>
      <c r="Z104" s="53"/>
      <c r="AA104" s="172"/>
    </row>
    <row r="105" ht="15.75" customHeight="1">
      <c r="A105" s="48" t="str">
        <f t="shared" ref="A105:E105" si="94">A52</f>
        <v>GHS</v>
      </c>
      <c r="B105" s="48" t="str">
        <f t="shared" si="94"/>
        <v>Gp</v>
      </c>
      <c r="C105" s="166" t="str">
        <f t="shared" si="94"/>
        <v>迦納塞地</v>
      </c>
      <c r="D105" s="162" t="str">
        <f t="shared" si="94"/>
        <v/>
      </c>
      <c r="E105" s="167">
        <f t="shared" si="94"/>
        <v>0.02</v>
      </c>
      <c r="F105" s="65">
        <f t="shared" ref="F105:Y105" si="95">HLOOKUP(F52,$F$1:$AI$2,2) * $D$1 * $E105</f>
        <v>0.2</v>
      </c>
      <c r="G105" s="65">
        <f t="shared" si="95"/>
        <v>0.4</v>
      </c>
      <c r="H105" s="65">
        <f t="shared" si="95"/>
        <v>0.6</v>
      </c>
      <c r="I105" s="65">
        <f t="shared" si="95"/>
        <v>0.8</v>
      </c>
      <c r="J105" s="65">
        <f t="shared" si="95"/>
        <v>1</v>
      </c>
      <c r="K105" s="65">
        <f t="shared" si="95"/>
        <v>1.4</v>
      </c>
      <c r="L105" s="65">
        <f t="shared" si="95"/>
        <v>2</v>
      </c>
      <c r="M105" s="65">
        <f t="shared" si="95"/>
        <v>3</v>
      </c>
      <c r="N105" s="65">
        <f t="shared" si="95"/>
        <v>4</v>
      </c>
      <c r="O105" s="65">
        <f t="shared" si="95"/>
        <v>5</v>
      </c>
      <c r="P105" s="65">
        <f t="shared" si="95"/>
        <v>6</v>
      </c>
      <c r="Q105" s="65">
        <f t="shared" si="95"/>
        <v>7</v>
      </c>
      <c r="R105" s="65">
        <f t="shared" si="95"/>
        <v>8</v>
      </c>
      <c r="S105" s="65">
        <f t="shared" si="95"/>
        <v>9</v>
      </c>
      <c r="T105" s="65">
        <f t="shared" si="95"/>
        <v>10</v>
      </c>
      <c r="U105" s="65">
        <f t="shared" si="95"/>
        <v>11</v>
      </c>
      <c r="V105" s="65">
        <f t="shared" si="95"/>
        <v>13</v>
      </c>
      <c r="W105" s="65">
        <f t="shared" si="95"/>
        <v>15</v>
      </c>
      <c r="X105" s="65">
        <f t="shared" si="95"/>
        <v>20</v>
      </c>
      <c r="Y105" s="65">
        <f t="shared" si="95"/>
        <v>25</v>
      </c>
      <c r="Z105" s="53"/>
      <c r="AA105" s="172"/>
    </row>
    <row r="106" ht="16.5" customHeight="1">
      <c r="A106" s="48" t="str">
        <f t="shared" ref="A106:E106" si="96">A53</f>
        <v>RCC</v>
      </c>
      <c r="B106" s="48" t="str">
        <f t="shared" si="96"/>
        <v/>
      </c>
      <c r="C106" s="166" t="str">
        <f t="shared" si="96"/>
        <v>RCC幣</v>
      </c>
      <c r="D106" s="162" t="str">
        <f t="shared" si="96"/>
        <v/>
      </c>
      <c r="E106" s="167">
        <f t="shared" si="96"/>
        <v>0.01</v>
      </c>
      <c r="F106" s="65">
        <f t="shared" ref="F106:Y106" si="97">HLOOKUP(F53,$F$1:$AI$2,2) * $D$1 * $E106</f>
        <v>0.1</v>
      </c>
      <c r="G106" s="65">
        <f t="shared" si="97"/>
        <v>0.2</v>
      </c>
      <c r="H106" s="65">
        <f t="shared" si="97"/>
        <v>0.3</v>
      </c>
      <c r="I106" s="65">
        <f t="shared" si="97"/>
        <v>0.4</v>
      </c>
      <c r="J106" s="65">
        <f t="shared" si="97"/>
        <v>0.5</v>
      </c>
      <c r="K106" s="65">
        <f t="shared" si="97"/>
        <v>0.6</v>
      </c>
      <c r="L106" s="65">
        <f t="shared" si="97"/>
        <v>0.7</v>
      </c>
      <c r="M106" s="65">
        <f t="shared" si="97"/>
        <v>0.8</v>
      </c>
      <c r="N106" s="65">
        <f t="shared" si="97"/>
        <v>0.9</v>
      </c>
      <c r="O106" s="65">
        <f t="shared" si="97"/>
        <v>1</v>
      </c>
      <c r="P106" s="65">
        <f t="shared" si="97"/>
        <v>1.2</v>
      </c>
      <c r="Q106" s="65">
        <f t="shared" si="97"/>
        <v>1.4</v>
      </c>
      <c r="R106" s="65">
        <f t="shared" si="97"/>
        <v>1.6</v>
      </c>
      <c r="S106" s="65">
        <f t="shared" si="97"/>
        <v>2</v>
      </c>
      <c r="T106" s="65">
        <f t="shared" si="97"/>
        <v>2.5</v>
      </c>
      <c r="U106" s="65">
        <f t="shared" si="97"/>
        <v>3</v>
      </c>
      <c r="V106" s="65">
        <f t="shared" si="97"/>
        <v>3.5</v>
      </c>
      <c r="W106" s="65">
        <f t="shared" si="97"/>
        <v>4</v>
      </c>
      <c r="X106" s="65">
        <f t="shared" si="97"/>
        <v>4.5</v>
      </c>
      <c r="Y106" s="65">
        <f t="shared" si="97"/>
        <v>5</v>
      </c>
    </row>
    <row r="107" ht="16.5" customHeight="1">
      <c r="A107" s="48" t="str">
        <f t="shared" ref="A107:E107" si="98">A54</f>
        <v>KBB</v>
      </c>
      <c r="B107" s="48" t="str">
        <f t="shared" si="98"/>
        <v/>
      </c>
      <c r="C107" s="166" t="str">
        <f t="shared" si="98"/>
        <v>爸幣</v>
      </c>
      <c r="D107" s="162" t="str">
        <f t="shared" si="98"/>
        <v/>
      </c>
      <c r="E107" s="167">
        <f t="shared" si="98"/>
        <v>0.5</v>
      </c>
      <c r="F107" s="65">
        <f t="shared" ref="F107:Y107" si="99">HLOOKUP(F54,$F$1:$AI$2,2) * $D$1 * $E107</f>
        <v>5</v>
      </c>
      <c r="G107" s="65">
        <f t="shared" si="99"/>
        <v>10</v>
      </c>
      <c r="H107" s="65">
        <f t="shared" si="99"/>
        <v>15</v>
      </c>
      <c r="I107" s="65">
        <f t="shared" si="99"/>
        <v>20</v>
      </c>
      <c r="J107" s="65">
        <f t="shared" si="99"/>
        <v>25</v>
      </c>
      <c r="K107" s="65">
        <f t="shared" si="99"/>
        <v>35</v>
      </c>
      <c r="L107" s="65">
        <f t="shared" si="99"/>
        <v>50</v>
      </c>
      <c r="M107" s="65">
        <f t="shared" si="99"/>
        <v>75</v>
      </c>
      <c r="N107" s="65">
        <f t="shared" si="99"/>
        <v>100</v>
      </c>
      <c r="O107" s="65">
        <f t="shared" si="99"/>
        <v>125</v>
      </c>
      <c r="P107" s="65">
        <f t="shared" si="99"/>
        <v>150</v>
      </c>
      <c r="Q107" s="65">
        <f t="shared" si="99"/>
        <v>175</v>
      </c>
      <c r="R107" s="65">
        <f t="shared" si="99"/>
        <v>200</v>
      </c>
      <c r="S107" s="65">
        <f t="shared" si="99"/>
        <v>225</v>
      </c>
      <c r="T107" s="65">
        <f t="shared" si="99"/>
        <v>250</v>
      </c>
      <c r="U107" s="65">
        <f t="shared" si="99"/>
        <v>275</v>
      </c>
      <c r="V107" s="65">
        <f t="shared" si="99"/>
        <v>325</v>
      </c>
      <c r="W107" s="65">
        <f t="shared" si="99"/>
        <v>375</v>
      </c>
      <c r="X107" s="65">
        <f t="shared" si="99"/>
        <v>500</v>
      </c>
      <c r="Y107" s="65">
        <f t="shared" si="99"/>
        <v>625</v>
      </c>
    </row>
    <row r="108" ht="16.5" customHeight="1">
      <c r="A108" s="48" t="str">
        <f t="shared" ref="A108:E108" si="100">A55</f>
        <v>XSMY</v>
      </c>
      <c r="B108" s="48" t="str">
        <f t="shared" si="100"/>
        <v/>
      </c>
      <c r="C108" s="166" t="str">
        <f t="shared" si="100"/>
        <v>星城馬來西亞</v>
      </c>
      <c r="D108" s="162" t="str">
        <f t="shared" si="100"/>
        <v/>
      </c>
      <c r="E108" s="167">
        <f t="shared" si="100"/>
        <v>10</v>
      </c>
      <c r="F108" s="65">
        <f t="shared" ref="F108:Y108" si="101">HLOOKUP(F55,$F$1:$AI$2,2) * $D$1 * $E108</f>
        <v>100</v>
      </c>
      <c r="G108" s="65">
        <f t="shared" si="101"/>
        <v>200</v>
      </c>
      <c r="H108" s="65">
        <f t="shared" si="101"/>
        <v>300</v>
      </c>
      <c r="I108" s="65">
        <f t="shared" si="101"/>
        <v>400</v>
      </c>
      <c r="J108" s="65">
        <f t="shared" si="101"/>
        <v>500</v>
      </c>
      <c r="K108" s="65">
        <f t="shared" si="101"/>
        <v>700</v>
      </c>
      <c r="L108" s="65">
        <f t="shared" si="101"/>
        <v>1000</v>
      </c>
      <c r="M108" s="65">
        <f t="shared" si="101"/>
        <v>1500</v>
      </c>
      <c r="N108" s="65">
        <f t="shared" si="101"/>
        <v>2000</v>
      </c>
      <c r="O108" s="65">
        <f t="shared" si="101"/>
        <v>2500</v>
      </c>
      <c r="P108" s="65">
        <f t="shared" si="101"/>
        <v>3000</v>
      </c>
      <c r="Q108" s="65">
        <f t="shared" si="101"/>
        <v>3500</v>
      </c>
      <c r="R108" s="65">
        <f t="shared" si="101"/>
        <v>4000</v>
      </c>
      <c r="S108" s="65">
        <f t="shared" si="101"/>
        <v>4500</v>
      </c>
      <c r="T108" s="65">
        <f t="shared" si="101"/>
        <v>5000</v>
      </c>
      <c r="U108" s="65">
        <f t="shared" si="101"/>
        <v>5500</v>
      </c>
      <c r="V108" s="65">
        <f t="shared" si="101"/>
        <v>6500</v>
      </c>
      <c r="W108" s="65">
        <f t="shared" si="101"/>
        <v>7500</v>
      </c>
      <c r="X108" s="65">
        <f t="shared" si="101"/>
        <v>10000</v>
      </c>
      <c r="Y108" s="65">
        <f t="shared" si="101"/>
        <v>12500</v>
      </c>
    </row>
    <row r="109" ht="16.5" customHeight="1"/>
    <row r="110" ht="16.5" customHeight="1">
      <c r="A110" s="40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3"/>
    </row>
    <row r="111" ht="16.5" customHeight="1">
      <c r="A111" s="74" t="str">
        <f t="shared" ref="A111:Y111" si="102">A58</f>
        <v>貨幣簡稱</v>
      </c>
      <c r="B111" s="50" t="str">
        <f t="shared" si="102"/>
        <v>貨幣符號</v>
      </c>
      <c r="C111" s="50" t="str">
        <f t="shared" si="102"/>
        <v>中文名稱</v>
      </c>
      <c r="D111" s="50" t="str">
        <f t="shared" si="102"/>
        <v>貨幣轉換</v>
      </c>
      <c r="E111" s="50" t="str">
        <f t="shared" si="102"/>
        <v>Denom</v>
      </c>
      <c r="F111" s="50" t="str">
        <f t="shared" si="102"/>
        <v>第 1 組</v>
      </c>
      <c r="G111" s="50" t="str">
        <f t="shared" si="102"/>
        <v>第 2 組</v>
      </c>
      <c r="H111" s="50" t="str">
        <f t="shared" si="102"/>
        <v>第 3 組</v>
      </c>
      <c r="I111" s="50" t="str">
        <f t="shared" si="102"/>
        <v>第 4 組</v>
      </c>
      <c r="J111" s="50" t="str">
        <f t="shared" si="102"/>
        <v>第 5 組</v>
      </c>
      <c r="K111" s="50" t="str">
        <f t="shared" si="102"/>
        <v>第 6 組</v>
      </c>
      <c r="L111" s="50" t="str">
        <f t="shared" si="102"/>
        <v>第 7 組</v>
      </c>
      <c r="M111" s="50" t="str">
        <f t="shared" si="102"/>
        <v>第 8 組</v>
      </c>
      <c r="N111" s="50" t="str">
        <f t="shared" si="102"/>
        <v>第 9 組</v>
      </c>
      <c r="O111" s="50" t="str">
        <f t="shared" si="102"/>
        <v>第 10 組</v>
      </c>
      <c r="P111" s="50" t="str">
        <f t="shared" si="102"/>
        <v>第 11 組</v>
      </c>
      <c r="Q111" s="50" t="str">
        <f t="shared" si="102"/>
        <v>第 12 組</v>
      </c>
      <c r="R111" s="50" t="str">
        <f t="shared" si="102"/>
        <v>第 13 組</v>
      </c>
      <c r="S111" s="50" t="str">
        <f t="shared" si="102"/>
        <v>第 14 組</v>
      </c>
      <c r="T111" s="50" t="str">
        <f t="shared" si="102"/>
        <v>第 15 組</v>
      </c>
      <c r="U111" s="50" t="str">
        <f t="shared" si="102"/>
        <v>第 16 組</v>
      </c>
      <c r="V111" s="50" t="str">
        <f t="shared" si="102"/>
        <v>第 17 組</v>
      </c>
      <c r="W111" s="50" t="str">
        <f t="shared" si="102"/>
        <v>第 18 組</v>
      </c>
      <c r="X111" s="50" t="str">
        <f t="shared" si="102"/>
        <v>第 19 組</v>
      </c>
      <c r="Y111" s="50" t="str">
        <f t="shared" si="102"/>
        <v>第 20 組</v>
      </c>
      <c r="Z111" s="165"/>
      <c r="AA111" s="173">
        <v>20.0</v>
      </c>
    </row>
    <row r="112" ht="16.5" customHeight="1">
      <c r="A112" s="48" t="str">
        <f t="shared" ref="A112:E112" si="103">A59</f>
        <v>THB</v>
      </c>
      <c r="B112" s="48" t="str">
        <f t="shared" si="103"/>
        <v>฿</v>
      </c>
      <c r="C112" s="166" t="str">
        <f t="shared" si="103"/>
        <v>泰銖</v>
      </c>
      <c r="D112" s="50" t="str">
        <f t="shared" si="103"/>
        <v/>
      </c>
      <c r="E112" s="167">
        <f t="shared" si="103"/>
        <v>0.05</v>
      </c>
      <c r="F112" s="65">
        <f t="shared" ref="F112:Y112" si="104">F59*$AA$111</f>
        <v>10</v>
      </c>
      <c r="G112" s="65">
        <f t="shared" si="104"/>
        <v>20</v>
      </c>
      <c r="H112" s="65">
        <f t="shared" si="104"/>
        <v>30</v>
      </c>
      <c r="I112" s="65">
        <f t="shared" si="104"/>
        <v>40</v>
      </c>
      <c r="J112" s="65">
        <f t="shared" si="104"/>
        <v>50</v>
      </c>
      <c r="K112" s="65">
        <f t="shared" si="104"/>
        <v>70</v>
      </c>
      <c r="L112" s="65">
        <f t="shared" si="104"/>
        <v>100</v>
      </c>
      <c r="M112" s="65">
        <f t="shared" si="104"/>
        <v>150</v>
      </c>
      <c r="N112" s="65">
        <f t="shared" si="104"/>
        <v>200</v>
      </c>
      <c r="O112" s="65">
        <f t="shared" si="104"/>
        <v>250</v>
      </c>
      <c r="P112" s="65">
        <f t="shared" si="104"/>
        <v>300</v>
      </c>
      <c r="Q112" s="65">
        <f t="shared" si="104"/>
        <v>350</v>
      </c>
      <c r="R112" s="65">
        <f t="shared" si="104"/>
        <v>400</v>
      </c>
      <c r="S112" s="65">
        <f t="shared" si="104"/>
        <v>450</v>
      </c>
      <c r="T112" s="65">
        <f t="shared" si="104"/>
        <v>500</v>
      </c>
      <c r="U112" s="65">
        <f t="shared" si="104"/>
        <v>550</v>
      </c>
      <c r="V112" s="65">
        <f t="shared" si="104"/>
        <v>650</v>
      </c>
      <c r="W112" s="65">
        <f t="shared" si="104"/>
        <v>750</v>
      </c>
      <c r="X112" s="65">
        <f t="shared" si="104"/>
        <v>1000</v>
      </c>
      <c r="Y112" s="65">
        <f t="shared" si="104"/>
        <v>1250</v>
      </c>
      <c r="Z112" s="168"/>
      <c r="AA112" s="174" t="str">
        <f>CONCATENATE("顯示卡片",AA111,"張數金額",)</f>
        <v>顯示卡片20張數金額</v>
      </c>
    </row>
    <row r="113" ht="16.5" customHeight="1">
      <c r="A113" s="48" t="str">
        <f t="shared" ref="A113:E113" si="105">A60</f>
        <v>HKD</v>
      </c>
      <c r="B113" s="48" t="str">
        <f t="shared" si="105"/>
        <v>HK$</v>
      </c>
      <c r="C113" s="166" t="str">
        <f t="shared" si="105"/>
        <v>港幣</v>
      </c>
      <c r="D113" s="50" t="str">
        <f t="shared" si="105"/>
        <v/>
      </c>
      <c r="E113" s="167">
        <f t="shared" si="105"/>
        <v>0.01</v>
      </c>
      <c r="F113" s="65">
        <f t="shared" ref="F113:Y113" si="106">F60*$AA$111</f>
        <v>2</v>
      </c>
      <c r="G113" s="65">
        <f t="shared" si="106"/>
        <v>4</v>
      </c>
      <c r="H113" s="65">
        <f t="shared" si="106"/>
        <v>6</v>
      </c>
      <c r="I113" s="65">
        <f t="shared" si="106"/>
        <v>8</v>
      </c>
      <c r="J113" s="65">
        <f t="shared" si="106"/>
        <v>10</v>
      </c>
      <c r="K113" s="65">
        <f t="shared" si="106"/>
        <v>14</v>
      </c>
      <c r="L113" s="65">
        <f t="shared" si="106"/>
        <v>20</v>
      </c>
      <c r="M113" s="65">
        <f t="shared" si="106"/>
        <v>30</v>
      </c>
      <c r="N113" s="65">
        <f t="shared" si="106"/>
        <v>40</v>
      </c>
      <c r="O113" s="65">
        <f t="shared" si="106"/>
        <v>50</v>
      </c>
      <c r="P113" s="65">
        <f t="shared" si="106"/>
        <v>60</v>
      </c>
      <c r="Q113" s="65">
        <f t="shared" si="106"/>
        <v>70</v>
      </c>
      <c r="R113" s="65">
        <f t="shared" si="106"/>
        <v>80</v>
      </c>
      <c r="S113" s="65">
        <f t="shared" si="106"/>
        <v>90</v>
      </c>
      <c r="T113" s="65">
        <f t="shared" si="106"/>
        <v>100</v>
      </c>
      <c r="U113" s="65">
        <f t="shared" si="106"/>
        <v>110</v>
      </c>
      <c r="V113" s="65">
        <f t="shared" si="106"/>
        <v>130</v>
      </c>
      <c r="W113" s="65">
        <f t="shared" si="106"/>
        <v>150</v>
      </c>
      <c r="X113" s="65">
        <f t="shared" si="106"/>
        <v>200</v>
      </c>
      <c r="Y113" s="65">
        <f t="shared" si="106"/>
        <v>250</v>
      </c>
      <c r="Z113" s="168"/>
      <c r="AA113" s="80"/>
    </row>
    <row r="114" ht="16.5" customHeight="1">
      <c r="A114" s="48" t="str">
        <f t="shared" ref="A114:E114" si="107">A61</f>
        <v>INR</v>
      </c>
      <c r="B114" s="48" t="str">
        <f t="shared" si="107"/>
        <v>₹</v>
      </c>
      <c r="C114" s="166" t="str">
        <f t="shared" si="107"/>
        <v>印度盧比</v>
      </c>
      <c r="D114" s="50" t="str">
        <f t="shared" si="107"/>
        <v/>
      </c>
      <c r="E114" s="167">
        <f t="shared" si="107"/>
        <v>0.1</v>
      </c>
      <c r="F114" s="65">
        <f t="shared" ref="F114:Y114" si="108">F61*$AA$111</f>
        <v>20</v>
      </c>
      <c r="G114" s="65">
        <f t="shared" si="108"/>
        <v>40</v>
      </c>
      <c r="H114" s="65">
        <f t="shared" si="108"/>
        <v>60</v>
      </c>
      <c r="I114" s="65">
        <f t="shared" si="108"/>
        <v>80</v>
      </c>
      <c r="J114" s="65">
        <f t="shared" si="108"/>
        <v>100</v>
      </c>
      <c r="K114" s="65">
        <f t="shared" si="108"/>
        <v>140</v>
      </c>
      <c r="L114" s="65">
        <f t="shared" si="108"/>
        <v>200</v>
      </c>
      <c r="M114" s="65">
        <f t="shared" si="108"/>
        <v>300</v>
      </c>
      <c r="N114" s="65">
        <f t="shared" si="108"/>
        <v>400</v>
      </c>
      <c r="O114" s="65">
        <f t="shared" si="108"/>
        <v>500</v>
      </c>
      <c r="P114" s="65">
        <f t="shared" si="108"/>
        <v>600</v>
      </c>
      <c r="Q114" s="65">
        <f t="shared" si="108"/>
        <v>700</v>
      </c>
      <c r="R114" s="65">
        <f t="shared" si="108"/>
        <v>800</v>
      </c>
      <c r="S114" s="65">
        <f t="shared" si="108"/>
        <v>900</v>
      </c>
      <c r="T114" s="65">
        <f t="shared" si="108"/>
        <v>1000</v>
      </c>
      <c r="U114" s="65">
        <f t="shared" si="108"/>
        <v>1100</v>
      </c>
      <c r="V114" s="65">
        <f t="shared" si="108"/>
        <v>1300</v>
      </c>
      <c r="W114" s="65">
        <f t="shared" si="108"/>
        <v>1500</v>
      </c>
      <c r="X114" s="65">
        <f t="shared" si="108"/>
        <v>2000</v>
      </c>
      <c r="Y114" s="65">
        <f t="shared" si="108"/>
        <v>2500</v>
      </c>
      <c r="Z114" s="168"/>
      <c r="AA114" s="80"/>
    </row>
    <row r="115" ht="16.5" customHeight="1">
      <c r="A115" s="48" t="str">
        <f t="shared" ref="A115:E115" si="109">A62</f>
        <v>IDR</v>
      </c>
      <c r="B115" s="48" t="str">
        <f t="shared" si="109"/>
        <v>Rp</v>
      </c>
      <c r="C115" s="166" t="str">
        <f t="shared" si="109"/>
        <v>印尼盧比(K)</v>
      </c>
      <c r="D115" s="50">
        <f t="shared" si="109"/>
        <v>1000</v>
      </c>
      <c r="E115" s="167">
        <f t="shared" si="109"/>
        <v>0.02</v>
      </c>
      <c r="F115" s="65">
        <f t="shared" ref="F115:Y115" si="110">F62*$AA$111</f>
        <v>4</v>
      </c>
      <c r="G115" s="65">
        <f t="shared" si="110"/>
        <v>8</v>
      </c>
      <c r="H115" s="65">
        <f t="shared" si="110"/>
        <v>12</v>
      </c>
      <c r="I115" s="65">
        <f t="shared" si="110"/>
        <v>16</v>
      </c>
      <c r="J115" s="65">
        <f t="shared" si="110"/>
        <v>20</v>
      </c>
      <c r="K115" s="65">
        <f t="shared" si="110"/>
        <v>28</v>
      </c>
      <c r="L115" s="65">
        <f t="shared" si="110"/>
        <v>40</v>
      </c>
      <c r="M115" s="65">
        <f t="shared" si="110"/>
        <v>60</v>
      </c>
      <c r="N115" s="65">
        <f t="shared" si="110"/>
        <v>80</v>
      </c>
      <c r="O115" s="65">
        <f t="shared" si="110"/>
        <v>100</v>
      </c>
      <c r="P115" s="65">
        <f t="shared" si="110"/>
        <v>120</v>
      </c>
      <c r="Q115" s="65">
        <f t="shared" si="110"/>
        <v>140</v>
      </c>
      <c r="R115" s="65">
        <f t="shared" si="110"/>
        <v>160</v>
      </c>
      <c r="S115" s="65">
        <f t="shared" si="110"/>
        <v>180</v>
      </c>
      <c r="T115" s="65">
        <f t="shared" si="110"/>
        <v>200</v>
      </c>
      <c r="U115" s="65">
        <f t="shared" si="110"/>
        <v>220</v>
      </c>
      <c r="V115" s="65">
        <f t="shared" si="110"/>
        <v>260</v>
      </c>
      <c r="W115" s="65">
        <f t="shared" si="110"/>
        <v>300</v>
      </c>
      <c r="X115" s="65">
        <f t="shared" si="110"/>
        <v>400</v>
      </c>
      <c r="Y115" s="65">
        <f t="shared" si="110"/>
        <v>500</v>
      </c>
      <c r="Z115" s="168"/>
      <c r="AA115" s="80"/>
    </row>
    <row r="116" ht="16.5" customHeight="1">
      <c r="A116" s="48" t="str">
        <f t="shared" ref="A116:E116" si="111">A63</f>
        <v>VND</v>
      </c>
      <c r="B116" s="48" t="str">
        <f t="shared" si="111"/>
        <v>₫</v>
      </c>
      <c r="C116" s="166" t="str">
        <f t="shared" si="111"/>
        <v>越南盾(K)</v>
      </c>
      <c r="D116" s="50">
        <f t="shared" si="111"/>
        <v>1000</v>
      </c>
      <c r="E116" s="167">
        <f t="shared" si="111"/>
        <v>0.04</v>
      </c>
      <c r="F116" s="65">
        <f t="shared" ref="F116:Y116" si="112">F63*$AA$111</f>
        <v>8</v>
      </c>
      <c r="G116" s="65">
        <f t="shared" si="112"/>
        <v>16</v>
      </c>
      <c r="H116" s="65">
        <f t="shared" si="112"/>
        <v>24</v>
      </c>
      <c r="I116" s="65">
        <f t="shared" si="112"/>
        <v>32</v>
      </c>
      <c r="J116" s="65">
        <f t="shared" si="112"/>
        <v>40</v>
      </c>
      <c r="K116" s="65">
        <f t="shared" si="112"/>
        <v>56</v>
      </c>
      <c r="L116" s="65">
        <f t="shared" si="112"/>
        <v>80</v>
      </c>
      <c r="M116" s="65">
        <f t="shared" si="112"/>
        <v>120</v>
      </c>
      <c r="N116" s="65">
        <f t="shared" si="112"/>
        <v>160</v>
      </c>
      <c r="O116" s="65">
        <f t="shared" si="112"/>
        <v>200</v>
      </c>
      <c r="P116" s="65">
        <f t="shared" si="112"/>
        <v>240</v>
      </c>
      <c r="Q116" s="65">
        <f t="shared" si="112"/>
        <v>280</v>
      </c>
      <c r="R116" s="65">
        <f t="shared" si="112"/>
        <v>320</v>
      </c>
      <c r="S116" s="65">
        <f t="shared" si="112"/>
        <v>360</v>
      </c>
      <c r="T116" s="65">
        <f t="shared" si="112"/>
        <v>400</v>
      </c>
      <c r="U116" s="65">
        <f t="shared" si="112"/>
        <v>440</v>
      </c>
      <c r="V116" s="65">
        <f t="shared" si="112"/>
        <v>520</v>
      </c>
      <c r="W116" s="65">
        <f t="shared" si="112"/>
        <v>600</v>
      </c>
      <c r="X116" s="65">
        <f t="shared" si="112"/>
        <v>800</v>
      </c>
      <c r="Y116" s="65">
        <f t="shared" si="112"/>
        <v>1000</v>
      </c>
      <c r="Z116" s="168"/>
      <c r="AA116" s="80"/>
    </row>
    <row r="117" ht="16.5" customHeight="1">
      <c r="A117" s="48" t="str">
        <f t="shared" ref="A117:E117" si="113">A64</f>
        <v>MYR</v>
      </c>
      <c r="B117" s="48" t="str">
        <f t="shared" si="113"/>
        <v>RM</v>
      </c>
      <c r="C117" s="166" t="str">
        <f t="shared" si="113"/>
        <v>馬來西亞令吉</v>
      </c>
      <c r="D117" s="50" t="str">
        <f t="shared" si="113"/>
        <v/>
      </c>
      <c r="E117" s="167">
        <f t="shared" si="113"/>
        <v>0.01</v>
      </c>
      <c r="F117" s="65">
        <f t="shared" ref="F117:Y117" si="114">F64*$AA$111</f>
        <v>2</v>
      </c>
      <c r="G117" s="65">
        <f t="shared" si="114"/>
        <v>4</v>
      </c>
      <c r="H117" s="65">
        <f t="shared" si="114"/>
        <v>6</v>
      </c>
      <c r="I117" s="65">
        <f t="shared" si="114"/>
        <v>8</v>
      </c>
      <c r="J117" s="65">
        <f t="shared" si="114"/>
        <v>10</v>
      </c>
      <c r="K117" s="65">
        <f t="shared" si="114"/>
        <v>14</v>
      </c>
      <c r="L117" s="65">
        <f t="shared" si="114"/>
        <v>20</v>
      </c>
      <c r="M117" s="65">
        <f t="shared" si="114"/>
        <v>30</v>
      </c>
      <c r="N117" s="65">
        <f t="shared" si="114"/>
        <v>40</v>
      </c>
      <c r="O117" s="65">
        <f t="shared" si="114"/>
        <v>50</v>
      </c>
      <c r="P117" s="65">
        <f t="shared" si="114"/>
        <v>60</v>
      </c>
      <c r="Q117" s="65">
        <f t="shared" si="114"/>
        <v>70</v>
      </c>
      <c r="R117" s="65">
        <f t="shared" si="114"/>
        <v>80</v>
      </c>
      <c r="S117" s="65">
        <f t="shared" si="114"/>
        <v>90</v>
      </c>
      <c r="T117" s="65">
        <f t="shared" si="114"/>
        <v>100</v>
      </c>
      <c r="U117" s="65">
        <f t="shared" si="114"/>
        <v>110</v>
      </c>
      <c r="V117" s="65">
        <f t="shared" si="114"/>
        <v>130</v>
      </c>
      <c r="W117" s="65">
        <f t="shared" si="114"/>
        <v>150</v>
      </c>
      <c r="X117" s="65">
        <f t="shared" si="114"/>
        <v>200</v>
      </c>
      <c r="Y117" s="65">
        <f t="shared" si="114"/>
        <v>250</v>
      </c>
      <c r="Z117" s="168"/>
      <c r="AA117" s="80"/>
    </row>
    <row r="118" ht="16.5" customHeight="1">
      <c r="A118" s="82" t="str">
        <f t="shared" ref="A118:E118" si="115">A65</f>
        <v>SGD</v>
      </c>
      <c r="B118" s="82" t="str">
        <f t="shared" si="115"/>
        <v>S$</v>
      </c>
      <c r="C118" s="177" t="str">
        <f t="shared" si="115"/>
        <v>新加坡幣</v>
      </c>
      <c r="D118" s="84" t="str">
        <f t="shared" si="115"/>
        <v/>
      </c>
      <c r="E118" s="178">
        <f t="shared" si="115"/>
        <v>0.01</v>
      </c>
      <c r="F118" s="86">
        <f t="shared" ref="F118:Y118" si="116">F65*$AA$111</f>
        <v>2</v>
      </c>
      <c r="G118" s="86">
        <f t="shared" si="116"/>
        <v>4</v>
      </c>
      <c r="H118" s="86">
        <f t="shared" si="116"/>
        <v>6</v>
      </c>
      <c r="I118" s="86">
        <f t="shared" si="116"/>
        <v>8</v>
      </c>
      <c r="J118" s="86">
        <f t="shared" si="116"/>
        <v>10</v>
      </c>
      <c r="K118" s="86">
        <f t="shared" si="116"/>
        <v>12</v>
      </c>
      <c r="L118" s="86">
        <f t="shared" si="116"/>
        <v>14</v>
      </c>
      <c r="M118" s="86">
        <f t="shared" si="116"/>
        <v>16</v>
      </c>
      <c r="N118" s="86">
        <f t="shared" si="116"/>
        <v>18</v>
      </c>
      <c r="O118" s="86">
        <f t="shared" si="116"/>
        <v>20</v>
      </c>
      <c r="P118" s="86">
        <f t="shared" si="116"/>
        <v>24</v>
      </c>
      <c r="Q118" s="86">
        <f t="shared" si="116"/>
        <v>28</v>
      </c>
      <c r="R118" s="86">
        <f t="shared" si="116"/>
        <v>32</v>
      </c>
      <c r="S118" s="86">
        <f t="shared" si="116"/>
        <v>40</v>
      </c>
      <c r="T118" s="86">
        <f t="shared" si="116"/>
        <v>50</v>
      </c>
      <c r="U118" s="86">
        <f t="shared" si="116"/>
        <v>60</v>
      </c>
      <c r="V118" s="86">
        <f t="shared" si="116"/>
        <v>70</v>
      </c>
      <c r="W118" s="86">
        <f t="shared" si="116"/>
        <v>80</v>
      </c>
      <c r="X118" s="86">
        <f t="shared" si="116"/>
        <v>90</v>
      </c>
      <c r="Y118" s="86">
        <f t="shared" si="116"/>
        <v>100</v>
      </c>
      <c r="Z118" s="168"/>
      <c r="AA118" s="80"/>
    </row>
    <row r="119" ht="16.5" customHeight="1">
      <c r="A119" s="82" t="str">
        <f t="shared" ref="A119:E119" si="117">A66</f>
        <v>USD</v>
      </c>
      <c r="B119" s="82" t="str">
        <f t="shared" si="117"/>
        <v>$</v>
      </c>
      <c r="C119" s="177" t="str">
        <f t="shared" si="117"/>
        <v>美元</v>
      </c>
      <c r="D119" s="84" t="str">
        <f t="shared" si="117"/>
        <v/>
      </c>
      <c r="E119" s="178">
        <f t="shared" si="117"/>
        <v>0.01</v>
      </c>
      <c r="F119" s="86">
        <f t="shared" ref="F119:Y119" si="118">F66*$AA$111</f>
        <v>2</v>
      </c>
      <c r="G119" s="86">
        <f t="shared" si="118"/>
        <v>4</v>
      </c>
      <c r="H119" s="86">
        <f t="shared" si="118"/>
        <v>6</v>
      </c>
      <c r="I119" s="86">
        <f t="shared" si="118"/>
        <v>8</v>
      </c>
      <c r="J119" s="86">
        <f t="shared" si="118"/>
        <v>10</v>
      </c>
      <c r="K119" s="86">
        <f t="shared" si="118"/>
        <v>12</v>
      </c>
      <c r="L119" s="86">
        <f t="shared" si="118"/>
        <v>14</v>
      </c>
      <c r="M119" s="86">
        <f t="shared" si="118"/>
        <v>16</v>
      </c>
      <c r="N119" s="86">
        <f t="shared" si="118"/>
        <v>18</v>
      </c>
      <c r="O119" s="86">
        <f t="shared" si="118"/>
        <v>20</v>
      </c>
      <c r="P119" s="86">
        <f t="shared" si="118"/>
        <v>24</v>
      </c>
      <c r="Q119" s="86">
        <f t="shared" si="118"/>
        <v>28</v>
      </c>
      <c r="R119" s="86">
        <f t="shared" si="118"/>
        <v>32</v>
      </c>
      <c r="S119" s="86">
        <f t="shared" si="118"/>
        <v>40</v>
      </c>
      <c r="T119" s="86">
        <f t="shared" si="118"/>
        <v>50</v>
      </c>
      <c r="U119" s="86">
        <f t="shared" si="118"/>
        <v>60</v>
      </c>
      <c r="V119" s="86">
        <f t="shared" si="118"/>
        <v>70</v>
      </c>
      <c r="W119" s="86">
        <f t="shared" si="118"/>
        <v>80</v>
      </c>
      <c r="X119" s="86">
        <f t="shared" si="118"/>
        <v>90</v>
      </c>
      <c r="Y119" s="86">
        <f t="shared" si="118"/>
        <v>100</v>
      </c>
      <c r="Z119" s="168"/>
      <c r="AA119" s="80"/>
    </row>
    <row r="120" ht="16.5" customHeight="1">
      <c r="A120" s="48" t="str">
        <f t="shared" ref="A120:E120" si="119">A67</f>
        <v>BDT</v>
      </c>
      <c r="B120" s="48" t="str">
        <f t="shared" si="119"/>
        <v>৳</v>
      </c>
      <c r="C120" s="166" t="str">
        <f t="shared" si="119"/>
        <v>孟加拉塔卡</v>
      </c>
      <c r="D120" s="50" t="str">
        <f t="shared" si="119"/>
        <v/>
      </c>
      <c r="E120" s="167">
        <f t="shared" si="119"/>
        <v>0.1</v>
      </c>
      <c r="F120" s="65">
        <f t="shared" ref="F120:Y120" si="120">F67*$AA$111</f>
        <v>20</v>
      </c>
      <c r="G120" s="65">
        <f t="shared" si="120"/>
        <v>40</v>
      </c>
      <c r="H120" s="65">
        <f t="shared" si="120"/>
        <v>60</v>
      </c>
      <c r="I120" s="65">
        <f t="shared" si="120"/>
        <v>80</v>
      </c>
      <c r="J120" s="65">
        <f t="shared" si="120"/>
        <v>100</v>
      </c>
      <c r="K120" s="65">
        <f t="shared" si="120"/>
        <v>140</v>
      </c>
      <c r="L120" s="65">
        <f t="shared" si="120"/>
        <v>200</v>
      </c>
      <c r="M120" s="65">
        <f t="shared" si="120"/>
        <v>300</v>
      </c>
      <c r="N120" s="65">
        <f t="shared" si="120"/>
        <v>400</v>
      </c>
      <c r="O120" s="65">
        <f t="shared" si="120"/>
        <v>500</v>
      </c>
      <c r="P120" s="65">
        <f t="shared" si="120"/>
        <v>600</v>
      </c>
      <c r="Q120" s="65">
        <f t="shared" si="120"/>
        <v>700</v>
      </c>
      <c r="R120" s="65">
        <f t="shared" si="120"/>
        <v>800</v>
      </c>
      <c r="S120" s="65">
        <f t="shared" si="120"/>
        <v>900</v>
      </c>
      <c r="T120" s="65">
        <f t="shared" si="120"/>
        <v>1000</v>
      </c>
      <c r="U120" s="65">
        <f t="shared" si="120"/>
        <v>1100</v>
      </c>
      <c r="V120" s="65">
        <f t="shared" si="120"/>
        <v>1300</v>
      </c>
      <c r="W120" s="65">
        <f t="shared" si="120"/>
        <v>1500</v>
      </c>
      <c r="X120" s="65">
        <f t="shared" si="120"/>
        <v>2000</v>
      </c>
      <c r="Y120" s="65">
        <f t="shared" si="120"/>
        <v>2500</v>
      </c>
      <c r="Z120" s="168"/>
      <c r="AA120" s="80"/>
    </row>
    <row r="121" ht="16.5" customHeight="1">
      <c r="A121" s="48" t="str">
        <f t="shared" ref="A121:E121" si="121">A68</f>
        <v>PKR</v>
      </c>
      <c r="B121" s="48" t="str">
        <f t="shared" si="121"/>
        <v>₨</v>
      </c>
      <c r="C121" s="166" t="str">
        <f t="shared" si="121"/>
        <v>巴基斯坦盧比</v>
      </c>
      <c r="D121" s="50" t="str">
        <f t="shared" si="121"/>
        <v/>
      </c>
      <c r="E121" s="167">
        <f t="shared" si="121"/>
        <v>0.25</v>
      </c>
      <c r="F121" s="65">
        <f t="shared" ref="F121:Y121" si="122">F68*$AA$111</f>
        <v>50</v>
      </c>
      <c r="G121" s="65">
        <f t="shared" si="122"/>
        <v>100</v>
      </c>
      <c r="H121" s="65">
        <f t="shared" si="122"/>
        <v>150</v>
      </c>
      <c r="I121" s="65">
        <f t="shared" si="122"/>
        <v>200</v>
      </c>
      <c r="J121" s="65">
        <f t="shared" si="122"/>
        <v>250</v>
      </c>
      <c r="K121" s="65">
        <f t="shared" si="122"/>
        <v>350</v>
      </c>
      <c r="L121" s="65">
        <f t="shared" si="122"/>
        <v>500</v>
      </c>
      <c r="M121" s="65">
        <f t="shared" si="122"/>
        <v>750</v>
      </c>
      <c r="N121" s="65">
        <f t="shared" si="122"/>
        <v>1000</v>
      </c>
      <c r="O121" s="65">
        <f t="shared" si="122"/>
        <v>1250</v>
      </c>
      <c r="P121" s="65">
        <f t="shared" si="122"/>
        <v>1500</v>
      </c>
      <c r="Q121" s="65">
        <f t="shared" si="122"/>
        <v>1750</v>
      </c>
      <c r="R121" s="65">
        <f t="shared" si="122"/>
        <v>2000</v>
      </c>
      <c r="S121" s="65">
        <f t="shared" si="122"/>
        <v>2250</v>
      </c>
      <c r="T121" s="65">
        <f t="shared" si="122"/>
        <v>2500</v>
      </c>
      <c r="U121" s="65">
        <f t="shared" si="122"/>
        <v>2750</v>
      </c>
      <c r="V121" s="65">
        <f t="shared" si="122"/>
        <v>3250</v>
      </c>
      <c r="W121" s="65">
        <f t="shared" si="122"/>
        <v>3750</v>
      </c>
      <c r="X121" s="65">
        <f t="shared" si="122"/>
        <v>5000</v>
      </c>
      <c r="Y121" s="65">
        <f t="shared" si="122"/>
        <v>6250</v>
      </c>
      <c r="Z121" s="168"/>
      <c r="AA121" s="80"/>
    </row>
    <row r="122" ht="16.5" customHeight="1">
      <c r="A122" s="82" t="str">
        <f t="shared" ref="A122:E122" si="123">A69</f>
        <v>MMK</v>
      </c>
      <c r="B122" s="82" t="str">
        <f t="shared" si="123"/>
        <v>K</v>
      </c>
      <c r="C122" s="177" t="str">
        <f t="shared" si="123"/>
        <v>緬甸元(K)</v>
      </c>
      <c r="D122" s="84">
        <f t="shared" si="123"/>
        <v>1000</v>
      </c>
      <c r="E122" s="178">
        <f t="shared" si="123"/>
        <v>0.01</v>
      </c>
      <c r="F122" s="86">
        <f t="shared" ref="F122:Y122" si="124">F69*$AA$111</f>
        <v>2</v>
      </c>
      <c r="G122" s="86">
        <f t="shared" si="124"/>
        <v>4</v>
      </c>
      <c r="H122" s="86">
        <f t="shared" si="124"/>
        <v>6</v>
      </c>
      <c r="I122" s="86">
        <f t="shared" si="124"/>
        <v>8</v>
      </c>
      <c r="J122" s="86">
        <f t="shared" si="124"/>
        <v>10</v>
      </c>
      <c r="K122" s="86">
        <f t="shared" si="124"/>
        <v>12</v>
      </c>
      <c r="L122" s="86">
        <f t="shared" si="124"/>
        <v>14</v>
      </c>
      <c r="M122" s="86">
        <f t="shared" si="124"/>
        <v>16</v>
      </c>
      <c r="N122" s="86">
        <f t="shared" si="124"/>
        <v>18</v>
      </c>
      <c r="O122" s="86">
        <f t="shared" si="124"/>
        <v>20</v>
      </c>
      <c r="P122" s="86">
        <f t="shared" si="124"/>
        <v>24</v>
      </c>
      <c r="Q122" s="86">
        <f t="shared" si="124"/>
        <v>28</v>
      </c>
      <c r="R122" s="86">
        <f t="shared" si="124"/>
        <v>32</v>
      </c>
      <c r="S122" s="86">
        <f t="shared" si="124"/>
        <v>40</v>
      </c>
      <c r="T122" s="86">
        <f t="shared" si="124"/>
        <v>50</v>
      </c>
      <c r="U122" s="86">
        <f t="shared" si="124"/>
        <v>60</v>
      </c>
      <c r="V122" s="86">
        <f t="shared" si="124"/>
        <v>70</v>
      </c>
      <c r="W122" s="86">
        <f t="shared" si="124"/>
        <v>80</v>
      </c>
      <c r="X122" s="86">
        <f t="shared" si="124"/>
        <v>90</v>
      </c>
      <c r="Y122" s="86">
        <f t="shared" si="124"/>
        <v>100</v>
      </c>
      <c r="Z122" s="168"/>
      <c r="AA122" s="80"/>
    </row>
    <row r="123" ht="16.5" customHeight="1">
      <c r="A123" s="82" t="str">
        <f t="shared" ref="A123:E123" si="125">A70</f>
        <v>MMH</v>
      </c>
      <c r="B123" s="82" t="str">
        <f t="shared" si="125"/>
        <v>K</v>
      </c>
      <c r="C123" s="177" t="str">
        <f t="shared" si="125"/>
        <v>緬甸元(H)</v>
      </c>
      <c r="D123" s="84">
        <f t="shared" si="125"/>
        <v>100</v>
      </c>
      <c r="E123" s="178">
        <f t="shared" si="125"/>
        <v>0.1</v>
      </c>
      <c r="F123" s="86">
        <f t="shared" ref="F123:Y123" si="126">F70*$AA$111</f>
        <v>20</v>
      </c>
      <c r="G123" s="86">
        <f t="shared" si="126"/>
        <v>40</v>
      </c>
      <c r="H123" s="86">
        <f t="shared" si="126"/>
        <v>60</v>
      </c>
      <c r="I123" s="86">
        <f t="shared" si="126"/>
        <v>80</v>
      </c>
      <c r="J123" s="86">
        <f t="shared" si="126"/>
        <v>100</v>
      </c>
      <c r="K123" s="86">
        <f t="shared" si="126"/>
        <v>120</v>
      </c>
      <c r="L123" s="86">
        <f t="shared" si="126"/>
        <v>140</v>
      </c>
      <c r="M123" s="86">
        <f t="shared" si="126"/>
        <v>160</v>
      </c>
      <c r="N123" s="86">
        <f t="shared" si="126"/>
        <v>180</v>
      </c>
      <c r="O123" s="86">
        <f t="shared" si="126"/>
        <v>200</v>
      </c>
      <c r="P123" s="86">
        <f t="shared" si="126"/>
        <v>240</v>
      </c>
      <c r="Q123" s="86">
        <f t="shared" si="126"/>
        <v>280</v>
      </c>
      <c r="R123" s="86">
        <f t="shared" si="126"/>
        <v>320</v>
      </c>
      <c r="S123" s="86">
        <f t="shared" si="126"/>
        <v>400</v>
      </c>
      <c r="T123" s="86">
        <f t="shared" si="126"/>
        <v>500</v>
      </c>
      <c r="U123" s="86">
        <f t="shared" si="126"/>
        <v>600</v>
      </c>
      <c r="V123" s="86">
        <f t="shared" si="126"/>
        <v>700</v>
      </c>
      <c r="W123" s="86">
        <f t="shared" si="126"/>
        <v>800</v>
      </c>
      <c r="X123" s="86">
        <f t="shared" si="126"/>
        <v>900</v>
      </c>
      <c r="Y123" s="86">
        <f t="shared" si="126"/>
        <v>1000</v>
      </c>
      <c r="Z123" s="168"/>
      <c r="AA123" s="80"/>
    </row>
    <row r="124" ht="16.5" customHeight="1">
      <c r="A124" s="48" t="str">
        <f t="shared" ref="A124:E124" si="127">A71</f>
        <v>PHP</v>
      </c>
      <c r="B124" s="48" t="str">
        <f t="shared" si="127"/>
        <v>₱</v>
      </c>
      <c r="C124" s="166" t="str">
        <f t="shared" si="127"/>
        <v>菲律賓披索</v>
      </c>
      <c r="D124" s="50" t="str">
        <f t="shared" si="127"/>
        <v/>
      </c>
      <c r="E124" s="167">
        <f t="shared" si="127"/>
        <v>0.1</v>
      </c>
      <c r="F124" s="65">
        <f t="shared" ref="F124:Y124" si="128">F71*$AA$111</f>
        <v>20</v>
      </c>
      <c r="G124" s="65">
        <f t="shared" si="128"/>
        <v>40</v>
      </c>
      <c r="H124" s="65">
        <f t="shared" si="128"/>
        <v>60</v>
      </c>
      <c r="I124" s="65">
        <f t="shared" si="128"/>
        <v>80</v>
      </c>
      <c r="J124" s="65">
        <f t="shared" si="128"/>
        <v>100</v>
      </c>
      <c r="K124" s="65">
        <f t="shared" si="128"/>
        <v>140</v>
      </c>
      <c r="L124" s="65">
        <f t="shared" si="128"/>
        <v>200</v>
      </c>
      <c r="M124" s="65">
        <f t="shared" si="128"/>
        <v>300</v>
      </c>
      <c r="N124" s="65">
        <f t="shared" si="128"/>
        <v>400</v>
      </c>
      <c r="O124" s="65">
        <f t="shared" si="128"/>
        <v>500</v>
      </c>
      <c r="P124" s="65">
        <f t="shared" si="128"/>
        <v>600</v>
      </c>
      <c r="Q124" s="65">
        <f t="shared" si="128"/>
        <v>700</v>
      </c>
      <c r="R124" s="65">
        <f t="shared" si="128"/>
        <v>800</v>
      </c>
      <c r="S124" s="65">
        <f t="shared" si="128"/>
        <v>900</v>
      </c>
      <c r="T124" s="65">
        <f t="shared" si="128"/>
        <v>1000</v>
      </c>
      <c r="U124" s="65">
        <f t="shared" si="128"/>
        <v>1100</v>
      </c>
      <c r="V124" s="65">
        <f t="shared" si="128"/>
        <v>1300</v>
      </c>
      <c r="W124" s="65">
        <f t="shared" si="128"/>
        <v>1500</v>
      </c>
      <c r="X124" s="65">
        <f t="shared" si="128"/>
        <v>2000</v>
      </c>
      <c r="Y124" s="65">
        <f t="shared" si="128"/>
        <v>2500</v>
      </c>
      <c r="Z124" s="168"/>
      <c r="AA124" s="80"/>
    </row>
    <row r="125" ht="16.5" customHeight="1">
      <c r="A125" s="48" t="str">
        <f t="shared" ref="A125:E125" si="129">A72</f>
        <v>CNY</v>
      </c>
      <c r="B125" s="48" t="str">
        <f t="shared" si="129"/>
        <v>￥</v>
      </c>
      <c r="C125" s="166" t="str">
        <f t="shared" si="129"/>
        <v>人民幣</v>
      </c>
      <c r="D125" s="50" t="str">
        <f t="shared" si="129"/>
        <v/>
      </c>
      <c r="E125" s="167">
        <f t="shared" si="129"/>
        <v>0.01</v>
      </c>
      <c r="F125" s="65">
        <f t="shared" ref="F125:Y125" si="130">F72*$AA$111</f>
        <v>2</v>
      </c>
      <c r="G125" s="65">
        <f t="shared" si="130"/>
        <v>4</v>
      </c>
      <c r="H125" s="65">
        <f t="shared" si="130"/>
        <v>6</v>
      </c>
      <c r="I125" s="65">
        <f t="shared" si="130"/>
        <v>8</v>
      </c>
      <c r="J125" s="65">
        <f t="shared" si="130"/>
        <v>10</v>
      </c>
      <c r="K125" s="65">
        <f t="shared" si="130"/>
        <v>14</v>
      </c>
      <c r="L125" s="65">
        <f t="shared" si="130"/>
        <v>20</v>
      </c>
      <c r="M125" s="65">
        <f t="shared" si="130"/>
        <v>30</v>
      </c>
      <c r="N125" s="65">
        <f t="shared" si="130"/>
        <v>40</v>
      </c>
      <c r="O125" s="65">
        <f t="shared" si="130"/>
        <v>50</v>
      </c>
      <c r="P125" s="65">
        <f t="shared" si="130"/>
        <v>60</v>
      </c>
      <c r="Q125" s="65">
        <f t="shared" si="130"/>
        <v>70</v>
      </c>
      <c r="R125" s="65">
        <f t="shared" si="130"/>
        <v>80</v>
      </c>
      <c r="S125" s="65">
        <f t="shared" si="130"/>
        <v>90</v>
      </c>
      <c r="T125" s="65">
        <f t="shared" si="130"/>
        <v>100</v>
      </c>
      <c r="U125" s="65">
        <f t="shared" si="130"/>
        <v>110</v>
      </c>
      <c r="V125" s="65">
        <f t="shared" si="130"/>
        <v>130</v>
      </c>
      <c r="W125" s="65">
        <f t="shared" si="130"/>
        <v>150</v>
      </c>
      <c r="X125" s="65">
        <f t="shared" si="130"/>
        <v>200</v>
      </c>
      <c r="Y125" s="65">
        <f t="shared" si="130"/>
        <v>250</v>
      </c>
      <c r="Z125" s="168"/>
      <c r="AA125" s="80"/>
    </row>
    <row r="126" ht="16.5" customHeight="1">
      <c r="A126" s="48" t="str">
        <f t="shared" ref="A126:E126" si="131">A73</f>
        <v>MXN</v>
      </c>
      <c r="B126" s="48" t="str">
        <f t="shared" si="131"/>
        <v>Mex$</v>
      </c>
      <c r="C126" s="166" t="str">
        <f t="shared" si="131"/>
        <v>墨⻄哥披索</v>
      </c>
      <c r="D126" s="50" t="str">
        <f t="shared" si="131"/>
        <v/>
      </c>
      <c r="E126" s="167">
        <f t="shared" si="131"/>
        <v>0.02</v>
      </c>
      <c r="F126" s="65">
        <f t="shared" ref="F126:Y126" si="132">F73*$AA$111</f>
        <v>4</v>
      </c>
      <c r="G126" s="65">
        <f t="shared" si="132"/>
        <v>8</v>
      </c>
      <c r="H126" s="65">
        <f t="shared" si="132"/>
        <v>12</v>
      </c>
      <c r="I126" s="65">
        <f t="shared" si="132"/>
        <v>16</v>
      </c>
      <c r="J126" s="65">
        <f t="shared" si="132"/>
        <v>20</v>
      </c>
      <c r="K126" s="65">
        <f t="shared" si="132"/>
        <v>28</v>
      </c>
      <c r="L126" s="65">
        <f t="shared" si="132"/>
        <v>40</v>
      </c>
      <c r="M126" s="65">
        <f t="shared" si="132"/>
        <v>60</v>
      </c>
      <c r="N126" s="65">
        <f t="shared" si="132"/>
        <v>80</v>
      </c>
      <c r="O126" s="65">
        <f t="shared" si="132"/>
        <v>100</v>
      </c>
      <c r="P126" s="65">
        <f t="shared" si="132"/>
        <v>120</v>
      </c>
      <c r="Q126" s="65">
        <f t="shared" si="132"/>
        <v>140</v>
      </c>
      <c r="R126" s="65">
        <f t="shared" si="132"/>
        <v>160</v>
      </c>
      <c r="S126" s="65">
        <f t="shared" si="132"/>
        <v>180</v>
      </c>
      <c r="T126" s="65">
        <f t="shared" si="132"/>
        <v>200</v>
      </c>
      <c r="U126" s="65">
        <f t="shared" si="132"/>
        <v>220</v>
      </c>
      <c r="V126" s="65">
        <f t="shared" si="132"/>
        <v>260</v>
      </c>
      <c r="W126" s="65">
        <f t="shared" si="132"/>
        <v>300</v>
      </c>
      <c r="X126" s="65">
        <f t="shared" si="132"/>
        <v>400</v>
      </c>
      <c r="Y126" s="65">
        <f t="shared" si="132"/>
        <v>500</v>
      </c>
      <c r="Z126" s="169"/>
      <c r="AA126" s="80"/>
    </row>
    <row r="127" ht="16.5" customHeight="1">
      <c r="A127" s="48" t="str">
        <f t="shared" ref="A127:E127" si="133">A74</f>
        <v>BRL</v>
      </c>
      <c r="B127" s="48" t="str">
        <f t="shared" si="133"/>
        <v>R$</v>
      </c>
      <c r="C127" s="166" t="str">
        <f t="shared" si="133"/>
        <v>巴西雷亞爾</v>
      </c>
      <c r="D127" s="50" t="str">
        <f t="shared" si="133"/>
        <v/>
      </c>
      <c r="E127" s="167">
        <f t="shared" si="133"/>
        <v>0.01</v>
      </c>
      <c r="F127" s="65">
        <f t="shared" ref="F127:Y127" si="134">F74*$AA$111</f>
        <v>2</v>
      </c>
      <c r="G127" s="65">
        <f t="shared" si="134"/>
        <v>4</v>
      </c>
      <c r="H127" s="65">
        <f t="shared" si="134"/>
        <v>6</v>
      </c>
      <c r="I127" s="65">
        <f t="shared" si="134"/>
        <v>8</v>
      </c>
      <c r="J127" s="65">
        <f t="shared" si="134"/>
        <v>10</v>
      </c>
      <c r="K127" s="65">
        <f t="shared" si="134"/>
        <v>14</v>
      </c>
      <c r="L127" s="65">
        <f t="shared" si="134"/>
        <v>20</v>
      </c>
      <c r="M127" s="65">
        <f t="shared" si="134"/>
        <v>30</v>
      </c>
      <c r="N127" s="65">
        <f t="shared" si="134"/>
        <v>40</v>
      </c>
      <c r="O127" s="65">
        <f t="shared" si="134"/>
        <v>50</v>
      </c>
      <c r="P127" s="65">
        <f t="shared" si="134"/>
        <v>60</v>
      </c>
      <c r="Q127" s="65">
        <f t="shared" si="134"/>
        <v>70</v>
      </c>
      <c r="R127" s="65">
        <f t="shared" si="134"/>
        <v>80</v>
      </c>
      <c r="S127" s="65">
        <f t="shared" si="134"/>
        <v>90</v>
      </c>
      <c r="T127" s="65">
        <f t="shared" si="134"/>
        <v>100</v>
      </c>
      <c r="U127" s="65">
        <f t="shared" si="134"/>
        <v>110</v>
      </c>
      <c r="V127" s="65">
        <f t="shared" si="134"/>
        <v>130</v>
      </c>
      <c r="W127" s="65">
        <f t="shared" si="134"/>
        <v>150</v>
      </c>
      <c r="X127" s="65">
        <f t="shared" si="134"/>
        <v>200</v>
      </c>
      <c r="Y127" s="65">
        <f t="shared" si="134"/>
        <v>250</v>
      </c>
      <c r="Z127" s="169"/>
      <c r="AA127" s="80"/>
    </row>
    <row r="128" ht="16.5" customHeight="1">
      <c r="A128" s="82" t="str">
        <f t="shared" ref="A128:E128" si="135">A75</f>
        <v>AUD</v>
      </c>
      <c r="B128" s="82" t="str">
        <f t="shared" si="135"/>
        <v>A$</v>
      </c>
      <c r="C128" s="177" t="str">
        <f t="shared" si="135"/>
        <v>澳洲元</v>
      </c>
      <c r="D128" s="179" t="str">
        <f t="shared" si="135"/>
        <v/>
      </c>
      <c r="E128" s="178">
        <f t="shared" si="135"/>
        <v>0.01</v>
      </c>
      <c r="F128" s="86">
        <f t="shared" ref="F128:Y128" si="136">F75*$AA$111</f>
        <v>2</v>
      </c>
      <c r="G128" s="86">
        <f t="shared" si="136"/>
        <v>4</v>
      </c>
      <c r="H128" s="86">
        <f t="shared" si="136"/>
        <v>6</v>
      </c>
      <c r="I128" s="86">
        <f t="shared" si="136"/>
        <v>8</v>
      </c>
      <c r="J128" s="86">
        <f t="shared" si="136"/>
        <v>10</v>
      </c>
      <c r="K128" s="86">
        <f t="shared" si="136"/>
        <v>12</v>
      </c>
      <c r="L128" s="86">
        <f t="shared" si="136"/>
        <v>14</v>
      </c>
      <c r="M128" s="86">
        <f t="shared" si="136"/>
        <v>16</v>
      </c>
      <c r="N128" s="86">
        <f t="shared" si="136"/>
        <v>18</v>
      </c>
      <c r="O128" s="86">
        <f t="shared" si="136"/>
        <v>20</v>
      </c>
      <c r="P128" s="86">
        <f t="shared" si="136"/>
        <v>24</v>
      </c>
      <c r="Q128" s="86">
        <f t="shared" si="136"/>
        <v>28</v>
      </c>
      <c r="R128" s="86">
        <f t="shared" si="136"/>
        <v>32</v>
      </c>
      <c r="S128" s="86">
        <f t="shared" si="136"/>
        <v>40</v>
      </c>
      <c r="T128" s="86">
        <f t="shared" si="136"/>
        <v>50</v>
      </c>
      <c r="U128" s="86">
        <f t="shared" si="136"/>
        <v>60</v>
      </c>
      <c r="V128" s="86">
        <f t="shared" si="136"/>
        <v>70</v>
      </c>
      <c r="W128" s="86">
        <f t="shared" si="136"/>
        <v>80</v>
      </c>
      <c r="X128" s="86">
        <f t="shared" si="136"/>
        <v>90</v>
      </c>
      <c r="Y128" s="86">
        <f t="shared" si="136"/>
        <v>100</v>
      </c>
      <c r="Z128" s="169"/>
      <c r="AA128" s="80"/>
    </row>
    <row r="129" ht="16.5" customHeight="1">
      <c r="A129" s="48" t="str">
        <f t="shared" ref="A129:E129" si="137">A76</f>
        <v>JPY</v>
      </c>
      <c r="B129" s="48" t="str">
        <f t="shared" si="137"/>
        <v>￥</v>
      </c>
      <c r="C129" s="166" t="str">
        <f t="shared" si="137"/>
        <v>日圓</v>
      </c>
      <c r="D129" s="127" t="str">
        <f t="shared" si="137"/>
        <v/>
      </c>
      <c r="E129" s="167">
        <f t="shared" si="137"/>
        <v>0.2</v>
      </c>
      <c r="F129" s="65">
        <f t="shared" ref="F129:Y129" si="138">F76*$AA$111</f>
        <v>40</v>
      </c>
      <c r="G129" s="65">
        <f t="shared" si="138"/>
        <v>80</v>
      </c>
      <c r="H129" s="65">
        <f t="shared" si="138"/>
        <v>120</v>
      </c>
      <c r="I129" s="65">
        <f t="shared" si="138"/>
        <v>160</v>
      </c>
      <c r="J129" s="65">
        <f t="shared" si="138"/>
        <v>200</v>
      </c>
      <c r="K129" s="65">
        <f t="shared" si="138"/>
        <v>280</v>
      </c>
      <c r="L129" s="65">
        <f t="shared" si="138"/>
        <v>400</v>
      </c>
      <c r="M129" s="65">
        <f t="shared" si="138"/>
        <v>600</v>
      </c>
      <c r="N129" s="65">
        <f t="shared" si="138"/>
        <v>800</v>
      </c>
      <c r="O129" s="65">
        <f t="shared" si="138"/>
        <v>1000</v>
      </c>
      <c r="P129" s="65">
        <f t="shared" si="138"/>
        <v>1200</v>
      </c>
      <c r="Q129" s="65">
        <f t="shared" si="138"/>
        <v>1400</v>
      </c>
      <c r="R129" s="65">
        <f t="shared" si="138"/>
        <v>1600</v>
      </c>
      <c r="S129" s="65">
        <f t="shared" si="138"/>
        <v>1800</v>
      </c>
      <c r="T129" s="65">
        <f t="shared" si="138"/>
        <v>2000</v>
      </c>
      <c r="U129" s="65">
        <f t="shared" si="138"/>
        <v>2200</v>
      </c>
      <c r="V129" s="65">
        <f t="shared" si="138"/>
        <v>2600</v>
      </c>
      <c r="W129" s="65">
        <f t="shared" si="138"/>
        <v>3000</v>
      </c>
      <c r="X129" s="65">
        <f t="shared" si="138"/>
        <v>4000</v>
      </c>
      <c r="Y129" s="65">
        <f t="shared" si="138"/>
        <v>5000</v>
      </c>
      <c r="Z129" s="169"/>
      <c r="AA129" s="80"/>
    </row>
    <row r="130" ht="16.5" customHeight="1">
      <c r="A130" s="48" t="str">
        <f t="shared" ref="A130:E130" si="139">A77</f>
        <v>KRW</v>
      </c>
      <c r="B130" s="48" t="str">
        <f t="shared" si="139"/>
        <v>₩</v>
      </c>
      <c r="C130" s="166" t="str">
        <f t="shared" si="139"/>
        <v>韓圓</v>
      </c>
      <c r="D130" s="127" t="str">
        <f t="shared" si="139"/>
        <v/>
      </c>
      <c r="E130" s="167">
        <f t="shared" si="139"/>
        <v>2</v>
      </c>
      <c r="F130" s="65">
        <f t="shared" ref="F130:Y130" si="140">F77*$AA$111</f>
        <v>400</v>
      </c>
      <c r="G130" s="65">
        <f t="shared" si="140"/>
        <v>800</v>
      </c>
      <c r="H130" s="65">
        <f t="shared" si="140"/>
        <v>1200</v>
      </c>
      <c r="I130" s="65">
        <f t="shared" si="140"/>
        <v>1600</v>
      </c>
      <c r="J130" s="65">
        <f t="shared" si="140"/>
        <v>2000</v>
      </c>
      <c r="K130" s="65">
        <f t="shared" si="140"/>
        <v>2800</v>
      </c>
      <c r="L130" s="65">
        <f t="shared" si="140"/>
        <v>4000</v>
      </c>
      <c r="M130" s="65">
        <f t="shared" si="140"/>
        <v>6000</v>
      </c>
      <c r="N130" s="65">
        <f t="shared" si="140"/>
        <v>8000</v>
      </c>
      <c r="O130" s="65">
        <f t="shared" si="140"/>
        <v>10000</v>
      </c>
      <c r="P130" s="65">
        <f t="shared" si="140"/>
        <v>12000</v>
      </c>
      <c r="Q130" s="65">
        <f t="shared" si="140"/>
        <v>14000</v>
      </c>
      <c r="R130" s="65">
        <f t="shared" si="140"/>
        <v>16000</v>
      </c>
      <c r="S130" s="65">
        <f t="shared" si="140"/>
        <v>18000</v>
      </c>
      <c r="T130" s="65">
        <f t="shared" si="140"/>
        <v>20000</v>
      </c>
      <c r="U130" s="65">
        <f t="shared" si="140"/>
        <v>22000</v>
      </c>
      <c r="V130" s="65">
        <f t="shared" si="140"/>
        <v>26000</v>
      </c>
      <c r="W130" s="65">
        <f t="shared" si="140"/>
        <v>30000</v>
      </c>
      <c r="X130" s="65">
        <f t="shared" si="140"/>
        <v>40000</v>
      </c>
      <c r="Y130" s="65">
        <f t="shared" si="140"/>
        <v>50000</v>
      </c>
      <c r="Z130" s="169"/>
      <c r="AA130" s="80"/>
    </row>
    <row r="131" ht="16.5" customHeight="1">
      <c r="A131" s="48" t="str">
        <f t="shared" ref="A131:E131" si="141">A78</f>
        <v>CLP</v>
      </c>
      <c r="B131" s="48" t="str">
        <f t="shared" si="141"/>
        <v>$</v>
      </c>
      <c r="C131" s="166" t="str">
        <f t="shared" si="141"/>
        <v>智利披索</v>
      </c>
      <c r="D131" s="127" t="str">
        <f t="shared" si="141"/>
        <v/>
      </c>
      <c r="E131" s="167">
        <f t="shared" si="141"/>
        <v>1</v>
      </c>
      <c r="F131" s="65">
        <f t="shared" ref="F131:Y131" si="142">F78*$AA$111</f>
        <v>200</v>
      </c>
      <c r="G131" s="65">
        <f t="shared" si="142"/>
        <v>400</v>
      </c>
      <c r="H131" s="65">
        <f t="shared" si="142"/>
        <v>600</v>
      </c>
      <c r="I131" s="65">
        <f t="shared" si="142"/>
        <v>800</v>
      </c>
      <c r="J131" s="65">
        <f t="shared" si="142"/>
        <v>1000</v>
      </c>
      <c r="K131" s="65">
        <f t="shared" si="142"/>
        <v>1400</v>
      </c>
      <c r="L131" s="65">
        <f t="shared" si="142"/>
        <v>2000</v>
      </c>
      <c r="M131" s="65">
        <f t="shared" si="142"/>
        <v>3000</v>
      </c>
      <c r="N131" s="65">
        <f t="shared" si="142"/>
        <v>4000</v>
      </c>
      <c r="O131" s="65">
        <f t="shared" si="142"/>
        <v>5000</v>
      </c>
      <c r="P131" s="65">
        <f t="shared" si="142"/>
        <v>6000</v>
      </c>
      <c r="Q131" s="65">
        <f t="shared" si="142"/>
        <v>7000</v>
      </c>
      <c r="R131" s="65">
        <f t="shared" si="142"/>
        <v>8000</v>
      </c>
      <c r="S131" s="65">
        <f t="shared" si="142"/>
        <v>9000</v>
      </c>
      <c r="T131" s="65">
        <f t="shared" si="142"/>
        <v>10000</v>
      </c>
      <c r="U131" s="65">
        <f t="shared" si="142"/>
        <v>11000</v>
      </c>
      <c r="V131" s="65">
        <f t="shared" si="142"/>
        <v>13000</v>
      </c>
      <c r="W131" s="65">
        <f t="shared" si="142"/>
        <v>15000</v>
      </c>
      <c r="X131" s="65">
        <f t="shared" si="142"/>
        <v>20000</v>
      </c>
      <c r="Y131" s="65">
        <f t="shared" si="142"/>
        <v>25000</v>
      </c>
      <c r="Z131" s="169"/>
      <c r="AA131" s="80"/>
    </row>
    <row r="132" ht="16.5" customHeight="1">
      <c r="A132" s="48" t="str">
        <f t="shared" ref="A132:E132" si="143">A79</f>
        <v>MMKO</v>
      </c>
      <c r="B132" s="48" t="str">
        <f t="shared" si="143"/>
        <v>K</v>
      </c>
      <c r="C132" s="166" t="str">
        <f t="shared" si="143"/>
        <v>緬甸元</v>
      </c>
      <c r="D132" s="50" t="str">
        <f t="shared" si="143"/>
        <v/>
      </c>
      <c r="E132" s="167">
        <f t="shared" si="143"/>
        <v>2</v>
      </c>
      <c r="F132" s="65">
        <f t="shared" ref="F132:Y132" si="144">F79*$AA$111</f>
        <v>400</v>
      </c>
      <c r="G132" s="65">
        <f t="shared" si="144"/>
        <v>800</v>
      </c>
      <c r="H132" s="65">
        <f t="shared" si="144"/>
        <v>1200</v>
      </c>
      <c r="I132" s="65">
        <f t="shared" si="144"/>
        <v>1600</v>
      </c>
      <c r="J132" s="65">
        <f t="shared" si="144"/>
        <v>2000</v>
      </c>
      <c r="K132" s="65">
        <f t="shared" si="144"/>
        <v>2800</v>
      </c>
      <c r="L132" s="65">
        <f t="shared" si="144"/>
        <v>4000</v>
      </c>
      <c r="M132" s="65">
        <f t="shared" si="144"/>
        <v>6000</v>
      </c>
      <c r="N132" s="65">
        <f t="shared" si="144"/>
        <v>8000</v>
      </c>
      <c r="O132" s="65">
        <f t="shared" si="144"/>
        <v>10000</v>
      </c>
      <c r="P132" s="65">
        <f t="shared" si="144"/>
        <v>12000</v>
      </c>
      <c r="Q132" s="65">
        <f t="shared" si="144"/>
        <v>14000</v>
      </c>
      <c r="R132" s="65">
        <f t="shared" si="144"/>
        <v>16000</v>
      </c>
      <c r="S132" s="65">
        <f t="shared" si="144"/>
        <v>18000</v>
      </c>
      <c r="T132" s="65">
        <f t="shared" si="144"/>
        <v>20000</v>
      </c>
      <c r="U132" s="65">
        <f t="shared" si="144"/>
        <v>22000</v>
      </c>
      <c r="V132" s="65">
        <f t="shared" si="144"/>
        <v>26000</v>
      </c>
      <c r="W132" s="65">
        <f t="shared" si="144"/>
        <v>30000</v>
      </c>
      <c r="X132" s="65">
        <f t="shared" si="144"/>
        <v>40000</v>
      </c>
      <c r="Y132" s="65">
        <f t="shared" si="144"/>
        <v>50000</v>
      </c>
      <c r="Z132" s="170"/>
      <c r="AA132" s="80"/>
    </row>
    <row r="133" ht="16.5" customHeight="1">
      <c r="A133" s="48" t="str">
        <f t="shared" ref="A133:E133" si="145">A80</f>
        <v>IDRO</v>
      </c>
      <c r="B133" s="48" t="str">
        <f t="shared" si="145"/>
        <v>Rp</v>
      </c>
      <c r="C133" s="166" t="str">
        <f t="shared" si="145"/>
        <v>印尼盧比</v>
      </c>
      <c r="D133" s="50" t="str">
        <f t="shared" si="145"/>
        <v/>
      </c>
      <c r="E133" s="167">
        <f t="shared" si="145"/>
        <v>20</v>
      </c>
      <c r="F133" s="65">
        <f t="shared" ref="F133:Y133" si="146">F80*$AA$111</f>
        <v>4000</v>
      </c>
      <c r="G133" s="65">
        <f t="shared" si="146"/>
        <v>8000</v>
      </c>
      <c r="H133" s="65">
        <f t="shared" si="146"/>
        <v>12000</v>
      </c>
      <c r="I133" s="65">
        <f t="shared" si="146"/>
        <v>16000</v>
      </c>
      <c r="J133" s="65">
        <f t="shared" si="146"/>
        <v>20000</v>
      </c>
      <c r="K133" s="65">
        <f t="shared" si="146"/>
        <v>28000</v>
      </c>
      <c r="L133" s="65">
        <f t="shared" si="146"/>
        <v>40000</v>
      </c>
      <c r="M133" s="65">
        <f t="shared" si="146"/>
        <v>60000</v>
      </c>
      <c r="N133" s="65">
        <f t="shared" si="146"/>
        <v>80000</v>
      </c>
      <c r="O133" s="65">
        <f t="shared" si="146"/>
        <v>100000</v>
      </c>
      <c r="P133" s="65">
        <f t="shared" si="146"/>
        <v>120000</v>
      </c>
      <c r="Q133" s="65">
        <f t="shared" si="146"/>
        <v>140000</v>
      </c>
      <c r="R133" s="65">
        <f t="shared" si="146"/>
        <v>160000</v>
      </c>
      <c r="S133" s="65">
        <f t="shared" si="146"/>
        <v>180000</v>
      </c>
      <c r="T133" s="65">
        <f t="shared" si="146"/>
        <v>200000</v>
      </c>
      <c r="U133" s="65">
        <f t="shared" si="146"/>
        <v>220000</v>
      </c>
      <c r="V133" s="65">
        <f t="shared" si="146"/>
        <v>260000</v>
      </c>
      <c r="W133" s="65">
        <f t="shared" si="146"/>
        <v>300000</v>
      </c>
      <c r="X133" s="65">
        <f t="shared" si="146"/>
        <v>400000</v>
      </c>
      <c r="Y133" s="65">
        <f t="shared" si="146"/>
        <v>500000</v>
      </c>
      <c r="Z133" s="170"/>
      <c r="AA133" s="80"/>
    </row>
    <row r="134" ht="16.5" customHeight="1">
      <c r="A134" s="48" t="str">
        <f t="shared" ref="A134:E134" si="147">A81</f>
        <v>RUB</v>
      </c>
      <c r="B134" s="48" t="str">
        <f t="shared" si="147"/>
        <v>₽</v>
      </c>
      <c r="C134" s="166" t="str">
        <f t="shared" si="147"/>
        <v>盧布</v>
      </c>
      <c r="D134" s="50" t="str">
        <f t="shared" si="147"/>
        <v/>
      </c>
      <c r="E134" s="167">
        <f t="shared" si="147"/>
        <v>0.1</v>
      </c>
      <c r="F134" s="65">
        <f t="shared" ref="F134:Y134" si="148">F81*$AA$111</f>
        <v>20</v>
      </c>
      <c r="G134" s="65">
        <f t="shared" si="148"/>
        <v>40</v>
      </c>
      <c r="H134" s="65">
        <f t="shared" si="148"/>
        <v>60</v>
      </c>
      <c r="I134" s="65">
        <f t="shared" si="148"/>
        <v>80</v>
      </c>
      <c r="J134" s="65">
        <f t="shared" si="148"/>
        <v>100</v>
      </c>
      <c r="K134" s="65">
        <f t="shared" si="148"/>
        <v>140</v>
      </c>
      <c r="L134" s="65">
        <f t="shared" si="148"/>
        <v>200</v>
      </c>
      <c r="M134" s="65">
        <f t="shared" si="148"/>
        <v>300</v>
      </c>
      <c r="N134" s="65">
        <f t="shared" si="148"/>
        <v>400</v>
      </c>
      <c r="O134" s="65">
        <f t="shared" si="148"/>
        <v>500</v>
      </c>
      <c r="P134" s="65">
        <f t="shared" si="148"/>
        <v>600</v>
      </c>
      <c r="Q134" s="65">
        <f t="shared" si="148"/>
        <v>700</v>
      </c>
      <c r="R134" s="65">
        <f t="shared" si="148"/>
        <v>800</v>
      </c>
      <c r="S134" s="65">
        <f t="shared" si="148"/>
        <v>900</v>
      </c>
      <c r="T134" s="65">
        <f t="shared" si="148"/>
        <v>1000</v>
      </c>
      <c r="U134" s="65">
        <f t="shared" si="148"/>
        <v>1100</v>
      </c>
      <c r="V134" s="65">
        <f t="shared" si="148"/>
        <v>1300</v>
      </c>
      <c r="W134" s="65">
        <f t="shared" si="148"/>
        <v>1500</v>
      </c>
      <c r="X134" s="65">
        <f t="shared" si="148"/>
        <v>2000</v>
      </c>
      <c r="Y134" s="65">
        <f t="shared" si="148"/>
        <v>2500</v>
      </c>
      <c r="Z134" s="170"/>
      <c r="AA134" s="80"/>
    </row>
    <row r="135" ht="16.5" customHeight="1">
      <c r="A135" s="48" t="str">
        <f t="shared" ref="A135:E135" si="149">A82</f>
        <v>LKR</v>
      </c>
      <c r="B135" s="48" t="str">
        <f t="shared" si="149"/>
        <v>₨</v>
      </c>
      <c r="C135" s="166" t="str">
        <f t="shared" si="149"/>
        <v>斯里蘭卡盧比</v>
      </c>
      <c r="D135" s="50" t="str">
        <f t="shared" si="149"/>
        <v/>
      </c>
      <c r="E135" s="167">
        <f t="shared" si="149"/>
        <v>0.5</v>
      </c>
      <c r="F135" s="65">
        <f t="shared" ref="F135:Y135" si="150">F82*$AA$111</f>
        <v>100</v>
      </c>
      <c r="G135" s="65">
        <f t="shared" si="150"/>
        <v>200</v>
      </c>
      <c r="H135" s="65">
        <f t="shared" si="150"/>
        <v>300</v>
      </c>
      <c r="I135" s="65">
        <f t="shared" si="150"/>
        <v>400</v>
      </c>
      <c r="J135" s="65">
        <f t="shared" si="150"/>
        <v>500</v>
      </c>
      <c r="K135" s="65">
        <f t="shared" si="150"/>
        <v>700</v>
      </c>
      <c r="L135" s="65">
        <f t="shared" si="150"/>
        <v>1000</v>
      </c>
      <c r="M135" s="65">
        <f t="shared" si="150"/>
        <v>1500</v>
      </c>
      <c r="N135" s="65">
        <f t="shared" si="150"/>
        <v>2000</v>
      </c>
      <c r="O135" s="65">
        <f t="shared" si="150"/>
        <v>2500</v>
      </c>
      <c r="P135" s="65">
        <f t="shared" si="150"/>
        <v>3000</v>
      </c>
      <c r="Q135" s="65">
        <f t="shared" si="150"/>
        <v>3500</v>
      </c>
      <c r="R135" s="65">
        <f t="shared" si="150"/>
        <v>4000</v>
      </c>
      <c r="S135" s="65">
        <f t="shared" si="150"/>
        <v>4500</v>
      </c>
      <c r="T135" s="65">
        <f t="shared" si="150"/>
        <v>5000</v>
      </c>
      <c r="U135" s="65">
        <f t="shared" si="150"/>
        <v>5500</v>
      </c>
      <c r="V135" s="65">
        <f t="shared" si="150"/>
        <v>6500</v>
      </c>
      <c r="W135" s="65">
        <f t="shared" si="150"/>
        <v>7500</v>
      </c>
      <c r="X135" s="65">
        <f t="shared" si="150"/>
        <v>10000</v>
      </c>
      <c r="Y135" s="65">
        <f t="shared" si="150"/>
        <v>12500</v>
      </c>
      <c r="Z135" s="170"/>
      <c r="AA135" s="80"/>
    </row>
    <row r="136" ht="16.5" customHeight="1">
      <c r="A136" s="48" t="str">
        <f t="shared" ref="A136:E136" si="151">A83</f>
        <v>ETB</v>
      </c>
      <c r="B136" s="48" t="str">
        <f t="shared" si="151"/>
        <v>Br‎</v>
      </c>
      <c r="C136" s="166" t="str">
        <f t="shared" si="151"/>
        <v>衣索比亞比爾</v>
      </c>
      <c r="D136" s="50" t="str">
        <f t="shared" si="151"/>
        <v/>
      </c>
      <c r="E136" s="167">
        <f t="shared" si="151"/>
        <v>0.05</v>
      </c>
      <c r="F136" s="65">
        <f t="shared" ref="F136:Y136" si="152">F83*$AA$111</f>
        <v>10</v>
      </c>
      <c r="G136" s="65">
        <f t="shared" si="152"/>
        <v>20</v>
      </c>
      <c r="H136" s="65">
        <f t="shared" si="152"/>
        <v>30</v>
      </c>
      <c r="I136" s="65">
        <f t="shared" si="152"/>
        <v>40</v>
      </c>
      <c r="J136" s="65">
        <f t="shared" si="152"/>
        <v>50</v>
      </c>
      <c r="K136" s="65">
        <f t="shared" si="152"/>
        <v>70</v>
      </c>
      <c r="L136" s="65">
        <f t="shared" si="152"/>
        <v>100</v>
      </c>
      <c r="M136" s="65">
        <f t="shared" si="152"/>
        <v>150</v>
      </c>
      <c r="N136" s="65">
        <f t="shared" si="152"/>
        <v>200</v>
      </c>
      <c r="O136" s="65">
        <f t="shared" si="152"/>
        <v>250</v>
      </c>
      <c r="P136" s="65">
        <f t="shared" si="152"/>
        <v>300</v>
      </c>
      <c r="Q136" s="65">
        <f t="shared" si="152"/>
        <v>350</v>
      </c>
      <c r="R136" s="65">
        <f t="shared" si="152"/>
        <v>400</v>
      </c>
      <c r="S136" s="65">
        <f t="shared" si="152"/>
        <v>450</v>
      </c>
      <c r="T136" s="65">
        <f t="shared" si="152"/>
        <v>500</v>
      </c>
      <c r="U136" s="65">
        <f t="shared" si="152"/>
        <v>550</v>
      </c>
      <c r="V136" s="65">
        <f t="shared" si="152"/>
        <v>650</v>
      </c>
      <c r="W136" s="65">
        <f t="shared" si="152"/>
        <v>750</v>
      </c>
      <c r="X136" s="65">
        <f t="shared" si="152"/>
        <v>1000</v>
      </c>
      <c r="Y136" s="65">
        <f t="shared" si="152"/>
        <v>1250</v>
      </c>
      <c r="Z136" s="170"/>
      <c r="AA136" s="80"/>
    </row>
    <row r="137" ht="16.5" customHeight="1">
      <c r="A137" s="48" t="str">
        <f t="shared" ref="A137:E137" si="153">A84</f>
        <v>UGX</v>
      </c>
      <c r="B137" s="48" t="str">
        <f t="shared" si="153"/>
        <v>USh</v>
      </c>
      <c r="C137" s="166" t="str">
        <f t="shared" si="153"/>
        <v>烏干達先令</v>
      </c>
      <c r="D137" s="50" t="str">
        <f t="shared" si="153"/>
        <v/>
      </c>
      <c r="E137" s="167">
        <f t="shared" si="153"/>
        <v>5</v>
      </c>
      <c r="F137" s="65">
        <f t="shared" ref="F137:Y137" si="154">F84*$AA$111</f>
        <v>1000</v>
      </c>
      <c r="G137" s="65">
        <f t="shared" si="154"/>
        <v>2000</v>
      </c>
      <c r="H137" s="65">
        <f t="shared" si="154"/>
        <v>3000</v>
      </c>
      <c r="I137" s="65">
        <f t="shared" si="154"/>
        <v>4000</v>
      </c>
      <c r="J137" s="65">
        <f t="shared" si="154"/>
        <v>5000</v>
      </c>
      <c r="K137" s="65">
        <f t="shared" si="154"/>
        <v>7000</v>
      </c>
      <c r="L137" s="65">
        <f t="shared" si="154"/>
        <v>10000</v>
      </c>
      <c r="M137" s="65">
        <f t="shared" si="154"/>
        <v>15000</v>
      </c>
      <c r="N137" s="65">
        <f t="shared" si="154"/>
        <v>20000</v>
      </c>
      <c r="O137" s="65">
        <f t="shared" si="154"/>
        <v>25000</v>
      </c>
      <c r="P137" s="65">
        <f t="shared" si="154"/>
        <v>30000</v>
      </c>
      <c r="Q137" s="65">
        <f t="shared" si="154"/>
        <v>35000</v>
      </c>
      <c r="R137" s="65">
        <f t="shared" si="154"/>
        <v>40000</v>
      </c>
      <c r="S137" s="65">
        <f t="shared" si="154"/>
        <v>45000</v>
      </c>
      <c r="T137" s="65">
        <f t="shared" si="154"/>
        <v>50000</v>
      </c>
      <c r="U137" s="65">
        <f t="shared" si="154"/>
        <v>55000</v>
      </c>
      <c r="V137" s="65">
        <f t="shared" si="154"/>
        <v>65000</v>
      </c>
      <c r="W137" s="65">
        <f t="shared" si="154"/>
        <v>75000</v>
      </c>
      <c r="X137" s="65">
        <f t="shared" si="154"/>
        <v>100000</v>
      </c>
      <c r="Y137" s="65">
        <f t="shared" si="154"/>
        <v>125000</v>
      </c>
      <c r="Z137" s="170"/>
      <c r="AA137" s="80"/>
    </row>
    <row r="138" ht="16.5" customHeight="1">
      <c r="A138" s="82" t="str">
        <f t="shared" ref="A138:E138" si="155">A85</f>
        <v>EUR</v>
      </c>
      <c r="B138" s="82" t="str">
        <f t="shared" si="155"/>
        <v>€</v>
      </c>
      <c r="C138" s="177" t="str">
        <f t="shared" si="155"/>
        <v>歐元</v>
      </c>
      <c r="D138" s="84" t="str">
        <f t="shared" si="155"/>
        <v/>
      </c>
      <c r="E138" s="178">
        <f t="shared" si="155"/>
        <v>0.01</v>
      </c>
      <c r="F138" s="86">
        <f t="shared" ref="F138:Y138" si="156">F85*$AA$111</f>
        <v>2</v>
      </c>
      <c r="G138" s="86">
        <f t="shared" si="156"/>
        <v>4</v>
      </c>
      <c r="H138" s="86">
        <f t="shared" si="156"/>
        <v>6</v>
      </c>
      <c r="I138" s="86">
        <f t="shared" si="156"/>
        <v>8</v>
      </c>
      <c r="J138" s="86">
        <f t="shared" si="156"/>
        <v>10</v>
      </c>
      <c r="K138" s="86">
        <f t="shared" si="156"/>
        <v>12</v>
      </c>
      <c r="L138" s="86">
        <f t="shared" si="156"/>
        <v>14</v>
      </c>
      <c r="M138" s="86">
        <f t="shared" si="156"/>
        <v>16</v>
      </c>
      <c r="N138" s="86">
        <f t="shared" si="156"/>
        <v>18</v>
      </c>
      <c r="O138" s="86">
        <f t="shared" si="156"/>
        <v>20</v>
      </c>
      <c r="P138" s="86">
        <f t="shared" si="156"/>
        <v>24</v>
      </c>
      <c r="Q138" s="86">
        <f t="shared" si="156"/>
        <v>28</v>
      </c>
      <c r="R138" s="86">
        <f t="shared" si="156"/>
        <v>32</v>
      </c>
      <c r="S138" s="86">
        <f t="shared" si="156"/>
        <v>40</v>
      </c>
      <c r="T138" s="86">
        <f t="shared" si="156"/>
        <v>50</v>
      </c>
      <c r="U138" s="86">
        <f t="shared" si="156"/>
        <v>60</v>
      </c>
      <c r="V138" s="86">
        <f t="shared" si="156"/>
        <v>70</v>
      </c>
      <c r="W138" s="86">
        <f t="shared" si="156"/>
        <v>80</v>
      </c>
      <c r="X138" s="86">
        <f t="shared" si="156"/>
        <v>90</v>
      </c>
      <c r="Y138" s="86">
        <f t="shared" si="156"/>
        <v>100</v>
      </c>
      <c r="Z138" s="170"/>
      <c r="AA138" s="80"/>
    </row>
    <row r="139" ht="16.5" customHeight="1">
      <c r="A139" s="48" t="str">
        <f t="shared" ref="A139:E139" si="157">A86</f>
        <v>ARS</v>
      </c>
      <c r="B139" s="48" t="str">
        <f t="shared" si="157"/>
        <v>$</v>
      </c>
      <c r="C139" s="166" t="str">
        <f t="shared" si="157"/>
        <v>阿根廷披索</v>
      </c>
      <c r="D139" s="50" t="str">
        <f t="shared" si="157"/>
        <v/>
      </c>
      <c r="E139" s="167">
        <f t="shared" si="157"/>
        <v>0.25</v>
      </c>
      <c r="F139" s="65">
        <f t="shared" ref="F139:Y139" si="158">F86*$AA$111</f>
        <v>50</v>
      </c>
      <c r="G139" s="65">
        <f t="shared" si="158"/>
        <v>100</v>
      </c>
      <c r="H139" s="65">
        <f t="shared" si="158"/>
        <v>150</v>
      </c>
      <c r="I139" s="65">
        <f t="shared" si="158"/>
        <v>200</v>
      </c>
      <c r="J139" s="65">
        <f t="shared" si="158"/>
        <v>250</v>
      </c>
      <c r="K139" s="65">
        <f t="shared" si="158"/>
        <v>350</v>
      </c>
      <c r="L139" s="65">
        <f t="shared" si="158"/>
        <v>500</v>
      </c>
      <c r="M139" s="65">
        <f t="shared" si="158"/>
        <v>750</v>
      </c>
      <c r="N139" s="65">
        <f t="shared" si="158"/>
        <v>1000</v>
      </c>
      <c r="O139" s="65">
        <f t="shared" si="158"/>
        <v>1250</v>
      </c>
      <c r="P139" s="65">
        <f t="shared" si="158"/>
        <v>1500</v>
      </c>
      <c r="Q139" s="65">
        <f t="shared" si="158"/>
        <v>1750</v>
      </c>
      <c r="R139" s="65">
        <f t="shared" si="158"/>
        <v>2000</v>
      </c>
      <c r="S139" s="65">
        <f t="shared" si="158"/>
        <v>2250</v>
      </c>
      <c r="T139" s="65">
        <f t="shared" si="158"/>
        <v>2500</v>
      </c>
      <c r="U139" s="65">
        <f t="shared" si="158"/>
        <v>2750</v>
      </c>
      <c r="V139" s="65">
        <f t="shared" si="158"/>
        <v>3250</v>
      </c>
      <c r="W139" s="65">
        <f t="shared" si="158"/>
        <v>3750</v>
      </c>
      <c r="X139" s="65">
        <f t="shared" si="158"/>
        <v>5000</v>
      </c>
      <c r="Y139" s="65">
        <f t="shared" si="158"/>
        <v>6250</v>
      </c>
      <c r="Z139" s="170"/>
      <c r="AA139" s="80"/>
    </row>
    <row r="140" ht="16.5" customHeight="1">
      <c r="A140" s="48" t="str">
        <f t="shared" ref="A140:E140" si="159">A87</f>
        <v>NGN</v>
      </c>
      <c r="B140" s="48" t="str">
        <f t="shared" si="159"/>
        <v>₦</v>
      </c>
      <c r="C140" s="166" t="str">
        <f t="shared" si="159"/>
        <v>奈及利亞奈拉</v>
      </c>
      <c r="D140" s="162" t="str">
        <f t="shared" si="159"/>
        <v/>
      </c>
      <c r="E140" s="167">
        <f t="shared" si="159"/>
        <v>1</v>
      </c>
      <c r="F140" s="65">
        <f t="shared" ref="F140:Y140" si="160">F87*$AA$111</f>
        <v>200</v>
      </c>
      <c r="G140" s="65">
        <f t="shared" si="160"/>
        <v>400</v>
      </c>
      <c r="H140" s="65">
        <f t="shared" si="160"/>
        <v>600</v>
      </c>
      <c r="I140" s="65">
        <f t="shared" si="160"/>
        <v>800</v>
      </c>
      <c r="J140" s="65">
        <f t="shared" si="160"/>
        <v>1000</v>
      </c>
      <c r="K140" s="65">
        <f t="shared" si="160"/>
        <v>1400</v>
      </c>
      <c r="L140" s="65">
        <f t="shared" si="160"/>
        <v>2000</v>
      </c>
      <c r="M140" s="65">
        <f t="shared" si="160"/>
        <v>3000</v>
      </c>
      <c r="N140" s="65">
        <f t="shared" si="160"/>
        <v>4000</v>
      </c>
      <c r="O140" s="65">
        <f t="shared" si="160"/>
        <v>5000</v>
      </c>
      <c r="P140" s="65">
        <f t="shared" si="160"/>
        <v>6000</v>
      </c>
      <c r="Q140" s="65">
        <f t="shared" si="160"/>
        <v>7000</v>
      </c>
      <c r="R140" s="65">
        <f t="shared" si="160"/>
        <v>8000</v>
      </c>
      <c r="S140" s="65">
        <f t="shared" si="160"/>
        <v>9000</v>
      </c>
      <c r="T140" s="65">
        <f t="shared" si="160"/>
        <v>10000</v>
      </c>
      <c r="U140" s="65">
        <f t="shared" si="160"/>
        <v>11000</v>
      </c>
      <c r="V140" s="65">
        <f t="shared" si="160"/>
        <v>13000</v>
      </c>
      <c r="W140" s="65">
        <f t="shared" si="160"/>
        <v>15000</v>
      </c>
      <c r="X140" s="65">
        <f t="shared" si="160"/>
        <v>20000</v>
      </c>
      <c r="Y140" s="65">
        <f t="shared" si="160"/>
        <v>25000</v>
      </c>
      <c r="Z140" s="170"/>
      <c r="AA140" s="80"/>
    </row>
    <row r="141" ht="16.5" customHeight="1">
      <c r="A141" s="48" t="str">
        <f t="shared" ref="A141:E141" si="161">A88</f>
        <v>KES</v>
      </c>
      <c r="B141" s="48" t="str">
        <f t="shared" si="161"/>
        <v>KSh</v>
      </c>
      <c r="C141" s="166" t="str">
        <f t="shared" si="161"/>
        <v>肯亞先令</v>
      </c>
      <c r="D141" s="162" t="str">
        <f t="shared" si="161"/>
        <v/>
      </c>
      <c r="E141" s="167">
        <f t="shared" si="161"/>
        <v>0.2</v>
      </c>
      <c r="F141" s="65">
        <f t="shared" ref="F141:Y141" si="162">F88*$AA$111</f>
        <v>40</v>
      </c>
      <c r="G141" s="65">
        <f t="shared" si="162"/>
        <v>80</v>
      </c>
      <c r="H141" s="65">
        <f t="shared" si="162"/>
        <v>120</v>
      </c>
      <c r="I141" s="65">
        <f t="shared" si="162"/>
        <v>160</v>
      </c>
      <c r="J141" s="65">
        <f t="shared" si="162"/>
        <v>200</v>
      </c>
      <c r="K141" s="65">
        <f t="shared" si="162"/>
        <v>280</v>
      </c>
      <c r="L141" s="65">
        <f t="shared" si="162"/>
        <v>400</v>
      </c>
      <c r="M141" s="65">
        <f t="shared" si="162"/>
        <v>600</v>
      </c>
      <c r="N141" s="65">
        <f t="shared" si="162"/>
        <v>800</v>
      </c>
      <c r="O141" s="65">
        <f t="shared" si="162"/>
        <v>1000</v>
      </c>
      <c r="P141" s="65">
        <f t="shared" si="162"/>
        <v>1200</v>
      </c>
      <c r="Q141" s="65">
        <f t="shared" si="162"/>
        <v>1400</v>
      </c>
      <c r="R141" s="65">
        <f t="shared" si="162"/>
        <v>1600</v>
      </c>
      <c r="S141" s="65">
        <f t="shared" si="162"/>
        <v>1800</v>
      </c>
      <c r="T141" s="65">
        <f t="shared" si="162"/>
        <v>2000</v>
      </c>
      <c r="U141" s="65">
        <f t="shared" si="162"/>
        <v>2200</v>
      </c>
      <c r="V141" s="65">
        <f t="shared" si="162"/>
        <v>2600</v>
      </c>
      <c r="W141" s="65">
        <f t="shared" si="162"/>
        <v>3000</v>
      </c>
      <c r="X141" s="65">
        <f t="shared" si="162"/>
        <v>4000</v>
      </c>
      <c r="Y141" s="65">
        <f t="shared" si="162"/>
        <v>5000</v>
      </c>
      <c r="Z141" s="170"/>
      <c r="AA141" s="80"/>
    </row>
    <row r="142" ht="16.5" customHeight="1">
      <c r="A142" s="48" t="str">
        <f t="shared" ref="A142:E142" si="163">A89</f>
        <v>ZAR</v>
      </c>
      <c r="B142" s="48" t="str">
        <f t="shared" si="163"/>
        <v>R</v>
      </c>
      <c r="C142" s="166" t="str">
        <f t="shared" si="163"/>
        <v>南非鍰</v>
      </c>
      <c r="D142" s="162" t="str">
        <f t="shared" si="163"/>
        <v/>
      </c>
      <c r="E142" s="167">
        <f t="shared" si="163"/>
        <v>0.02</v>
      </c>
      <c r="F142" s="65">
        <f t="shared" ref="F142:Y142" si="164">F89*$AA$111</f>
        <v>4</v>
      </c>
      <c r="G142" s="65">
        <f t="shared" si="164"/>
        <v>8</v>
      </c>
      <c r="H142" s="65">
        <f t="shared" si="164"/>
        <v>12</v>
      </c>
      <c r="I142" s="65">
        <f t="shared" si="164"/>
        <v>16</v>
      </c>
      <c r="J142" s="65">
        <f t="shared" si="164"/>
        <v>20</v>
      </c>
      <c r="K142" s="65">
        <f t="shared" si="164"/>
        <v>28</v>
      </c>
      <c r="L142" s="65">
        <f t="shared" si="164"/>
        <v>40</v>
      </c>
      <c r="M142" s="65">
        <f t="shared" si="164"/>
        <v>60</v>
      </c>
      <c r="N142" s="65">
        <f t="shared" si="164"/>
        <v>80</v>
      </c>
      <c r="O142" s="65">
        <f t="shared" si="164"/>
        <v>100</v>
      </c>
      <c r="P142" s="65">
        <f t="shared" si="164"/>
        <v>120</v>
      </c>
      <c r="Q142" s="65">
        <f t="shared" si="164"/>
        <v>140</v>
      </c>
      <c r="R142" s="65">
        <f t="shared" si="164"/>
        <v>160</v>
      </c>
      <c r="S142" s="65">
        <f t="shared" si="164"/>
        <v>180</v>
      </c>
      <c r="T142" s="65">
        <f t="shared" si="164"/>
        <v>200</v>
      </c>
      <c r="U142" s="65">
        <f t="shared" si="164"/>
        <v>220</v>
      </c>
      <c r="V142" s="65">
        <f t="shared" si="164"/>
        <v>260</v>
      </c>
      <c r="W142" s="65">
        <f t="shared" si="164"/>
        <v>300</v>
      </c>
      <c r="X142" s="65">
        <f t="shared" si="164"/>
        <v>400</v>
      </c>
      <c r="Y142" s="65">
        <f t="shared" si="164"/>
        <v>500</v>
      </c>
      <c r="Z142" s="170"/>
      <c r="AA142" s="80"/>
    </row>
    <row r="143" ht="16.5" customHeight="1">
      <c r="A143" s="48" t="str">
        <f t="shared" ref="A143:E143" si="165">A90</f>
        <v>TRY</v>
      </c>
      <c r="B143" s="48" t="str">
        <f t="shared" si="165"/>
        <v>₺</v>
      </c>
      <c r="C143" s="166" t="str">
        <f t="shared" si="165"/>
        <v>土耳其里拉</v>
      </c>
      <c r="D143" s="162" t="str">
        <f t="shared" si="165"/>
        <v/>
      </c>
      <c r="E143" s="167">
        <f t="shared" si="165"/>
        <v>0.04</v>
      </c>
      <c r="F143" s="65">
        <f t="shared" ref="F143:Y143" si="166">F90*$AA$111</f>
        <v>8</v>
      </c>
      <c r="G143" s="65">
        <f t="shared" si="166"/>
        <v>16</v>
      </c>
      <c r="H143" s="65">
        <f t="shared" si="166"/>
        <v>24</v>
      </c>
      <c r="I143" s="65">
        <f t="shared" si="166"/>
        <v>32</v>
      </c>
      <c r="J143" s="65">
        <f t="shared" si="166"/>
        <v>40</v>
      </c>
      <c r="K143" s="65">
        <f t="shared" si="166"/>
        <v>56</v>
      </c>
      <c r="L143" s="65">
        <f t="shared" si="166"/>
        <v>80</v>
      </c>
      <c r="M143" s="65">
        <f t="shared" si="166"/>
        <v>120</v>
      </c>
      <c r="N143" s="65">
        <f t="shared" si="166"/>
        <v>160</v>
      </c>
      <c r="O143" s="65">
        <f t="shared" si="166"/>
        <v>200</v>
      </c>
      <c r="P143" s="65">
        <f t="shared" si="166"/>
        <v>240</v>
      </c>
      <c r="Q143" s="65">
        <f t="shared" si="166"/>
        <v>280</v>
      </c>
      <c r="R143" s="65">
        <f t="shared" si="166"/>
        <v>320</v>
      </c>
      <c r="S143" s="65">
        <f t="shared" si="166"/>
        <v>360</v>
      </c>
      <c r="T143" s="65">
        <f t="shared" si="166"/>
        <v>400</v>
      </c>
      <c r="U143" s="65">
        <f t="shared" si="166"/>
        <v>440</v>
      </c>
      <c r="V143" s="65">
        <f t="shared" si="166"/>
        <v>520</v>
      </c>
      <c r="W143" s="65">
        <f t="shared" si="166"/>
        <v>600</v>
      </c>
      <c r="X143" s="65">
        <f t="shared" si="166"/>
        <v>800</v>
      </c>
      <c r="Y143" s="65">
        <f t="shared" si="166"/>
        <v>1000</v>
      </c>
      <c r="Z143" s="170"/>
      <c r="AA143" s="80"/>
    </row>
    <row r="144" ht="16.5" customHeight="1">
      <c r="A144" s="82" t="str">
        <f t="shared" ref="A144:E144" si="167">A91</f>
        <v>GBP</v>
      </c>
      <c r="B144" s="82" t="str">
        <f t="shared" si="167"/>
        <v>£</v>
      </c>
      <c r="C144" s="177" t="str">
        <f t="shared" si="167"/>
        <v>英鎊</v>
      </c>
      <c r="D144" s="163" t="str">
        <f t="shared" si="167"/>
        <v/>
      </c>
      <c r="E144" s="178">
        <f t="shared" si="167"/>
        <v>0.01</v>
      </c>
      <c r="F144" s="86">
        <f t="shared" ref="F144:Y144" si="168">F91*$AA$111</f>
        <v>2</v>
      </c>
      <c r="G144" s="86">
        <f t="shared" si="168"/>
        <v>4</v>
      </c>
      <c r="H144" s="86">
        <f t="shared" si="168"/>
        <v>6</v>
      </c>
      <c r="I144" s="86">
        <f t="shared" si="168"/>
        <v>8</v>
      </c>
      <c r="J144" s="86">
        <f t="shared" si="168"/>
        <v>10</v>
      </c>
      <c r="K144" s="86">
        <f t="shared" si="168"/>
        <v>12</v>
      </c>
      <c r="L144" s="86">
        <f t="shared" si="168"/>
        <v>14</v>
      </c>
      <c r="M144" s="86">
        <f t="shared" si="168"/>
        <v>16</v>
      </c>
      <c r="N144" s="86">
        <f t="shared" si="168"/>
        <v>18</v>
      </c>
      <c r="O144" s="86">
        <f t="shared" si="168"/>
        <v>20</v>
      </c>
      <c r="P144" s="86">
        <f t="shared" si="168"/>
        <v>24</v>
      </c>
      <c r="Q144" s="86">
        <f t="shared" si="168"/>
        <v>28</v>
      </c>
      <c r="R144" s="86">
        <f t="shared" si="168"/>
        <v>32</v>
      </c>
      <c r="S144" s="86">
        <f t="shared" si="168"/>
        <v>40</v>
      </c>
      <c r="T144" s="86">
        <f t="shared" si="168"/>
        <v>50</v>
      </c>
      <c r="U144" s="86">
        <f t="shared" si="168"/>
        <v>60</v>
      </c>
      <c r="V144" s="86">
        <f t="shared" si="168"/>
        <v>70</v>
      </c>
      <c r="W144" s="86">
        <f t="shared" si="168"/>
        <v>80</v>
      </c>
      <c r="X144" s="86">
        <f t="shared" si="168"/>
        <v>90</v>
      </c>
      <c r="Y144" s="86">
        <f t="shared" si="168"/>
        <v>100</v>
      </c>
      <c r="Z144" s="170"/>
      <c r="AA144" s="80"/>
    </row>
    <row r="145" ht="16.5" customHeight="1">
      <c r="A145" s="48" t="str">
        <f t="shared" ref="A145:E145" si="169">A92</f>
        <v>NPR</v>
      </c>
      <c r="B145" s="48" t="str">
        <f t="shared" si="169"/>
        <v>रू</v>
      </c>
      <c r="C145" s="166" t="str">
        <f t="shared" si="169"/>
        <v>尼泊爾盧比</v>
      </c>
      <c r="D145" s="162" t="str">
        <f t="shared" si="169"/>
        <v/>
      </c>
      <c r="E145" s="167">
        <f t="shared" si="169"/>
        <v>0.2</v>
      </c>
      <c r="F145" s="65">
        <f t="shared" ref="F145:Y145" si="170">F92*$AA$111</f>
        <v>40</v>
      </c>
      <c r="G145" s="65">
        <f t="shared" si="170"/>
        <v>80</v>
      </c>
      <c r="H145" s="65">
        <f t="shared" si="170"/>
        <v>120</v>
      </c>
      <c r="I145" s="65">
        <f t="shared" si="170"/>
        <v>160</v>
      </c>
      <c r="J145" s="65">
        <f t="shared" si="170"/>
        <v>200</v>
      </c>
      <c r="K145" s="65">
        <f t="shared" si="170"/>
        <v>280</v>
      </c>
      <c r="L145" s="65">
        <f t="shared" si="170"/>
        <v>400</v>
      </c>
      <c r="M145" s="65">
        <f t="shared" si="170"/>
        <v>600</v>
      </c>
      <c r="N145" s="65">
        <f t="shared" si="170"/>
        <v>800</v>
      </c>
      <c r="O145" s="65">
        <f t="shared" si="170"/>
        <v>1000</v>
      </c>
      <c r="P145" s="65">
        <f t="shared" si="170"/>
        <v>1200</v>
      </c>
      <c r="Q145" s="65">
        <f t="shared" si="170"/>
        <v>1400</v>
      </c>
      <c r="R145" s="65">
        <f t="shared" si="170"/>
        <v>1600</v>
      </c>
      <c r="S145" s="65">
        <f t="shared" si="170"/>
        <v>1800</v>
      </c>
      <c r="T145" s="65">
        <f t="shared" si="170"/>
        <v>2000</v>
      </c>
      <c r="U145" s="65">
        <f t="shared" si="170"/>
        <v>2200</v>
      </c>
      <c r="V145" s="65">
        <f t="shared" si="170"/>
        <v>2600</v>
      </c>
      <c r="W145" s="65">
        <f t="shared" si="170"/>
        <v>3000</v>
      </c>
      <c r="X145" s="65">
        <f t="shared" si="170"/>
        <v>4000</v>
      </c>
      <c r="Y145" s="65">
        <f t="shared" si="170"/>
        <v>5000</v>
      </c>
      <c r="Z145" s="170"/>
      <c r="AA145" s="80"/>
    </row>
    <row r="146" ht="16.5" customHeight="1">
      <c r="A146" s="82" t="str">
        <f t="shared" ref="A146:E146" si="171">A93</f>
        <v>CHF</v>
      </c>
      <c r="B146" s="82" t="str">
        <f t="shared" si="171"/>
        <v>CHF</v>
      </c>
      <c r="C146" s="177" t="str">
        <f t="shared" si="171"/>
        <v>瑞士法郎</v>
      </c>
      <c r="D146" s="163" t="str">
        <f t="shared" si="171"/>
        <v/>
      </c>
      <c r="E146" s="178">
        <f t="shared" si="171"/>
        <v>0.01</v>
      </c>
      <c r="F146" s="86">
        <f t="shared" ref="F146:Y146" si="172">F93*$AA$111</f>
        <v>2</v>
      </c>
      <c r="G146" s="86">
        <f t="shared" si="172"/>
        <v>4</v>
      </c>
      <c r="H146" s="86">
        <f t="shared" si="172"/>
        <v>6</v>
      </c>
      <c r="I146" s="86">
        <f t="shared" si="172"/>
        <v>8</v>
      </c>
      <c r="J146" s="86">
        <f t="shared" si="172"/>
        <v>10</v>
      </c>
      <c r="K146" s="86">
        <f t="shared" si="172"/>
        <v>12</v>
      </c>
      <c r="L146" s="86">
        <f t="shared" si="172"/>
        <v>14</v>
      </c>
      <c r="M146" s="86">
        <f t="shared" si="172"/>
        <v>16</v>
      </c>
      <c r="N146" s="86">
        <f t="shared" si="172"/>
        <v>18</v>
      </c>
      <c r="O146" s="86">
        <f t="shared" si="172"/>
        <v>20</v>
      </c>
      <c r="P146" s="86">
        <f t="shared" si="172"/>
        <v>24</v>
      </c>
      <c r="Q146" s="86">
        <f t="shared" si="172"/>
        <v>28</v>
      </c>
      <c r="R146" s="86">
        <f t="shared" si="172"/>
        <v>32</v>
      </c>
      <c r="S146" s="86">
        <f t="shared" si="172"/>
        <v>40</v>
      </c>
      <c r="T146" s="86">
        <f t="shared" si="172"/>
        <v>50</v>
      </c>
      <c r="U146" s="86">
        <f t="shared" si="172"/>
        <v>60</v>
      </c>
      <c r="V146" s="86">
        <f t="shared" si="172"/>
        <v>70</v>
      </c>
      <c r="W146" s="86">
        <f t="shared" si="172"/>
        <v>80</v>
      </c>
      <c r="X146" s="86">
        <f t="shared" si="172"/>
        <v>90</v>
      </c>
      <c r="Y146" s="86">
        <f t="shared" si="172"/>
        <v>100</v>
      </c>
      <c r="Z146" s="170"/>
      <c r="AA146" s="80"/>
    </row>
    <row r="147" ht="16.5" customHeight="1">
      <c r="A147" s="82" t="str">
        <f t="shared" ref="A147:E147" si="173">A94</f>
        <v>CAD</v>
      </c>
      <c r="B147" s="82" t="str">
        <f t="shared" si="173"/>
        <v>$</v>
      </c>
      <c r="C147" s="177" t="str">
        <f t="shared" si="173"/>
        <v>加幣</v>
      </c>
      <c r="D147" s="163" t="str">
        <f t="shared" si="173"/>
        <v/>
      </c>
      <c r="E147" s="178">
        <f t="shared" si="173"/>
        <v>0.01</v>
      </c>
      <c r="F147" s="86">
        <f t="shared" ref="F147:Y147" si="174">F94*$AA$111</f>
        <v>2</v>
      </c>
      <c r="G147" s="86">
        <f t="shared" si="174"/>
        <v>4</v>
      </c>
      <c r="H147" s="86">
        <f t="shared" si="174"/>
        <v>6</v>
      </c>
      <c r="I147" s="86">
        <f t="shared" si="174"/>
        <v>8</v>
      </c>
      <c r="J147" s="86">
        <f t="shared" si="174"/>
        <v>10</v>
      </c>
      <c r="K147" s="86">
        <f t="shared" si="174"/>
        <v>12</v>
      </c>
      <c r="L147" s="86">
        <f t="shared" si="174"/>
        <v>14</v>
      </c>
      <c r="M147" s="86">
        <f t="shared" si="174"/>
        <v>16</v>
      </c>
      <c r="N147" s="86">
        <f t="shared" si="174"/>
        <v>18</v>
      </c>
      <c r="O147" s="86">
        <f t="shared" si="174"/>
        <v>20</v>
      </c>
      <c r="P147" s="86">
        <f t="shared" si="174"/>
        <v>24</v>
      </c>
      <c r="Q147" s="86">
        <f t="shared" si="174"/>
        <v>28</v>
      </c>
      <c r="R147" s="86">
        <f t="shared" si="174"/>
        <v>32</v>
      </c>
      <c r="S147" s="86">
        <f t="shared" si="174"/>
        <v>40</v>
      </c>
      <c r="T147" s="86">
        <f t="shared" si="174"/>
        <v>50</v>
      </c>
      <c r="U147" s="86">
        <f t="shared" si="174"/>
        <v>60</v>
      </c>
      <c r="V147" s="86">
        <f t="shared" si="174"/>
        <v>70</v>
      </c>
      <c r="W147" s="86">
        <f t="shared" si="174"/>
        <v>80</v>
      </c>
      <c r="X147" s="86">
        <f t="shared" si="174"/>
        <v>90</v>
      </c>
      <c r="Y147" s="86">
        <f t="shared" si="174"/>
        <v>100</v>
      </c>
      <c r="Z147" s="170"/>
      <c r="AA147" s="80"/>
    </row>
    <row r="148" ht="16.5" customHeight="1">
      <c r="A148" s="48" t="str">
        <f t="shared" ref="A148:E148" si="175">A95</f>
        <v>PEN</v>
      </c>
      <c r="B148" s="48" t="str">
        <f t="shared" si="175"/>
        <v>PEN</v>
      </c>
      <c r="C148" s="166" t="str">
        <f t="shared" si="175"/>
        <v>秘魯新索爾</v>
      </c>
      <c r="D148" s="162" t="str">
        <f t="shared" si="175"/>
        <v/>
      </c>
      <c r="E148" s="167">
        <f t="shared" si="175"/>
        <v>0.01</v>
      </c>
      <c r="F148" s="65">
        <f t="shared" ref="F148:Y148" si="176">F95*$AA$111</f>
        <v>2</v>
      </c>
      <c r="G148" s="65">
        <f t="shared" si="176"/>
        <v>4</v>
      </c>
      <c r="H148" s="65">
        <f t="shared" si="176"/>
        <v>6</v>
      </c>
      <c r="I148" s="65">
        <f t="shared" si="176"/>
        <v>8</v>
      </c>
      <c r="J148" s="65">
        <f t="shared" si="176"/>
        <v>10</v>
      </c>
      <c r="K148" s="65">
        <f t="shared" si="176"/>
        <v>14</v>
      </c>
      <c r="L148" s="65">
        <f t="shared" si="176"/>
        <v>20</v>
      </c>
      <c r="M148" s="65">
        <f t="shared" si="176"/>
        <v>30</v>
      </c>
      <c r="N148" s="65">
        <f t="shared" si="176"/>
        <v>40</v>
      </c>
      <c r="O148" s="65">
        <f t="shared" si="176"/>
        <v>50</v>
      </c>
      <c r="P148" s="65">
        <f t="shared" si="176"/>
        <v>60</v>
      </c>
      <c r="Q148" s="65">
        <f t="shared" si="176"/>
        <v>70</v>
      </c>
      <c r="R148" s="65">
        <f t="shared" si="176"/>
        <v>80</v>
      </c>
      <c r="S148" s="65">
        <f t="shared" si="176"/>
        <v>90</v>
      </c>
      <c r="T148" s="65">
        <f t="shared" si="176"/>
        <v>100</v>
      </c>
      <c r="U148" s="65">
        <f t="shared" si="176"/>
        <v>110</v>
      </c>
      <c r="V148" s="65">
        <f t="shared" si="176"/>
        <v>130</v>
      </c>
      <c r="W148" s="65">
        <f t="shared" si="176"/>
        <v>150</v>
      </c>
      <c r="X148" s="65">
        <f t="shared" si="176"/>
        <v>200</v>
      </c>
      <c r="Y148" s="65">
        <f t="shared" si="176"/>
        <v>250</v>
      </c>
      <c r="Z148" s="170"/>
      <c r="AA148" s="80"/>
    </row>
    <row r="149" ht="16.5" customHeight="1">
      <c r="A149" s="48" t="str">
        <f t="shared" ref="A149:E149" si="177">A96</f>
        <v>AED</v>
      </c>
      <c r="B149" s="48" t="str">
        <f t="shared" si="177"/>
        <v>AED</v>
      </c>
      <c r="C149" s="166" t="str">
        <f t="shared" si="177"/>
        <v>阿聯迪拉姆</v>
      </c>
      <c r="D149" s="162" t="str">
        <f t="shared" si="177"/>
        <v/>
      </c>
      <c r="E149" s="167">
        <f t="shared" si="177"/>
        <v>0.01</v>
      </c>
      <c r="F149" s="65">
        <f t="shared" ref="F149:Y149" si="178">F96*$AA$111</f>
        <v>2</v>
      </c>
      <c r="G149" s="65">
        <f t="shared" si="178"/>
        <v>4</v>
      </c>
      <c r="H149" s="65">
        <f t="shared" si="178"/>
        <v>6</v>
      </c>
      <c r="I149" s="65">
        <f t="shared" si="178"/>
        <v>8</v>
      </c>
      <c r="J149" s="65">
        <f t="shared" si="178"/>
        <v>10</v>
      </c>
      <c r="K149" s="65">
        <f t="shared" si="178"/>
        <v>14</v>
      </c>
      <c r="L149" s="65">
        <f t="shared" si="178"/>
        <v>20</v>
      </c>
      <c r="M149" s="65">
        <f t="shared" si="178"/>
        <v>30</v>
      </c>
      <c r="N149" s="65">
        <f t="shared" si="178"/>
        <v>40</v>
      </c>
      <c r="O149" s="65">
        <f t="shared" si="178"/>
        <v>50</v>
      </c>
      <c r="P149" s="65">
        <f t="shared" si="178"/>
        <v>60</v>
      </c>
      <c r="Q149" s="65">
        <f t="shared" si="178"/>
        <v>70</v>
      </c>
      <c r="R149" s="65">
        <f t="shared" si="178"/>
        <v>80</v>
      </c>
      <c r="S149" s="65">
        <f t="shared" si="178"/>
        <v>90</v>
      </c>
      <c r="T149" s="65">
        <f t="shared" si="178"/>
        <v>100</v>
      </c>
      <c r="U149" s="65">
        <f t="shared" si="178"/>
        <v>110</v>
      </c>
      <c r="V149" s="65">
        <f t="shared" si="178"/>
        <v>130</v>
      </c>
      <c r="W149" s="65">
        <f t="shared" si="178"/>
        <v>150</v>
      </c>
      <c r="X149" s="65">
        <f t="shared" si="178"/>
        <v>200</v>
      </c>
      <c r="Y149" s="65">
        <f t="shared" si="178"/>
        <v>250</v>
      </c>
      <c r="Z149" s="170"/>
      <c r="AA149" s="80"/>
    </row>
    <row r="150" ht="16.5" customHeight="1">
      <c r="A150" s="82" t="str">
        <f t="shared" ref="A150:E150" si="179">A97</f>
        <v>BND</v>
      </c>
      <c r="B150" s="82" t="str">
        <f t="shared" si="179"/>
        <v>B$</v>
      </c>
      <c r="C150" s="177" t="str">
        <f t="shared" si="179"/>
        <v>汶萊幣</v>
      </c>
      <c r="D150" s="163" t="str">
        <f t="shared" si="179"/>
        <v/>
      </c>
      <c r="E150" s="178">
        <f t="shared" si="179"/>
        <v>0.01</v>
      </c>
      <c r="F150" s="86">
        <f t="shared" ref="F150:Y150" si="180">F97*$AA$111</f>
        <v>2</v>
      </c>
      <c r="G150" s="86">
        <f t="shared" si="180"/>
        <v>4</v>
      </c>
      <c r="H150" s="86">
        <f t="shared" si="180"/>
        <v>6</v>
      </c>
      <c r="I150" s="86">
        <f t="shared" si="180"/>
        <v>8</v>
      </c>
      <c r="J150" s="86">
        <f t="shared" si="180"/>
        <v>10</v>
      </c>
      <c r="K150" s="86">
        <f t="shared" si="180"/>
        <v>12</v>
      </c>
      <c r="L150" s="86">
        <f t="shared" si="180"/>
        <v>14</v>
      </c>
      <c r="M150" s="86">
        <f t="shared" si="180"/>
        <v>16</v>
      </c>
      <c r="N150" s="86">
        <f t="shared" si="180"/>
        <v>18</v>
      </c>
      <c r="O150" s="86">
        <f t="shared" si="180"/>
        <v>20</v>
      </c>
      <c r="P150" s="86">
        <f t="shared" si="180"/>
        <v>24</v>
      </c>
      <c r="Q150" s="86">
        <f t="shared" si="180"/>
        <v>28</v>
      </c>
      <c r="R150" s="86">
        <f t="shared" si="180"/>
        <v>32</v>
      </c>
      <c r="S150" s="86">
        <f t="shared" si="180"/>
        <v>40</v>
      </c>
      <c r="T150" s="86">
        <f t="shared" si="180"/>
        <v>50</v>
      </c>
      <c r="U150" s="86">
        <f t="shared" si="180"/>
        <v>60</v>
      </c>
      <c r="V150" s="86">
        <f t="shared" si="180"/>
        <v>70</v>
      </c>
      <c r="W150" s="86">
        <f t="shared" si="180"/>
        <v>80</v>
      </c>
      <c r="X150" s="86">
        <f t="shared" si="180"/>
        <v>90</v>
      </c>
      <c r="Y150" s="86">
        <f t="shared" si="180"/>
        <v>100</v>
      </c>
      <c r="Z150" s="170"/>
      <c r="AA150" s="80"/>
    </row>
    <row r="151" ht="16.5" customHeight="1">
      <c r="A151" s="48" t="str">
        <f t="shared" ref="A151:E151" si="181">A98</f>
        <v>COP</v>
      </c>
      <c r="B151" s="48" t="str">
        <f t="shared" si="181"/>
        <v>$</v>
      </c>
      <c r="C151" s="166" t="str">
        <f t="shared" si="181"/>
        <v>哥倫比亞披索</v>
      </c>
      <c r="D151" s="162" t="str">
        <f t="shared" si="181"/>
        <v/>
      </c>
      <c r="E151" s="167">
        <f t="shared" si="181"/>
        <v>5</v>
      </c>
      <c r="F151" s="65">
        <f t="shared" ref="F151:Y151" si="182">F98*$AA$111</f>
        <v>1000</v>
      </c>
      <c r="G151" s="65">
        <f t="shared" si="182"/>
        <v>2000</v>
      </c>
      <c r="H151" s="65">
        <f t="shared" si="182"/>
        <v>3000</v>
      </c>
      <c r="I151" s="65">
        <f t="shared" si="182"/>
        <v>4000</v>
      </c>
      <c r="J151" s="65">
        <f t="shared" si="182"/>
        <v>5000</v>
      </c>
      <c r="K151" s="65">
        <f t="shared" si="182"/>
        <v>7000</v>
      </c>
      <c r="L151" s="65">
        <f t="shared" si="182"/>
        <v>10000</v>
      </c>
      <c r="M151" s="65">
        <f t="shared" si="182"/>
        <v>15000</v>
      </c>
      <c r="N151" s="65">
        <f t="shared" si="182"/>
        <v>20000</v>
      </c>
      <c r="O151" s="65">
        <f t="shared" si="182"/>
        <v>25000</v>
      </c>
      <c r="P151" s="65">
        <f t="shared" si="182"/>
        <v>30000</v>
      </c>
      <c r="Q151" s="65">
        <f t="shared" si="182"/>
        <v>35000</v>
      </c>
      <c r="R151" s="65">
        <f t="shared" si="182"/>
        <v>40000</v>
      </c>
      <c r="S151" s="65">
        <f t="shared" si="182"/>
        <v>45000</v>
      </c>
      <c r="T151" s="65">
        <f t="shared" si="182"/>
        <v>50000</v>
      </c>
      <c r="U151" s="65">
        <f t="shared" si="182"/>
        <v>55000</v>
      </c>
      <c r="V151" s="65">
        <f t="shared" si="182"/>
        <v>65000</v>
      </c>
      <c r="W151" s="65">
        <f t="shared" si="182"/>
        <v>75000</v>
      </c>
      <c r="X151" s="65">
        <f t="shared" si="182"/>
        <v>100000</v>
      </c>
      <c r="Y151" s="65">
        <f t="shared" si="182"/>
        <v>125000</v>
      </c>
      <c r="Z151" s="170"/>
      <c r="AA151" s="80"/>
    </row>
    <row r="152" ht="16.5" customHeight="1">
      <c r="A152" s="48" t="str">
        <f t="shared" ref="A152:E152" si="183">A99</f>
        <v>VNDO</v>
      </c>
      <c r="B152" s="48" t="str">
        <f t="shared" si="183"/>
        <v>₫</v>
      </c>
      <c r="C152" s="166" t="str">
        <f t="shared" si="183"/>
        <v>越南盾</v>
      </c>
      <c r="D152" s="162" t="str">
        <f t="shared" si="183"/>
        <v/>
      </c>
      <c r="E152" s="167">
        <f t="shared" si="183"/>
        <v>40</v>
      </c>
      <c r="F152" s="65">
        <f t="shared" ref="F152:Y152" si="184">F99*$AA$111</f>
        <v>8000</v>
      </c>
      <c r="G152" s="65">
        <f t="shared" si="184"/>
        <v>16000</v>
      </c>
      <c r="H152" s="65">
        <f t="shared" si="184"/>
        <v>24000</v>
      </c>
      <c r="I152" s="65">
        <f t="shared" si="184"/>
        <v>32000</v>
      </c>
      <c r="J152" s="65">
        <f t="shared" si="184"/>
        <v>40000</v>
      </c>
      <c r="K152" s="65">
        <f t="shared" si="184"/>
        <v>56000</v>
      </c>
      <c r="L152" s="65">
        <f t="shared" si="184"/>
        <v>80000</v>
      </c>
      <c r="M152" s="65">
        <f t="shared" si="184"/>
        <v>120000</v>
      </c>
      <c r="N152" s="65">
        <f t="shared" si="184"/>
        <v>160000</v>
      </c>
      <c r="O152" s="65">
        <f t="shared" si="184"/>
        <v>200000</v>
      </c>
      <c r="P152" s="65">
        <f t="shared" si="184"/>
        <v>240000</v>
      </c>
      <c r="Q152" s="65">
        <f t="shared" si="184"/>
        <v>280000</v>
      </c>
      <c r="R152" s="65">
        <f t="shared" si="184"/>
        <v>320000</v>
      </c>
      <c r="S152" s="65">
        <f t="shared" si="184"/>
        <v>360000</v>
      </c>
      <c r="T152" s="65">
        <f t="shared" si="184"/>
        <v>400000</v>
      </c>
      <c r="U152" s="65">
        <f t="shared" si="184"/>
        <v>440000</v>
      </c>
      <c r="V152" s="65">
        <f t="shared" si="184"/>
        <v>520000</v>
      </c>
      <c r="W152" s="65">
        <f t="shared" si="184"/>
        <v>600000</v>
      </c>
      <c r="X152" s="65">
        <f t="shared" si="184"/>
        <v>800000</v>
      </c>
      <c r="Y152" s="65">
        <f t="shared" si="184"/>
        <v>1000000</v>
      </c>
      <c r="Z152" s="170"/>
      <c r="AA152" s="80"/>
    </row>
    <row r="153" ht="16.5" customHeight="1">
      <c r="A153" s="48" t="str">
        <f t="shared" ref="A153:E153" si="185">A100</f>
        <v>MYRC</v>
      </c>
      <c r="B153" s="48" t="str">
        <f t="shared" si="185"/>
        <v>RM</v>
      </c>
      <c r="C153" s="166" t="str">
        <f t="shared" si="185"/>
        <v>馬來西亞令吉</v>
      </c>
      <c r="D153" s="162">
        <f t="shared" si="185"/>
        <v>0.01</v>
      </c>
      <c r="E153" s="167">
        <f t="shared" si="185"/>
        <v>1</v>
      </c>
      <c r="F153" s="65">
        <f t="shared" ref="F153:Y153" si="186">F100*$AA$111</f>
        <v>200</v>
      </c>
      <c r="G153" s="65">
        <f t="shared" si="186"/>
        <v>400</v>
      </c>
      <c r="H153" s="65">
        <f t="shared" si="186"/>
        <v>600</v>
      </c>
      <c r="I153" s="65">
        <f t="shared" si="186"/>
        <v>800</v>
      </c>
      <c r="J153" s="65">
        <f t="shared" si="186"/>
        <v>1000</v>
      </c>
      <c r="K153" s="65">
        <f t="shared" si="186"/>
        <v>1400</v>
      </c>
      <c r="L153" s="65">
        <f t="shared" si="186"/>
        <v>2000</v>
      </c>
      <c r="M153" s="65">
        <f t="shared" si="186"/>
        <v>3000</v>
      </c>
      <c r="N153" s="65">
        <f t="shared" si="186"/>
        <v>4000</v>
      </c>
      <c r="O153" s="65">
        <f t="shared" si="186"/>
        <v>5000</v>
      </c>
      <c r="P153" s="65">
        <f t="shared" si="186"/>
        <v>6000</v>
      </c>
      <c r="Q153" s="65">
        <f t="shared" si="186"/>
        <v>7000</v>
      </c>
      <c r="R153" s="65">
        <f t="shared" si="186"/>
        <v>8000</v>
      </c>
      <c r="S153" s="65">
        <f t="shared" si="186"/>
        <v>9000</v>
      </c>
      <c r="T153" s="65">
        <f t="shared" si="186"/>
        <v>10000</v>
      </c>
      <c r="U153" s="65">
        <f t="shared" si="186"/>
        <v>11000</v>
      </c>
      <c r="V153" s="65">
        <f t="shared" si="186"/>
        <v>13000</v>
      </c>
      <c r="W153" s="65">
        <f t="shared" si="186"/>
        <v>15000</v>
      </c>
      <c r="X153" s="65">
        <f t="shared" si="186"/>
        <v>20000</v>
      </c>
      <c r="Y153" s="65">
        <f t="shared" si="186"/>
        <v>25000</v>
      </c>
      <c r="Z153" s="170"/>
      <c r="AA153" s="81"/>
    </row>
    <row r="154" ht="16.5" customHeight="1">
      <c r="A154" s="48" t="str">
        <f t="shared" ref="A154:E154" si="187">A101</f>
        <v>XSD</v>
      </c>
      <c r="B154" s="48" t="str">
        <f t="shared" si="187"/>
        <v/>
      </c>
      <c r="C154" s="166" t="str">
        <f t="shared" si="187"/>
        <v>星幣</v>
      </c>
      <c r="D154" s="162" t="str">
        <f t="shared" si="187"/>
        <v/>
      </c>
      <c r="E154" s="167">
        <f t="shared" si="187"/>
        <v>10</v>
      </c>
      <c r="F154" s="65">
        <f t="shared" ref="F154:Y154" si="188">F101*$AA$111</f>
        <v>2000</v>
      </c>
      <c r="G154" s="65">
        <f t="shared" si="188"/>
        <v>4000</v>
      </c>
      <c r="H154" s="65">
        <f t="shared" si="188"/>
        <v>6000</v>
      </c>
      <c r="I154" s="65">
        <f t="shared" si="188"/>
        <v>8000</v>
      </c>
      <c r="J154" s="65">
        <f t="shared" si="188"/>
        <v>10000</v>
      </c>
      <c r="K154" s="65">
        <f t="shared" si="188"/>
        <v>14000</v>
      </c>
      <c r="L154" s="65">
        <f t="shared" si="188"/>
        <v>20000</v>
      </c>
      <c r="M154" s="65">
        <f t="shared" si="188"/>
        <v>30000</v>
      </c>
      <c r="N154" s="65">
        <f t="shared" si="188"/>
        <v>40000</v>
      </c>
      <c r="O154" s="65">
        <f t="shared" si="188"/>
        <v>50000</v>
      </c>
      <c r="P154" s="65">
        <f t="shared" si="188"/>
        <v>60000</v>
      </c>
      <c r="Q154" s="65">
        <f t="shared" si="188"/>
        <v>70000</v>
      </c>
      <c r="R154" s="65">
        <f t="shared" si="188"/>
        <v>80000</v>
      </c>
      <c r="S154" s="65">
        <f t="shared" si="188"/>
        <v>90000</v>
      </c>
      <c r="T154" s="65">
        <f t="shared" si="188"/>
        <v>100000</v>
      </c>
      <c r="U154" s="65">
        <f t="shared" si="188"/>
        <v>110000</v>
      </c>
      <c r="V154" s="65">
        <f t="shared" si="188"/>
        <v>130000</v>
      </c>
      <c r="W154" s="65">
        <f t="shared" si="188"/>
        <v>150000</v>
      </c>
      <c r="X154" s="65">
        <f t="shared" si="188"/>
        <v>200000</v>
      </c>
      <c r="Y154" s="65">
        <f t="shared" si="188"/>
        <v>250000</v>
      </c>
    </row>
    <row r="155" ht="16.5" customHeight="1">
      <c r="A155" s="48" t="str">
        <f t="shared" ref="A155:E155" si="189">A102</f>
        <v>DZD</v>
      </c>
      <c r="B155" s="48" t="str">
        <f t="shared" si="189"/>
        <v>دج</v>
      </c>
      <c r="C155" s="166" t="str">
        <f t="shared" si="189"/>
        <v>阿爾及利亞第納爾</v>
      </c>
      <c r="D155" s="162" t="str">
        <f t="shared" si="189"/>
        <v/>
      </c>
      <c r="E155" s="167">
        <f t="shared" si="189"/>
        <v>0.2</v>
      </c>
      <c r="F155" s="65">
        <f t="shared" ref="F155:Y155" si="190">F102*$AA$111</f>
        <v>40</v>
      </c>
      <c r="G155" s="65">
        <f t="shared" si="190"/>
        <v>80</v>
      </c>
      <c r="H155" s="65">
        <f t="shared" si="190"/>
        <v>120</v>
      </c>
      <c r="I155" s="65">
        <f t="shared" si="190"/>
        <v>160</v>
      </c>
      <c r="J155" s="65">
        <f t="shared" si="190"/>
        <v>200</v>
      </c>
      <c r="K155" s="65">
        <f t="shared" si="190"/>
        <v>280</v>
      </c>
      <c r="L155" s="65">
        <f t="shared" si="190"/>
        <v>400</v>
      </c>
      <c r="M155" s="65">
        <f t="shared" si="190"/>
        <v>600</v>
      </c>
      <c r="N155" s="65">
        <f t="shared" si="190"/>
        <v>800</v>
      </c>
      <c r="O155" s="65">
        <f t="shared" si="190"/>
        <v>1000</v>
      </c>
      <c r="P155" s="65">
        <f t="shared" si="190"/>
        <v>1200</v>
      </c>
      <c r="Q155" s="65">
        <f t="shared" si="190"/>
        <v>1400</v>
      </c>
      <c r="R155" s="65">
        <f t="shared" si="190"/>
        <v>1600</v>
      </c>
      <c r="S155" s="65">
        <f t="shared" si="190"/>
        <v>1800</v>
      </c>
      <c r="T155" s="65">
        <f t="shared" si="190"/>
        <v>2000</v>
      </c>
      <c r="U155" s="65">
        <f t="shared" si="190"/>
        <v>2200</v>
      </c>
      <c r="V155" s="65">
        <f t="shared" si="190"/>
        <v>2600</v>
      </c>
      <c r="W155" s="65">
        <f t="shared" si="190"/>
        <v>3000</v>
      </c>
      <c r="X155" s="65">
        <f t="shared" si="190"/>
        <v>4000</v>
      </c>
      <c r="Y155" s="65">
        <f t="shared" si="190"/>
        <v>5000</v>
      </c>
    </row>
    <row r="156" ht="16.5" customHeight="1">
      <c r="A156" s="48" t="str">
        <f t="shared" ref="A156:E156" si="191">A103</f>
        <v>MAD</v>
      </c>
      <c r="B156" s="48" t="str">
        <f t="shared" si="191"/>
        <v>DH</v>
      </c>
      <c r="C156" s="166" t="str">
        <f t="shared" si="191"/>
        <v>摩洛哥迪拉姆</v>
      </c>
      <c r="D156" s="162" t="str">
        <f t="shared" si="191"/>
        <v/>
      </c>
      <c r="E156" s="167">
        <f t="shared" si="191"/>
        <v>0.02</v>
      </c>
      <c r="F156" s="65">
        <f t="shared" ref="F156:Y156" si="192">F103*$AA$111</f>
        <v>4</v>
      </c>
      <c r="G156" s="65">
        <f t="shared" si="192"/>
        <v>8</v>
      </c>
      <c r="H156" s="65">
        <f t="shared" si="192"/>
        <v>12</v>
      </c>
      <c r="I156" s="65">
        <f t="shared" si="192"/>
        <v>16</v>
      </c>
      <c r="J156" s="65">
        <f t="shared" si="192"/>
        <v>20</v>
      </c>
      <c r="K156" s="65">
        <f t="shared" si="192"/>
        <v>28</v>
      </c>
      <c r="L156" s="65">
        <f t="shared" si="192"/>
        <v>40</v>
      </c>
      <c r="M156" s="65">
        <f t="shared" si="192"/>
        <v>60</v>
      </c>
      <c r="N156" s="65">
        <f t="shared" si="192"/>
        <v>80</v>
      </c>
      <c r="O156" s="65">
        <f t="shared" si="192"/>
        <v>100</v>
      </c>
      <c r="P156" s="65">
        <f t="shared" si="192"/>
        <v>120</v>
      </c>
      <c r="Q156" s="65">
        <f t="shared" si="192"/>
        <v>140</v>
      </c>
      <c r="R156" s="65">
        <f t="shared" si="192"/>
        <v>160</v>
      </c>
      <c r="S156" s="65">
        <f t="shared" si="192"/>
        <v>180</v>
      </c>
      <c r="T156" s="65">
        <f t="shared" si="192"/>
        <v>200</v>
      </c>
      <c r="U156" s="65">
        <f t="shared" si="192"/>
        <v>220</v>
      </c>
      <c r="V156" s="65">
        <f t="shared" si="192"/>
        <v>260</v>
      </c>
      <c r="W156" s="65">
        <f t="shared" si="192"/>
        <v>300</v>
      </c>
      <c r="X156" s="65">
        <f t="shared" si="192"/>
        <v>400</v>
      </c>
      <c r="Y156" s="65">
        <f t="shared" si="192"/>
        <v>500</v>
      </c>
    </row>
    <row r="157" ht="16.5" customHeight="1">
      <c r="A157" s="48" t="str">
        <f t="shared" ref="A157:E157" si="193">A104</f>
        <v>FRF</v>
      </c>
      <c r="B157" s="48" t="str">
        <f t="shared" si="193"/>
        <v>₣</v>
      </c>
      <c r="C157" s="166" t="str">
        <f t="shared" si="193"/>
        <v>法國法郎</v>
      </c>
      <c r="D157" s="162" t="str">
        <f t="shared" si="193"/>
        <v/>
      </c>
      <c r="E157" s="167">
        <f t="shared" si="193"/>
        <v>0.01</v>
      </c>
      <c r="F157" s="65">
        <f t="shared" ref="F157:Y157" si="194">F104*$AA$111</f>
        <v>2</v>
      </c>
      <c r="G157" s="65">
        <f t="shared" si="194"/>
        <v>4</v>
      </c>
      <c r="H157" s="65">
        <f t="shared" si="194"/>
        <v>6</v>
      </c>
      <c r="I157" s="65">
        <f t="shared" si="194"/>
        <v>8</v>
      </c>
      <c r="J157" s="65">
        <f t="shared" si="194"/>
        <v>10</v>
      </c>
      <c r="K157" s="65">
        <f t="shared" si="194"/>
        <v>14</v>
      </c>
      <c r="L157" s="65">
        <f t="shared" si="194"/>
        <v>20</v>
      </c>
      <c r="M157" s="65">
        <f t="shared" si="194"/>
        <v>30</v>
      </c>
      <c r="N157" s="65">
        <f t="shared" si="194"/>
        <v>40</v>
      </c>
      <c r="O157" s="65">
        <f t="shared" si="194"/>
        <v>50</v>
      </c>
      <c r="P157" s="65">
        <f t="shared" si="194"/>
        <v>60</v>
      </c>
      <c r="Q157" s="65">
        <f t="shared" si="194"/>
        <v>70</v>
      </c>
      <c r="R157" s="65">
        <f t="shared" si="194"/>
        <v>80</v>
      </c>
      <c r="S157" s="65">
        <f t="shared" si="194"/>
        <v>90</v>
      </c>
      <c r="T157" s="65">
        <f t="shared" si="194"/>
        <v>100</v>
      </c>
      <c r="U157" s="65">
        <f t="shared" si="194"/>
        <v>110</v>
      </c>
      <c r="V157" s="65">
        <f t="shared" si="194"/>
        <v>130</v>
      </c>
      <c r="W157" s="65">
        <f t="shared" si="194"/>
        <v>150</v>
      </c>
      <c r="X157" s="65">
        <f t="shared" si="194"/>
        <v>200</v>
      </c>
      <c r="Y157" s="65">
        <f t="shared" si="194"/>
        <v>250</v>
      </c>
    </row>
    <row r="158" ht="16.5" customHeight="1">
      <c r="A158" s="48" t="str">
        <f t="shared" ref="A158:E158" si="195">A105</f>
        <v>GHS</v>
      </c>
      <c r="B158" s="48" t="str">
        <f t="shared" si="195"/>
        <v>Gp</v>
      </c>
      <c r="C158" s="166" t="str">
        <f t="shared" si="195"/>
        <v>迦納塞地</v>
      </c>
      <c r="D158" s="162" t="str">
        <f t="shared" si="195"/>
        <v/>
      </c>
      <c r="E158" s="167">
        <f t="shared" si="195"/>
        <v>0.02</v>
      </c>
      <c r="F158" s="65">
        <f t="shared" ref="F158:Y158" si="196">F105*$AA$111</f>
        <v>4</v>
      </c>
      <c r="G158" s="65">
        <f t="shared" si="196"/>
        <v>8</v>
      </c>
      <c r="H158" s="65">
        <f t="shared" si="196"/>
        <v>12</v>
      </c>
      <c r="I158" s="65">
        <f t="shared" si="196"/>
        <v>16</v>
      </c>
      <c r="J158" s="65">
        <f t="shared" si="196"/>
        <v>20</v>
      </c>
      <c r="K158" s="65">
        <f t="shared" si="196"/>
        <v>28</v>
      </c>
      <c r="L158" s="65">
        <f t="shared" si="196"/>
        <v>40</v>
      </c>
      <c r="M158" s="65">
        <f t="shared" si="196"/>
        <v>60</v>
      </c>
      <c r="N158" s="65">
        <f t="shared" si="196"/>
        <v>80</v>
      </c>
      <c r="O158" s="65">
        <f t="shared" si="196"/>
        <v>100</v>
      </c>
      <c r="P158" s="65">
        <f t="shared" si="196"/>
        <v>120</v>
      </c>
      <c r="Q158" s="65">
        <f t="shared" si="196"/>
        <v>140</v>
      </c>
      <c r="R158" s="65">
        <f t="shared" si="196"/>
        <v>160</v>
      </c>
      <c r="S158" s="65">
        <f t="shared" si="196"/>
        <v>180</v>
      </c>
      <c r="T158" s="65">
        <f t="shared" si="196"/>
        <v>200</v>
      </c>
      <c r="U158" s="65">
        <f t="shared" si="196"/>
        <v>220</v>
      </c>
      <c r="V158" s="65">
        <f t="shared" si="196"/>
        <v>260</v>
      </c>
      <c r="W158" s="65">
        <f t="shared" si="196"/>
        <v>300</v>
      </c>
      <c r="X158" s="65">
        <f t="shared" si="196"/>
        <v>400</v>
      </c>
      <c r="Y158" s="65">
        <f t="shared" si="196"/>
        <v>500</v>
      </c>
    </row>
    <row r="159" ht="16.5" customHeight="1">
      <c r="A159" s="48" t="str">
        <f t="shared" ref="A159:E159" si="197">A106</f>
        <v>RCC</v>
      </c>
      <c r="B159" s="48" t="str">
        <f t="shared" si="197"/>
        <v/>
      </c>
      <c r="C159" s="166" t="str">
        <f t="shared" si="197"/>
        <v>RCC幣</v>
      </c>
      <c r="D159" s="162" t="str">
        <f t="shared" si="197"/>
        <v/>
      </c>
      <c r="E159" s="167">
        <f t="shared" si="197"/>
        <v>0.01</v>
      </c>
      <c r="F159" s="65">
        <f t="shared" ref="F159:Y159" si="198">F106*$AA$111</f>
        <v>2</v>
      </c>
      <c r="G159" s="65">
        <f t="shared" si="198"/>
        <v>4</v>
      </c>
      <c r="H159" s="65">
        <f t="shared" si="198"/>
        <v>6</v>
      </c>
      <c r="I159" s="65">
        <f t="shared" si="198"/>
        <v>8</v>
      </c>
      <c r="J159" s="65">
        <f t="shared" si="198"/>
        <v>10</v>
      </c>
      <c r="K159" s="65">
        <f t="shared" si="198"/>
        <v>12</v>
      </c>
      <c r="L159" s="65">
        <f t="shared" si="198"/>
        <v>14</v>
      </c>
      <c r="M159" s="65">
        <f t="shared" si="198"/>
        <v>16</v>
      </c>
      <c r="N159" s="65">
        <f t="shared" si="198"/>
        <v>18</v>
      </c>
      <c r="O159" s="65">
        <f t="shared" si="198"/>
        <v>20</v>
      </c>
      <c r="P159" s="65">
        <f t="shared" si="198"/>
        <v>24</v>
      </c>
      <c r="Q159" s="65">
        <f t="shared" si="198"/>
        <v>28</v>
      </c>
      <c r="R159" s="65">
        <f t="shared" si="198"/>
        <v>32</v>
      </c>
      <c r="S159" s="65">
        <f t="shared" si="198"/>
        <v>40</v>
      </c>
      <c r="T159" s="65">
        <f t="shared" si="198"/>
        <v>50</v>
      </c>
      <c r="U159" s="65">
        <f t="shared" si="198"/>
        <v>60</v>
      </c>
      <c r="V159" s="65">
        <f t="shared" si="198"/>
        <v>70</v>
      </c>
      <c r="W159" s="65">
        <f t="shared" si="198"/>
        <v>80</v>
      </c>
      <c r="X159" s="65">
        <f t="shared" si="198"/>
        <v>90</v>
      </c>
      <c r="Y159" s="65">
        <f t="shared" si="198"/>
        <v>100</v>
      </c>
    </row>
    <row r="160" ht="16.5" customHeight="1">
      <c r="A160" s="48" t="str">
        <f t="shared" ref="A160:E160" si="199">A107</f>
        <v>KBB</v>
      </c>
      <c r="B160" s="48" t="str">
        <f t="shared" si="199"/>
        <v/>
      </c>
      <c r="C160" s="166" t="str">
        <f t="shared" si="199"/>
        <v>爸幣</v>
      </c>
      <c r="D160" s="162" t="str">
        <f t="shared" si="199"/>
        <v/>
      </c>
      <c r="E160" s="167">
        <f t="shared" si="199"/>
        <v>0.5</v>
      </c>
      <c r="F160" s="65">
        <f t="shared" ref="F160:Y160" si="200">F107*$AA$111</f>
        <v>100</v>
      </c>
      <c r="G160" s="65">
        <f t="shared" si="200"/>
        <v>200</v>
      </c>
      <c r="H160" s="65">
        <f t="shared" si="200"/>
        <v>300</v>
      </c>
      <c r="I160" s="65">
        <f t="shared" si="200"/>
        <v>400</v>
      </c>
      <c r="J160" s="65">
        <f t="shared" si="200"/>
        <v>500</v>
      </c>
      <c r="K160" s="65">
        <f t="shared" si="200"/>
        <v>700</v>
      </c>
      <c r="L160" s="65">
        <f t="shared" si="200"/>
        <v>1000</v>
      </c>
      <c r="M160" s="65">
        <f t="shared" si="200"/>
        <v>1500</v>
      </c>
      <c r="N160" s="65">
        <f t="shared" si="200"/>
        <v>2000</v>
      </c>
      <c r="O160" s="65">
        <f t="shared" si="200"/>
        <v>2500</v>
      </c>
      <c r="P160" s="65">
        <f t="shared" si="200"/>
        <v>3000</v>
      </c>
      <c r="Q160" s="65">
        <f t="shared" si="200"/>
        <v>3500</v>
      </c>
      <c r="R160" s="65">
        <f t="shared" si="200"/>
        <v>4000</v>
      </c>
      <c r="S160" s="65">
        <f t="shared" si="200"/>
        <v>4500</v>
      </c>
      <c r="T160" s="65">
        <f t="shared" si="200"/>
        <v>5000</v>
      </c>
      <c r="U160" s="65">
        <f t="shared" si="200"/>
        <v>5500</v>
      </c>
      <c r="V160" s="65">
        <f t="shared" si="200"/>
        <v>6500</v>
      </c>
      <c r="W160" s="65">
        <f t="shared" si="200"/>
        <v>7500</v>
      </c>
      <c r="X160" s="65">
        <f t="shared" si="200"/>
        <v>10000</v>
      </c>
      <c r="Y160" s="65">
        <f t="shared" si="200"/>
        <v>12500</v>
      </c>
    </row>
    <row r="161" ht="16.5" customHeight="1">
      <c r="A161" s="48" t="str">
        <f t="shared" ref="A161:E161" si="201">A108</f>
        <v>XSMY</v>
      </c>
      <c r="B161" s="48" t="str">
        <f t="shared" si="201"/>
        <v/>
      </c>
      <c r="C161" s="166" t="str">
        <f t="shared" si="201"/>
        <v>星城馬來西亞</v>
      </c>
      <c r="D161" s="162" t="str">
        <f t="shared" si="201"/>
        <v/>
      </c>
      <c r="E161" s="167">
        <f t="shared" si="201"/>
        <v>10</v>
      </c>
      <c r="F161" s="65">
        <f t="shared" ref="F161:Y161" si="202">F108*$AA$111</f>
        <v>2000</v>
      </c>
      <c r="G161" s="65">
        <f t="shared" si="202"/>
        <v>4000</v>
      </c>
      <c r="H161" s="65">
        <f t="shared" si="202"/>
        <v>6000</v>
      </c>
      <c r="I161" s="65">
        <f t="shared" si="202"/>
        <v>8000</v>
      </c>
      <c r="J161" s="65">
        <f t="shared" si="202"/>
        <v>10000</v>
      </c>
      <c r="K161" s="65">
        <f t="shared" si="202"/>
        <v>14000</v>
      </c>
      <c r="L161" s="65">
        <f t="shared" si="202"/>
        <v>20000</v>
      </c>
      <c r="M161" s="65">
        <f t="shared" si="202"/>
        <v>30000</v>
      </c>
      <c r="N161" s="65">
        <f t="shared" si="202"/>
        <v>40000</v>
      </c>
      <c r="O161" s="65">
        <f t="shared" si="202"/>
        <v>50000</v>
      </c>
      <c r="P161" s="65">
        <f t="shared" si="202"/>
        <v>60000</v>
      </c>
      <c r="Q161" s="65">
        <f t="shared" si="202"/>
        <v>70000</v>
      </c>
      <c r="R161" s="65">
        <f t="shared" si="202"/>
        <v>80000</v>
      </c>
      <c r="S161" s="65">
        <f t="shared" si="202"/>
        <v>90000</v>
      </c>
      <c r="T161" s="65">
        <f t="shared" si="202"/>
        <v>100000</v>
      </c>
      <c r="U161" s="65">
        <f t="shared" si="202"/>
        <v>110000</v>
      </c>
      <c r="V161" s="65">
        <f t="shared" si="202"/>
        <v>130000</v>
      </c>
      <c r="W161" s="65">
        <f t="shared" si="202"/>
        <v>150000</v>
      </c>
      <c r="X161" s="65">
        <f t="shared" si="202"/>
        <v>200000</v>
      </c>
      <c r="Y161" s="65">
        <f t="shared" si="202"/>
        <v>250000</v>
      </c>
    </row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</sheetData>
  <mergeCells count="11">
    <mergeCell ref="AA5:AA47"/>
    <mergeCell ref="AA58:AA100"/>
    <mergeCell ref="AA112:AA153"/>
    <mergeCell ref="A1:A2"/>
    <mergeCell ref="B1:B2"/>
    <mergeCell ref="C1:C2"/>
    <mergeCell ref="D1:D2"/>
    <mergeCell ref="E1:E2"/>
    <mergeCell ref="A4:AA4"/>
    <mergeCell ref="A57:AA57"/>
    <mergeCell ref="A110:AA110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8.11"/>
    <col customWidth="1" min="3" max="3" width="11.67"/>
    <col customWidth="1" min="4" max="4" width="8.11"/>
    <col customWidth="1" min="5" max="5" width="6.78"/>
    <col customWidth="1" min="6" max="7" width="7.44"/>
    <col customWidth="1" min="8" max="16" width="8.44"/>
    <col customWidth="1" min="17" max="25" width="9.44"/>
    <col customWidth="1" min="26" max="26" width="6.33"/>
    <col customWidth="1" min="27" max="27" width="11.33"/>
    <col customWidth="1" min="28" max="35" width="6.33"/>
  </cols>
  <sheetData>
    <row r="1">
      <c r="A1" s="180"/>
      <c r="B1" s="181"/>
      <c r="C1" s="182" t="s">
        <v>43</v>
      </c>
      <c r="D1" s="183">
        <v>10.0</v>
      </c>
      <c r="E1" s="182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</row>
    <row r="2">
      <c r="A2" s="180"/>
      <c r="B2" s="181"/>
      <c r="C2" s="69"/>
      <c r="D2" s="69"/>
      <c r="E2" s="69"/>
      <c r="F2" s="184">
        <v>1.0</v>
      </c>
      <c r="G2" s="184">
        <v>5.0</v>
      </c>
      <c r="H2" s="184">
        <v>10.0</v>
      </c>
      <c r="I2" s="184">
        <v>12.0</v>
      </c>
      <c r="J2" s="184">
        <v>15.0</v>
      </c>
      <c r="K2" s="184">
        <v>18.0</v>
      </c>
      <c r="L2" s="184">
        <v>20.0</v>
      </c>
      <c r="M2" s="184">
        <v>25.0</v>
      </c>
      <c r="N2" s="184">
        <v>30.0</v>
      </c>
      <c r="O2" s="184">
        <v>35.0</v>
      </c>
      <c r="P2" s="184">
        <v>40.0</v>
      </c>
      <c r="Q2" s="184">
        <v>45.0</v>
      </c>
      <c r="R2" s="184">
        <v>50.0</v>
      </c>
      <c r="S2" s="184">
        <v>60.0</v>
      </c>
      <c r="T2" s="184">
        <v>70.0</v>
      </c>
      <c r="U2" s="184">
        <v>80.0</v>
      </c>
      <c r="V2" s="184">
        <v>90.0</v>
      </c>
      <c r="W2" s="184">
        <v>100.0</v>
      </c>
      <c r="X2" s="184">
        <v>125.0</v>
      </c>
      <c r="Y2" s="184">
        <v>150.0</v>
      </c>
      <c r="Z2" s="184">
        <v>200.0</v>
      </c>
      <c r="AA2" s="184">
        <v>250.0</v>
      </c>
      <c r="AB2" s="184">
        <v>300.0</v>
      </c>
      <c r="AC2" s="185">
        <v>400.0</v>
      </c>
      <c r="AD2" s="185">
        <v>500.0</v>
      </c>
      <c r="AE2" s="185">
        <v>600.0</v>
      </c>
      <c r="AF2" s="185">
        <v>700.0</v>
      </c>
      <c r="AG2" s="185">
        <v>800.0</v>
      </c>
      <c r="AH2" s="185">
        <v>900.0</v>
      </c>
      <c r="AI2" s="185">
        <v>1000.0</v>
      </c>
    </row>
    <row r="3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0"/>
      <c r="AC3" s="180"/>
      <c r="AD3" s="180"/>
      <c r="AE3" s="180"/>
      <c r="AF3" s="180"/>
      <c r="AG3" s="180"/>
      <c r="AH3" s="180"/>
      <c r="AI3" s="180"/>
    </row>
    <row r="4">
      <c r="A4" s="187" t="s">
        <v>45</v>
      </c>
      <c r="B4" s="188" t="s">
        <v>46</v>
      </c>
      <c r="C4" s="188" t="s">
        <v>47</v>
      </c>
      <c r="D4" s="188" t="s">
        <v>48</v>
      </c>
      <c r="E4" s="189" t="s">
        <v>49</v>
      </c>
      <c r="F4" s="188" t="s">
        <v>251</v>
      </c>
      <c r="G4" s="188" t="s">
        <v>252</v>
      </c>
      <c r="H4" s="188" t="s">
        <v>253</v>
      </c>
      <c r="I4" s="188" t="s">
        <v>254</v>
      </c>
      <c r="J4" s="188" t="s">
        <v>255</v>
      </c>
      <c r="K4" s="188" t="s">
        <v>256</v>
      </c>
      <c r="L4" s="188" t="s">
        <v>257</v>
      </c>
      <c r="M4" s="188" t="s">
        <v>258</v>
      </c>
      <c r="N4" s="188" t="s">
        <v>259</v>
      </c>
      <c r="O4" s="188" t="s">
        <v>260</v>
      </c>
      <c r="P4" s="188" t="s">
        <v>261</v>
      </c>
      <c r="Q4" s="188" t="s">
        <v>262</v>
      </c>
      <c r="R4" s="188" t="s">
        <v>263</v>
      </c>
      <c r="S4" s="188" t="s">
        <v>264</v>
      </c>
      <c r="T4" s="188" t="s">
        <v>265</v>
      </c>
      <c r="U4" s="188" t="s">
        <v>266</v>
      </c>
      <c r="V4" s="188" t="s">
        <v>267</v>
      </c>
      <c r="W4" s="188" t="s">
        <v>268</v>
      </c>
      <c r="X4" s="188" t="s">
        <v>269</v>
      </c>
      <c r="Y4" s="188" t="s">
        <v>270</v>
      </c>
      <c r="Z4" s="181"/>
      <c r="AA4" s="63" t="s">
        <v>70</v>
      </c>
      <c r="AB4" s="180"/>
      <c r="AC4" s="180"/>
      <c r="AD4" s="180"/>
      <c r="AE4" s="180"/>
      <c r="AF4" s="180"/>
      <c r="AG4" s="180"/>
      <c r="AH4" s="180"/>
      <c r="AI4" s="180"/>
    </row>
    <row r="5">
      <c r="A5" s="190" t="str">
        <f>'試算-SLOT'!A6</f>
        <v>THB</v>
      </c>
      <c r="B5" s="190" t="str">
        <f>'試算-SLOT'!B6</f>
        <v>฿</v>
      </c>
      <c r="C5" s="190" t="str">
        <f>'試算-SLOT'!C6</f>
        <v>泰銖</v>
      </c>
      <c r="D5" s="190" t="str">
        <f>IF('試算-SLOT'!D6=1,"",'試算-SLOT'!D6)</f>
        <v/>
      </c>
      <c r="E5" s="191">
        <v>0.01</v>
      </c>
      <c r="F5" s="190">
        <v>1.0</v>
      </c>
      <c r="G5" s="190">
        <v>2.0</v>
      </c>
      <c r="H5" s="190">
        <v>3.0</v>
      </c>
      <c r="I5" s="190">
        <v>5.0</v>
      </c>
      <c r="J5" s="190">
        <v>7.0</v>
      </c>
      <c r="K5" s="190">
        <v>8.0</v>
      </c>
      <c r="L5" s="190">
        <v>9.0</v>
      </c>
      <c r="M5" s="190">
        <v>10.0</v>
      </c>
      <c r="N5" s="190">
        <v>11.0</v>
      </c>
      <c r="O5" s="190">
        <v>13.0</v>
      </c>
      <c r="P5" s="190">
        <v>14.0</v>
      </c>
      <c r="Q5" s="190">
        <v>15.0</v>
      </c>
      <c r="R5" s="190">
        <v>16.0</v>
      </c>
      <c r="S5" s="190">
        <v>18.0</v>
      </c>
      <c r="T5" s="190">
        <v>20.0</v>
      </c>
      <c r="U5" s="190">
        <v>21.0</v>
      </c>
      <c r="V5" s="190">
        <v>22.0</v>
      </c>
      <c r="W5" s="190">
        <v>23.0</v>
      </c>
      <c r="X5" s="190">
        <v>24.0</v>
      </c>
      <c r="Y5" s="190">
        <v>25.0</v>
      </c>
      <c r="Z5" s="192"/>
      <c r="AA5" s="68"/>
      <c r="AB5" s="193"/>
      <c r="AC5" s="180"/>
      <c r="AD5" s="180"/>
      <c r="AE5" s="180"/>
      <c r="AF5" s="180"/>
      <c r="AG5" s="180"/>
      <c r="AH5" s="180"/>
      <c r="AI5" s="180"/>
    </row>
    <row r="6">
      <c r="A6" s="190" t="str">
        <f>'試算-SLOT'!A7</f>
        <v>HKD</v>
      </c>
      <c r="B6" s="190" t="str">
        <f>'試算-SLOT'!B7</f>
        <v>HK$</v>
      </c>
      <c r="C6" s="190" t="str">
        <f>'試算-SLOT'!C7</f>
        <v>港幣</v>
      </c>
      <c r="D6" s="190" t="str">
        <f>IF('試算-SLOT'!D7=1,"",'試算-SLOT'!D7)</f>
        <v/>
      </c>
      <c r="E6" s="191">
        <v>0.002</v>
      </c>
      <c r="F6" s="190">
        <v>1.0</v>
      </c>
      <c r="G6" s="190">
        <v>2.0</v>
      </c>
      <c r="H6" s="190">
        <v>3.0</v>
      </c>
      <c r="I6" s="190">
        <v>5.0</v>
      </c>
      <c r="J6" s="190">
        <v>7.0</v>
      </c>
      <c r="K6" s="190">
        <v>8.0</v>
      </c>
      <c r="L6" s="190">
        <v>9.0</v>
      </c>
      <c r="M6" s="190">
        <v>10.0</v>
      </c>
      <c r="N6" s="190">
        <v>11.0</v>
      </c>
      <c r="O6" s="190">
        <v>13.0</v>
      </c>
      <c r="P6" s="190">
        <v>14.0</v>
      </c>
      <c r="Q6" s="190">
        <v>15.0</v>
      </c>
      <c r="R6" s="190">
        <v>16.0</v>
      </c>
      <c r="S6" s="190">
        <v>18.0</v>
      </c>
      <c r="T6" s="190">
        <v>20.0</v>
      </c>
      <c r="U6" s="190">
        <v>21.0</v>
      </c>
      <c r="V6" s="190">
        <v>22.0</v>
      </c>
      <c r="W6" s="190">
        <v>23.0</v>
      </c>
      <c r="X6" s="190">
        <v>24.0</v>
      </c>
      <c r="Y6" s="190">
        <v>25.0</v>
      </c>
      <c r="Z6" s="192"/>
      <c r="AA6" s="68"/>
      <c r="AB6" s="193"/>
      <c r="AC6" s="180"/>
      <c r="AD6" s="180"/>
      <c r="AE6" s="180"/>
      <c r="AF6" s="180"/>
      <c r="AG6" s="180"/>
      <c r="AH6" s="180"/>
      <c r="AI6" s="180"/>
    </row>
    <row r="7">
      <c r="A7" s="190" t="str">
        <f>'試算-SLOT'!A8</f>
        <v>INR</v>
      </c>
      <c r="B7" s="190" t="str">
        <f>'試算-SLOT'!B8</f>
        <v>₹</v>
      </c>
      <c r="C7" s="190" t="str">
        <f>'試算-SLOT'!C8</f>
        <v>印度盧比</v>
      </c>
      <c r="D7" s="190" t="str">
        <f>IF('試算-SLOT'!D8=1,"",'試算-SLOT'!D8)</f>
        <v/>
      </c>
      <c r="E7" s="191">
        <v>0.02</v>
      </c>
      <c r="F7" s="190">
        <v>1.0</v>
      </c>
      <c r="G7" s="190">
        <v>2.0</v>
      </c>
      <c r="H7" s="190">
        <v>3.0</v>
      </c>
      <c r="I7" s="190">
        <v>5.0</v>
      </c>
      <c r="J7" s="190">
        <v>7.0</v>
      </c>
      <c r="K7" s="190">
        <v>8.0</v>
      </c>
      <c r="L7" s="190">
        <v>9.0</v>
      </c>
      <c r="M7" s="190">
        <v>10.0</v>
      </c>
      <c r="N7" s="190">
        <v>11.0</v>
      </c>
      <c r="O7" s="190">
        <v>13.0</v>
      </c>
      <c r="P7" s="190">
        <v>14.0</v>
      </c>
      <c r="Q7" s="190">
        <v>15.0</v>
      </c>
      <c r="R7" s="190">
        <v>16.0</v>
      </c>
      <c r="S7" s="190">
        <v>18.0</v>
      </c>
      <c r="T7" s="190">
        <v>20.0</v>
      </c>
      <c r="U7" s="190">
        <v>21.0</v>
      </c>
      <c r="V7" s="190">
        <v>22.0</v>
      </c>
      <c r="W7" s="190">
        <v>23.0</v>
      </c>
      <c r="X7" s="190">
        <v>24.0</v>
      </c>
      <c r="Y7" s="190">
        <v>25.0</v>
      </c>
      <c r="Z7" s="192"/>
      <c r="AA7" s="68"/>
      <c r="AB7" s="193"/>
      <c r="AC7" s="180"/>
      <c r="AD7" s="180"/>
      <c r="AE7" s="180"/>
      <c r="AF7" s="180"/>
      <c r="AG7" s="180"/>
      <c r="AH7" s="180"/>
      <c r="AI7" s="180"/>
    </row>
    <row r="8">
      <c r="A8" s="190" t="str">
        <f>'試算-SLOT'!A9</f>
        <v>IDR</v>
      </c>
      <c r="B8" s="190" t="str">
        <f>'試算-SLOT'!B9</f>
        <v>Rp</v>
      </c>
      <c r="C8" s="190" t="str">
        <f>'試算-SLOT'!C9</f>
        <v>印尼盧比(K)</v>
      </c>
      <c r="D8" s="190">
        <f>IF('試算-SLOT'!D9=1,"",'試算-SLOT'!D9)</f>
        <v>1000</v>
      </c>
      <c r="E8" s="191">
        <v>0.005</v>
      </c>
      <c r="F8" s="190">
        <v>1.0</v>
      </c>
      <c r="G8" s="190">
        <v>2.0</v>
      </c>
      <c r="H8" s="190">
        <v>3.0</v>
      </c>
      <c r="I8" s="190">
        <v>5.0</v>
      </c>
      <c r="J8" s="190">
        <v>7.0</v>
      </c>
      <c r="K8" s="190">
        <v>8.0</v>
      </c>
      <c r="L8" s="190">
        <v>9.0</v>
      </c>
      <c r="M8" s="190">
        <v>10.0</v>
      </c>
      <c r="N8" s="190">
        <v>11.0</v>
      </c>
      <c r="O8" s="190">
        <v>13.0</v>
      </c>
      <c r="P8" s="190">
        <v>14.0</v>
      </c>
      <c r="Q8" s="190">
        <v>15.0</v>
      </c>
      <c r="R8" s="190">
        <v>16.0</v>
      </c>
      <c r="S8" s="190">
        <v>18.0</v>
      </c>
      <c r="T8" s="190">
        <v>20.0</v>
      </c>
      <c r="U8" s="190">
        <v>21.0</v>
      </c>
      <c r="V8" s="190">
        <v>22.0</v>
      </c>
      <c r="W8" s="190">
        <v>23.0</v>
      </c>
      <c r="X8" s="190">
        <v>24.0</v>
      </c>
      <c r="Y8" s="190">
        <v>25.0</v>
      </c>
      <c r="Z8" s="192"/>
      <c r="AA8" s="68"/>
      <c r="AB8" s="193"/>
      <c r="AC8" s="180"/>
      <c r="AD8" s="180"/>
      <c r="AE8" s="180"/>
      <c r="AF8" s="180"/>
      <c r="AG8" s="180"/>
      <c r="AH8" s="180"/>
      <c r="AI8" s="180"/>
    </row>
    <row r="9">
      <c r="A9" s="194" t="str">
        <f>'試算-SLOT'!A10</f>
        <v>VND</v>
      </c>
      <c r="B9" s="194" t="str">
        <f>'試算-SLOT'!B10</f>
        <v>₫</v>
      </c>
      <c r="C9" s="194" t="str">
        <f>'試算-SLOT'!C10</f>
        <v>越南盾(K)</v>
      </c>
      <c r="D9" s="194">
        <f>IF('試算-SLOT'!D10=1,"",'試算-SLOT'!D10)</f>
        <v>1000</v>
      </c>
      <c r="E9" s="195">
        <v>0.005</v>
      </c>
      <c r="F9" s="194">
        <v>1.0</v>
      </c>
      <c r="G9" s="194">
        <v>2.0</v>
      </c>
      <c r="H9" s="194">
        <v>3.0</v>
      </c>
      <c r="I9" s="194">
        <v>5.0</v>
      </c>
      <c r="J9" s="194">
        <v>7.0</v>
      </c>
      <c r="K9" s="194">
        <v>9.0</v>
      </c>
      <c r="L9" s="194">
        <v>11.0</v>
      </c>
      <c r="M9" s="194">
        <v>13.0</v>
      </c>
      <c r="N9" s="194">
        <v>14.0</v>
      </c>
      <c r="O9" s="194">
        <v>15.0</v>
      </c>
      <c r="P9" s="194">
        <v>16.0</v>
      </c>
      <c r="Q9" s="194">
        <v>18.0</v>
      </c>
      <c r="R9" s="194">
        <v>20.0</v>
      </c>
      <c r="S9" s="194">
        <v>21.0</v>
      </c>
      <c r="T9" s="194">
        <v>22.0</v>
      </c>
      <c r="U9" s="194">
        <v>23.0</v>
      </c>
      <c r="V9" s="194">
        <v>24.0</v>
      </c>
      <c r="W9" s="194">
        <v>25.0</v>
      </c>
      <c r="X9" s="194">
        <v>26.0</v>
      </c>
      <c r="Y9" s="194">
        <v>28.0</v>
      </c>
      <c r="Z9" s="192"/>
      <c r="AA9" s="68"/>
      <c r="AB9" s="193"/>
      <c r="AC9" s="180"/>
      <c r="AD9" s="180"/>
      <c r="AE9" s="180"/>
      <c r="AF9" s="180"/>
      <c r="AG9" s="180"/>
      <c r="AH9" s="180"/>
      <c r="AI9" s="180"/>
    </row>
    <row r="10">
      <c r="A10" s="194" t="str">
        <f>'試算-SLOT'!A11</f>
        <v>MYR</v>
      </c>
      <c r="B10" s="194" t="str">
        <f>'試算-SLOT'!B11</f>
        <v>RM</v>
      </c>
      <c r="C10" s="194" t="str">
        <f>'試算-SLOT'!C11</f>
        <v>馬來西亞令吉</v>
      </c>
      <c r="D10" s="194" t="str">
        <f>IF('試算-SLOT'!D11=1,"",'試算-SLOT'!D11)</f>
        <v/>
      </c>
      <c r="E10" s="195">
        <v>0.001</v>
      </c>
      <c r="F10" s="194">
        <v>1.0</v>
      </c>
      <c r="G10" s="194">
        <v>2.0</v>
      </c>
      <c r="H10" s="194">
        <v>3.0</v>
      </c>
      <c r="I10" s="194">
        <v>5.0</v>
      </c>
      <c r="J10" s="194">
        <v>7.0</v>
      </c>
      <c r="K10" s="194">
        <v>9.0</v>
      </c>
      <c r="L10" s="194">
        <v>11.0</v>
      </c>
      <c r="M10" s="194">
        <v>13.0</v>
      </c>
      <c r="N10" s="194">
        <v>14.0</v>
      </c>
      <c r="O10" s="194">
        <v>15.0</v>
      </c>
      <c r="P10" s="194">
        <v>16.0</v>
      </c>
      <c r="Q10" s="194">
        <v>18.0</v>
      </c>
      <c r="R10" s="194">
        <v>20.0</v>
      </c>
      <c r="S10" s="194">
        <v>21.0</v>
      </c>
      <c r="T10" s="194">
        <v>22.0</v>
      </c>
      <c r="U10" s="194">
        <v>23.0</v>
      </c>
      <c r="V10" s="194">
        <v>24.0</v>
      </c>
      <c r="W10" s="194">
        <v>25.0</v>
      </c>
      <c r="X10" s="194">
        <v>26.0</v>
      </c>
      <c r="Y10" s="194">
        <v>28.0</v>
      </c>
      <c r="Z10" s="192"/>
      <c r="AA10" s="68"/>
      <c r="AB10" s="193"/>
      <c r="AC10" s="180"/>
      <c r="AD10" s="180"/>
      <c r="AE10" s="180"/>
      <c r="AF10" s="180"/>
      <c r="AG10" s="180"/>
      <c r="AH10" s="180"/>
      <c r="AI10" s="180"/>
    </row>
    <row r="11">
      <c r="A11" s="196" t="str">
        <f>'試算-SLOT'!A12</f>
        <v>SGD</v>
      </c>
      <c r="B11" s="196" t="str">
        <f>'試算-SLOT'!B12</f>
        <v>S$</v>
      </c>
      <c r="C11" s="196" t="str">
        <f>'試算-SLOT'!C12</f>
        <v>新加坡幣</v>
      </c>
      <c r="D11" s="196" t="str">
        <f>IF('試算-SLOT'!D12=1,"",'試算-SLOT'!D12)</f>
        <v/>
      </c>
      <c r="E11" s="197">
        <v>0.001</v>
      </c>
      <c r="F11" s="196">
        <v>1.0</v>
      </c>
      <c r="G11" s="196">
        <v>2.0</v>
      </c>
      <c r="H11" s="196">
        <v>3.0</v>
      </c>
      <c r="I11" s="196">
        <v>4.0</v>
      </c>
      <c r="J11" s="196">
        <v>5.0</v>
      </c>
      <c r="K11" s="196">
        <v>6.0</v>
      </c>
      <c r="L11" s="196">
        <v>7.0</v>
      </c>
      <c r="M11" s="196">
        <v>8.0</v>
      </c>
      <c r="N11" s="196">
        <v>9.0</v>
      </c>
      <c r="O11" s="196">
        <v>10.0</v>
      </c>
      <c r="P11" s="196">
        <v>11.0</v>
      </c>
      <c r="Q11" s="196">
        <v>12.0</v>
      </c>
      <c r="R11" s="196">
        <v>13.0</v>
      </c>
      <c r="S11" s="196">
        <v>14.0</v>
      </c>
      <c r="T11" s="196">
        <v>15.0</v>
      </c>
      <c r="U11" s="196">
        <v>16.0</v>
      </c>
      <c r="V11" s="196">
        <v>17.0</v>
      </c>
      <c r="W11" s="196">
        <v>18.0</v>
      </c>
      <c r="X11" s="196">
        <v>19.0</v>
      </c>
      <c r="Y11" s="198">
        <v>20.0</v>
      </c>
      <c r="Z11" s="192"/>
      <c r="AA11" s="68"/>
      <c r="AB11" s="193"/>
      <c r="AC11" s="180"/>
      <c r="AD11" s="180"/>
      <c r="AE11" s="180"/>
      <c r="AF11" s="180"/>
      <c r="AG11" s="180"/>
      <c r="AH11" s="180"/>
      <c r="AI11" s="180"/>
    </row>
    <row r="12">
      <c r="A12" s="196" t="str">
        <f>'試算-SLOT'!A13</f>
        <v>USD</v>
      </c>
      <c r="B12" s="196" t="str">
        <f>'試算-SLOT'!B13</f>
        <v>$</v>
      </c>
      <c r="C12" s="196" t="str">
        <f>'試算-SLOT'!C13</f>
        <v>美元</v>
      </c>
      <c r="D12" s="196" t="str">
        <f>IF('試算-SLOT'!D13=1,"",'試算-SLOT'!D13)</f>
        <v/>
      </c>
      <c r="E12" s="197">
        <v>0.001</v>
      </c>
      <c r="F12" s="196">
        <v>1.0</v>
      </c>
      <c r="G12" s="196">
        <v>2.0</v>
      </c>
      <c r="H12" s="196">
        <v>3.0</v>
      </c>
      <c r="I12" s="196">
        <v>4.0</v>
      </c>
      <c r="J12" s="196">
        <v>5.0</v>
      </c>
      <c r="K12" s="196">
        <v>6.0</v>
      </c>
      <c r="L12" s="196">
        <v>7.0</v>
      </c>
      <c r="M12" s="196">
        <v>8.0</v>
      </c>
      <c r="N12" s="196">
        <v>9.0</v>
      </c>
      <c r="O12" s="196">
        <v>10.0</v>
      </c>
      <c r="P12" s="196">
        <v>11.0</v>
      </c>
      <c r="Q12" s="196">
        <v>12.0</v>
      </c>
      <c r="R12" s="196">
        <v>13.0</v>
      </c>
      <c r="S12" s="196">
        <v>14.0</v>
      </c>
      <c r="T12" s="196">
        <v>15.0</v>
      </c>
      <c r="U12" s="196">
        <v>16.0</v>
      </c>
      <c r="V12" s="196">
        <v>17.0</v>
      </c>
      <c r="W12" s="196">
        <v>18.0</v>
      </c>
      <c r="X12" s="196">
        <v>19.0</v>
      </c>
      <c r="Y12" s="198">
        <v>20.0</v>
      </c>
      <c r="Z12" s="192"/>
      <c r="AA12" s="68"/>
      <c r="AB12" s="193"/>
      <c r="AC12" s="180"/>
      <c r="AD12" s="180"/>
      <c r="AE12" s="180"/>
      <c r="AF12" s="180"/>
      <c r="AG12" s="180"/>
      <c r="AH12" s="180"/>
      <c r="AI12" s="180"/>
    </row>
    <row r="13">
      <c r="A13" s="194" t="str">
        <f>'試算-SLOT'!A14</f>
        <v>BDT</v>
      </c>
      <c r="B13" s="194" t="str">
        <f>'試算-SLOT'!B14</f>
        <v>৳</v>
      </c>
      <c r="C13" s="194" t="str">
        <f>'試算-SLOT'!C14</f>
        <v>孟加拉塔卡</v>
      </c>
      <c r="D13" s="194" t="str">
        <f>IF('試算-SLOT'!D14=1,"",'試算-SLOT'!D14)</f>
        <v/>
      </c>
      <c r="E13" s="195">
        <v>0.02</v>
      </c>
      <c r="F13" s="194">
        <v>1.0</v>
      </c>
      <c r="G13" s="194">
        <v>2.0</v>
      </c>
      <c r="H13" s="194">
        <v>3.0</v>
      </c>
      <c r="I13" s="194">
        <v>5.0</v>
      </c>
      <c r="J13" s="194">
        <v>7.0</v>
      </c>
      <c r="K13" s="194">
        <v>9.0</v>
      </c>
      <c r="L13" s="194">
        <v>11.0</v>
      </c>
      <c r="M13" s="194">
        <v>13.0</v>
      </c>
      <c r="N13" s="194">
        <v>14.0</v>
      </c>
      <c r="O13" s="194">
        <v>15.0</v>
      </c>
      <c r="P13" s="194">
        <v>16.0</v>
      </c>
      <c r="Q13" s="194">
        <v>18.0</v>
      </c>
      <c r="R13" s="194">
        <v>20.0</v>
      </c>
      <c r="S13" s="194">
        <v>21.0</v>
      </c>
      <c r="T13" s="194">
        <v>22.0</v>
      </c>
      <c r="U13" s="194">
        <v>23.0</v>
      </c>
      <c r="V13" s="194">
        <v>24.0</v>
      </c>
      <c r="W13" s="194">
        <v>25.0</v>
      </c>
      <c r="X13" s="194">
        <v>26.0</v>
      </c>
      <c r="Y13" s="194">
        <v>28.0</v>
      </c>
      <c r="Z13" s="192"/>
      <c r="AA13" s="68"/>
      <c r="AB13" s="193"/>
      <c r="AC13" s="180"/>
      <c r="AD13" s="180"/>
      <c r="AE13" s="180"/>
      <c r="AF13" s="180"/>
      <c r="AG13" s="180"/>
      <c r="AH13" s="180"/>
      <c r="AI13" s="180"/>
    </row>
    <row r="14">
      <c r="A14" s="199" t="str">
        <f>'試算-SLOT'!A15</f>
        <v>PKR</v>
      </c>
      <c r="B14" s="199" t="str">
        <f>'試算-SLOT'!B15</f>
        <v>₨</v>
      </c>
      <c r="C14" s="199" t="str">
        <f>'試算-SLOT'!C15</f>
        <v>巴基斯坦盧比</v>
      </c>
      <c r="D14" s="199" t="str">
        <f>IF('試算-SLOT'!D15=1,"",'試算-SLOT'!D15)</f>
        <v/>
      </c>
      <c r="E14" s="200">
        <v>0.05</v>
      </c>
      <c r="F14" s="199">
        <v>1.0</v>
      </c>
      <c r="G14" s="199">
        <v>2.0</v>
      </c>
      <c r="H14" s="199">
        <v>3.0</v>
      </c>
      <c r="I14" s="199">
        <v>7.0</v>
      </c>
      <c r="J14" s="199">
        <v>9.0</v>
      </c>
      <c r="K14" s="199">
        <v>11.0</v>
      </c>
      <c r="L14" s="199">
        <v>13.0</v>
      </c>
      <c r="M14" s="199">
        <v>14.0</v>
      </c>
      <c r="N14" s="199">
        <v>15.0</v>
      </c>
      <c r="O14" s="199">
        <v>16.0</v>
      </c>
      <c r="P14" s="199">
        <v>18.0</v>
      </c>
      <c r="Q14" s="199">
        <v>20.0</v>
      </c>
      <c r="R14" s="199">
        <v>21.0</v>
      </c>
      <c r="S14" s="199">
        <v>22.0</v>
      </c>
      <c r="T14" s="199">
        <v>23.0</v>
      </c>
      <c r="U14" s="199">
        <v>24.0</v>
      </c>
      <c r="V14" s="199">
        <v>25.0</v>
      </c>
      <c r="W14" s="199">
        <v>26.0</v>
      </c>
      <c r="X14" s="199">
        <v>28.0</v>
      </c>
      <c r="Y14" s="201">
        <v>30.0</v>
      </c>
      <c r="Z14" s="192"/>
      <c r="AA14" s="68"/>
      <c r="AB14" s="193"/>
      <c r="AC14" s="180"/>
      <c r="AD14" s="180"/>
      <c r="AE14" s="180"/>
      <c r="AF14" s="180"/>
      <c r="AG14" s="180"/>
      <c r="AH14" s="180"/>
      <c r="AI14" s="180"/>
    </row>
    <row r="15">
      <c r="A15" s="185" t="str">
        <f>'試算-SLOT'!A16</f>
        <v>MMK</v>
      </c>
      <c r="B15" s="185" t="str">
        <f>'試算-SLOT'!B16</f>
        <v>K</v>
      </c>
      <c r="C15" s="185" t="str">
        <f>'試算-SLOT'!C16</f>
        <v>緬甸元(K)</v>
      </c>
      <c r="D15" s="185">
        <f>IF('試算-SLOT'!D16=1,"",'試算-SLOT'!D16)</f>
        <v>1000</v>
      </c>
      <c r="E15" s="202">
        <v>0.001</v>
      </c>
      <c r="F15" s="185">
        <v>1.0</v>
      </c>
      <c r="G15" s="185">
        <v>2.0</v>
      </c>
      <c r="H15" s="185">
        <v>3.0</v>
      </c>
      <c r="I15" s="185">
        <v>5.0</v>
      </c>
      <c r="J15" s="185">
        <v>7.0</v>
      </c>
      <c r="K15" s="185">
        <v>8.0</v>
      </c>
      <c r="L15" s="185">
        <v>9.0</v>
      </c>
      <c r="M15" s="185">
        <v>10.0</v>
      </c>
      <c r="N15" s="185">
        <v>11.0</v>
      </c>
      <c r="O15" s="185">
        <v>12.0</v>
      </c>
      <c r="P15" s="185">
        <v>13.0</v>
      </c>
      <c r="Q15" s="185">
        <v>14.0</v>
      </c>
      <c r="R15" s="185">
        <v>15.0</v>
      </c>
      <c r="S15" s="185">
        <v>16.0</v>
      </c>
      <c r="T15" s="185">
        <v>18.0</v>
      </c>
      <c r="U15" s="185">
        <v>20.0</v>
      </c>
      <c r="V15" s="185">
        <v>21.0</v>
      </c>
      <c r="W15" s="203">
        <v>22.0</v>
      </c>
      <c r="X15" s="203">
        <v>23.0</v>
      </c>
      <c r="Y15" s="203">
        <v>24.0</v>
      </c>
      <c r="Z15" s="192"/>
      <c r="AA15" s="68"/>
      <c r="AB15" s="193"/>
      <c r="AC15" s="180"/>
      <c r="AD15" s="180"/>
      <c r="AE15" s="180"/>
      <c r="AF15" s="180"/>
      <c r="AG15" s="180"/>
      <c r="AH15" s="180"/>
      <c r="AI15" s="180"/>
    </row>
    <row r="16">
      <c r="A16" s="190" t="str">
        <f>'試算-SLOT'!A17</f>
        <v>MMH</v>
      </c>
      <c r="B16" s="190" t="str">
        <f>'試算-SLOT'!B17</f>
        <v>K</v>
      </c>
      <c r="C16" s="190" t="str">
        <f>'試算-SLOT'!C17</f>
        <v>緬甸元(H)</v>
      </c>
      <c r="D16" s="190">
        <f>IF('試算-SLOT'!D17=1,"",'試算-SLOT'!D17)</f>
        <v>100</v>
      </c>
      <c r="E16" s="191">
        <v>0.005</v>
      </c>
      <c r="F16" s="190">
        <v>1.0</v>
      </c>
      <c r="G16" s="190">
        <v>2.0</v>
      </c>
      <c r="H16" s="190">
        <v>3.0</v>
      </c>
      <c r="I16" s="190">
        <v>5.0</v>
      </c>
      <c r="J16" s="190">
        <v>7.0</v>
      </c>
      <c r="K16" s="190">
        <v>8.0</v>
      </c>
      <c r="L16" s="190">
        <v>9.0</v>
      </c>
      <c r="M16" s="190">
        <v>10.0</v>
      </c>
      <c r="N16" s="190">
        <v>11.0</v>
      </c>
      <c r="O16" s="190">
        <v>13.0</v>
      </c>
      <c r="P16" s="190">
        <v>14.0</v>
      </c>
      <c r="Q16" s="190">
        <v>15.0</v>
      </c>
      <c r="R16" s="190">
        <v>16.0</v>
      </c>
      <c r="S16" s="190">
        <v>18.0</v>
      </c>
      <c r="T16" s="190">
        <v>20.0</v>
      </c>
      <c r="U16" s="190">
        <v>21.0</v>
      </c>
      <c r="V16" s="190">
        <v>22.0</v>
      </c>
      <c r="W16" s="190">
        <v>23.0</v>
      </c>
      <c r="X16" s="190">
        <v>24.0</v>
      </c>
      <c r="Y16" s="190">
        <v>25.0</v>
      </c>
      <c r="Z16" s="192"/>
      <c r="AA16" s="68"/>
      <c r="AB16" s="193"/>
      <c r="AC16" s="180"/>
      <c r="AD16" s="180"/>
      <c r="AE16" s="180"/>
      <c r="AF16" s="180"/>
      <c r="AG16" s="180"/>
      <c r="AH16" s="180"/>
      <c r="AI16" s="180"/>
    </row>
    <row r="17">
      <c r="A17" s="199" t="str">
        <f>'試算-SLOT'!A18</f>
        <v>PHP</v>
      </c>
      <c r="B17" s="199" t="str">
        <f>'試算-SLOT'!B18</f>
        <v>₱</v>
      </c>
      <c r="C17" s="199" t="str">
        <f>'試算-SLOT'!C18</f>
        <v>菲律賓披索</v>
      </c>
      <c r="D17" s="199" t="str">
        <f>IF('試算-SLOT'!D18=1,"",'試算-SLOT'!D18)</f>
        <v/>
      </c>
      <c r="E17" s="200">
        <v>0.01</v>
      </c>
      <c r="F17" s="199">
        <v>1.0</v>
      </c>
      <c r="G17" s="199">
        <v>2.0</v>
      </c>
      <c r="H17" s="199">
        <v>3.0</v>
      </c>
      <c r="I17" s="199">
        <v>7.0</v>
      </c>
      <c r="J17" s="199">
        <v>9.0</v>
      </c>
      <c r="K17" s="199">
        <v>11.0</v>
      </c>
      <c r="L17" s="199">
        <v>13.0</v>
      </c>
      <c r="M17" s="199">
        <v>14.0</v>
      </c>
      <c r="N17" s="199">
        <v>15.0</v>
      </c>
      <c r="O17" s="199">
        <v>16.0</v>
      </c>
      <c r="P17" s="199">
        <v>18.0</v>
      </c>
      <c r="Q17" s="199">
        <v>20.0</v>
      </c>
      <c r="R17" s="199">
        <v>21.0</v>
      </c>
      <c r="S17" s="199">
        <v>22.0</v>
      </c>
      <c r="T17" s="199">
        <v>23.0</v>
      </c>
      <c r="U17" s="199">
        <v>24.0</v>
      </c>
      <c r="V17" s="199">
        <v>25.0</v>
      </c>
      <c r="W17" s="199">
        <v>26.0</v>
      </c>
      <c r="X17" s="199">
        <v>28.0</v>
      </c>
      <c r="Y17" s="201">
        <v>30.0</v>
      </c>
      <c r="Z17" s="192"/>
      <c r="AA17" s="68"/>
      <c r="AB17" s="193"/>
      <c r="AC17" s="180"/>
      <c r="AD17" s="180"/>
      <c r="AE17" s="180"/>
      <c r="AF17" s="180"/>
      <c r="AG17" s="180"/>
      <c r="AH17" s="180"/>
      <c r="AI17" s="180"/>
    </row>
    <row r="18">
      <c r="A18" s="190" t="str">
        <f>'試算-SLOT'!A19</f>
        <v>CNY</v>
      </c>
      <c r="B18" s="190" t="str">
        <f>'試算-SLOT'!B19</f>
        <v>￥</v>
      </c>
      <c r="C18" s="190" t="str">
        <f>'試算-SLOT'!C19</f>
        <v>人民幣</v>
      </c>
      <c r="D18" s="190" t="str">
        <f>IF('試算-SLOT'!D19=1,"",'試算-SLOT'!D19)</f>
        <v/>
      </c>
      <c r="E18" s="191">
        <v>0.002</v>
      </c>
      <c r="F18" s="190">
        <v>1.0</v>
      </c>
      <c r="G18" s="190">
        <v>2.0</v>
      </c>
      <c r="H18" s="190">
        <v>3.0</v>
      </c>
      <c r="I18" s="190">
        <v>5.0</v>
      </c>
      <c r="J18" s="190">
        <v>7.0</v>
      </c>
      <c r="K18" s="190">
        <v>8.0</v>
      </c>
      <c r="L18" s="190">
        <v>9.0</v>
      </c>
      <c r="M18" s="190">
        <v>10.0</v>
      </c>
      <c r="N18" s="190">
        <v>11.0</v>
      </c>
      <c r="O18" s="190">
        <v>13.0</v>
      </c>
      <c r="P18" s="190">
        <v>14.0</v>
      </c>
      <c r="Q18" s="190">
        <v>15.0</v>
      </c>
      <c r="R18" s="190">
        <v>16.0</v>
      </c>
      <c r="S18" s="190">
        <v>18.0</v>
      </c>
      <c r="T18" s="190">
        <v>20.0</v>
      </c>
      <c r="U18" s="190">
        <v>21.0</v>
      </c>
      <c r="V18" s="190">
        <v>22.0</v>
      </c>
      <c r="W18" s="190">
        <v>23.0</v>
      </c>
      <c r="X18" s="190">
        <v>24.0</v>
      </c>
      <c r="Y18" s="190">
        <v>25.0</v>
      </c>
      <c r="Z18" s="192"/>
      <c r="AA18" s="68"/>
      <c r="AB18" s="193"/>
      <c r="AC18" s="180"/>
      <c r="AD18" s="180"/>
      <c r="AE18" s="180"/>
      <c r="AF18" s="180"/>
      <c r="AG18" s="180"/>
      <c r="AH18" s="180"/>
      <c r="AI18" s="180"/>
    </row>
    <row r="19">
      <c r="A19" s="190" t="str">
        <f>'試算-SLOT'!A20</f>
        <v>MXN</v>
      </c>
      <c r="B19" s="190" t="str">
        <f>'試算-SLOT'!B20</f>
        <v>Mex$</v>
      </c>
      <c r="C19" s="190" t="str">
        <f>'試算-SLOT'!C20</f>
        <v>墨⻄哥披索</v>
      </c>
      <c r="D19" s="190" t="str">
        <f>IF('試算-SLOT'!D20=1,"",'試算-SLOT'!D20)</f>
        <v/>
      </c>
      <c r="E19" s="191">
        <v>0.005</v>
      </c>
      <c r="F19" s="190">
        <v>1.0</v>
      </c>
      <c r="G19" s="190">
        <v>2.0</v>
      </c>
      <c r="H19" s="190">
        <v>3.0</v>
      </c>
      <c r="I19" s="190">
        <v>5.0</v>
      </c>
      <c r="J19" s="190">
        <v>7.0</v>
      </c>
      <c r="K19" s="190">
        <v>8.0</v>
      </c>
      <c r="L19" s="190">
        <v>9.0</v>
      </c>
      <c r="M19" s="190">
        <v>10.0</v>
      </c>
      <c r="N19" s="190">
        <v>11.0</v>
      </c>
      <c r="O19" s="190">
        <v>13.0</v>
      </c>
      <c r="P19" s="190">
        <v>14.0</v>
      </c>
      <c r="Q19" s="190">
        <v>15.0</v>
      </c>
      <c r="R19" s="190">
        <v>16.0</v>
      </c>
      <c r="S19" s="190">
        <v>18.0</v>
      </c>
      <c r="T19" s="190">
        <v>20.0</v>
      </c>
      <c r="U19" s="190">
        <v>21.0</v>
      </c>
      <c r="V19" s="190">
        <v>22.0</v>
      </c>
      <c r="W19" s="190">
        <v>23.0</v>
      </c>
      <c r="X19" s="190">
        <v>24.0</v>
      </c>
      <c r="Y19" s="190">
        <v>25.0</v>
      </c>
      <c r="Z19" s="192"/>
      <c r="AA19" s="68"/>
      <c r="AB19" s="193"/>
      <c r="AC19" s="180"/>
      <c r="AD19" s="180"/>
      <c r="AE19" s="180"/>
      <c r="AF19" s="180"/>
      <c r="AG19" s="180"/>
      <c r="AH19" s="180"/>
      <c r="AI19" s="180"/>
    </row>
    <row r="20">
      <c r="A20" s="194" t="str">
        <f>'試算-SLOT'!A21</f>
        <v>BRL</v>
      </c>
      <c r="B20" s="194" t="str">
        <f>'試算-SLOT'!B21</f>
        <v>R$</v>
      </c>
      <c r="C20" s="194" t="str">
        <f>'試算-SLOT'!C21</f>
        <v>巴西雷亞爾</v>
      </c>
      <c r="D20" s="194" t="str">
        <f>IF('試算-SLOT'!D21=1,"",'試算-SLOT'!D21)</f>
        <v/>
      </c>
      <c r="E20" s="195">
        <v>0.001</v>
      </c>
      <c r="F20" s="194">
        <v>1.0</v>
      </c>
      <c r="G20" s="194">
        <v>2.0</v>
      </c>
      <c r="H20" s="194">
        <v>3.0</v>
      </c>
      <c r="I20" s="194">
        <v>5.0</v>
      </c>
      <c r="J20" s="194">
        <v>7.0</v>
      </c>
      <c r="K20" s="194">
        <v>9.0</v>
      </c>
      <c r="L20" s="194">
        <v>11.0</v>
      </c>
      <c r="M20" s="194">
        <v>13.0</v>
      </c>
      <c r="N20" s="194">
        <v>14.0</v>
      </c>
      <c r="O20" s="194">
        <v>15.0</v>
      </c>
      <c r="P20" s="194">
        <v>16.0</v>
      </c>
      <c r="Q20" s="194">
        <v>18.0</v>
      </c>
      <c r="R20" s="194">
        <v>20.0</v>
      </c>
      <c r="S20" s="194">
        <v>21.0</v>
      </c>
      <c r="T20" s="194">
        <v>22.0</v>
      </c>
      <c r="U20" s="194">
        <v>23.0</v>
      </c>
      <c r="V20" s="194">
        <v>24.0</v>
      </c>
      <c r="W20" s="194">
        <v>25.0</v>
      </c>
      <c r="X20" s="194">
        <v>26.0</v>
      </c>
      <c r="Y20" s="194">
        <v>28.0</v>
      </c>
      <c r="Z20" s="192"/>
      <c r="AA20" s="68"/>
      <c r="AB20" s="193"/>
      <c r="AC20" s="180"/>
      <c r="AD20" s="180"/>
      <c r="AE20" s="180"/>
      <c r="AF20" s="180"/>
      <c r="AG20" s="180"/>
      <c r="AH20" s="180"/>
      <c r="AI20" s="180"/>
    </row>
    <row r="21">
      <c r="A21" s="196" t="str">
        <f>'試算-SLOT'!A22</f>
        <v>AUD</v>
      </c>
      <c r="B21" s="196" t="str">
        <f>'試算-SLOT'!B22</f>
        <v>A$</v>
      </c>
      <c r="C21" s="196" t="str">
        <f>'試算-SLOT'!C22</f>
        <v>澳洲元</v>
      </c>
      <c r="D21" s="196" t="str">
        <f>IF('試算-SLOT'!D22=1,"",'試算-SLOT'!D22)</f>
        <v/>
      </c>
      <c r="E21" s="197">
        <v>0.001</v>
      </c>
      <c r="F21" s="196">
        <v>1.0</v>
      </c>
      <c r="G21" s="196">
        <v>2.0</v>
      </c>
      <c r="H21" s="196">
        <v>3.0</v>
      </c>
      <c r="I21" s="196">
        <v>4.0</v>
      </c>
      <c r="J21" s="196">
        <v>5.0</v>
      </c>
      <c r="K21" s="196">
        <v>6.0</v>
      </c>
      <c r="L21" s="196">
        <v>7.0</v>
      </c>
      <c r="M21" s="196">
        <v>8.0</v>
      </c>
      <c r="N21" s="196">
        <v>9.0</v>
      </c>
      <c r="O21" s="196">
        <v>10.0</v>
      </c>
      <c r="P21" s="196">
        <v>11.0</v>
      </c>
      <c r="Q21" s="196">
        <v>12.0</v>
      </c>
      <c r="R21" s="196">
        <v>13.0</v>
      </c>
      <c r="S21" s="196">
        <v>14.0</v>
      </c>
      <c r="T21" s="196">
        <v>15.0</v>
      </c>
      <c r="U21" s="196">
        <v>16.0</v>
      </c>
      <c r="V21" s="196">
        <v>17.0</v>
      </c>
      <c r="W21" s="196">
        <v>18.0</v>
      </c>
      <c r="X21" s="196">
        <v>19.0</v>
      </c>
      <c r="Y21" s="198">
        <v>20.0</v>
      </c>
      <c r="Z21" s="192"/>
      <c r="AA21" s="68"/>
      <c r="AB21" s="193"/>
      <c r="AC21" s="180"/>
      <c r="AD21" s="180"/>
      <c r="AE21" s="180"/>
      <c r="AF21" s="180"/>
      <c r="AG21" s="180"/>
      <c r="AH21" s="180"/>
      <c r="AI21" s="180"/>
    </row>
    <row r="22">
      <c r="A22" s="185" t="str">
        <f>'試算-SLOT'!A23</f>
        <v>JPY</v>
      </c>
      <c r="B22" s="185" t="str">
        <f>'試算-SLOT'!B23</f>
        <v>￥</v>
      </c>
      <c r="C22" s="185" t="str">
        <f>'試算-SLOT'!C23</f>
        <v>日圓</v>
      </c>
      <c r="D22" s="185" t="str">
        <f>IF('試算-SLOT'!D23=1,"",'試算-SLOT'!D23)</f>
        <v/>
      </c>
      <c r="E22" s="202">
        <v>0.05</v>
      </c>
      <c r="F22" s="185">
        <v>1.0</v>
      </c>
      <c r="G22" s="185">
        <v>2.0</v>
      </c>
      <c r="H22" s="185">
        <v>3.0</v>
      </c>
      <c r="I22" s="185">
        <v>5.0</v>
      </c>
      <c r="J22" s="185">
        <v>7.0</v>
      </c>
      <c r="K22" s="185">
        <v>8.0</v>
      </c>
      <c r="L22" s="185">
        <v>9.0</v>
      </c>
      <c r="M22" s="185">
        <v>10.0</v>
      </c>
      <c r="N22" s="185">
        <v>11.0</v>
      </c>
      <c r="O22" s="185">
        <v>12.0</v>
      </c>
      <c r="P22" s="185">
        <v>13.0</v>
      </c>
      <c r="Q22" s="185">
        <v>14.0</v>
      </c>
      <c r="R22" s="185">
        <v>15.0</v>
      </c>
      <c r="S22" s="185">
        <v>16.0</v>
      </c>
      <c r="T22" s="185">
        <v>18.0</v>
      </c>
      <c r="U22" s="185">
        <v>20.0</v>
      </c>
      <c r="V22" s="185">
        <v>21.0</v>
      </c>
      <c r="W22" s="203">
        <v>22.0</v>
      </c>
      <c r="X22" s="203">
        <v>23.0</v>
      </c>
      <c r="Y22" s="203">
        <v>24.0</v>
      </c>
      <c r="Z22" s="192"/>
      <c r="AA22" s="68"/>
      <c r="AB22" s="193"/>
      <c r="AC22" s="180"/>
      <c r="AD22" s="180"/>
      <c r="AE22" s="180"/>
      <c r="AF22" s="180"/>
      <c r="AG22" s="180"/>
      <c r="AH22" s="180"/>
      <c r="AI22" s="180"/>
    </row>
    <row r="23">
      <c r="A23" s="199" t="str">
        <f>'試算-SLOT'!A24</f>
        <v>KRW</v>
      </c>
      <c r="B23" s="199" t="str">
        <f>'試算-SLOT'!B24</f>
        <v>₩</v>
      </c>
      <c r="C23" s="199" t="str">
        <f>'試算-SLOT'!C24</f>
        <v>韓圓</v>
      </c>
      <c r="D23" s="199" t="str">
        <f>IF('試算-SLOT'!D24=1,"",'試算-SLOT'!D24)</f>
        <v/>
      </c>
      <c r="E23" s="200">
        <v>0.2</v>
      </c>
      <c r="F23" s="199">
        <v>1.0</v>
      </c>
      <c r="G23" s="199">
        <v>2.0</v>
      </c>
      <c r="H23" s="199">
        <v>3.0</v>
      </c>
      <c r="I23" s="199">
        <v>7.0</v>
      </c>
      <c r="J23" s="199">
        <v>9.0</v>
      </c>
      <c r="K23" s="199">
        <v>11.0</v>
      </c>
      <c r="L23" s="199">
        <v>13.0</v>
      </c>
      <c r="M23" s="199">
        <v>14.0</v>
      </c>
      <c r="N23" s="199">
        <v>15.0</v>
      </c>
      <c r="O23" s="199">
        <v>16.0</v>
      </c>
      <c r="P23" s="199">
        <v>18.0</v>
      </c>
      <c r="Q23" s="199">
        <v>20.0</v>
      </c>
      <c r="R23" s="199">
        <v>21.0</v>
      </c>
      <c r="S23" s="199">
        <v>22.0</v>
      </c>
      <c r="T23" s="199">
        <v>23.0</v>
      </c>
      <c r="U23" s="199">
        <v>24.0</v>
      </c>
      <c r="V23" s="199">
        <v>25.0</v>
      </c>
      <c r="W23" s="199">
        <v>26.0</v>
      </c>
      <c r="X23" s="199">
        <v>28.0</v>
      </c>
      <c r="Y23" s="201">
        <v>30.0</v>
      </c>
      <c r="Z23" s="192"/>
      <c r="AA23" s="68"/>
      <c r="AB23" s="193"/>
      <c r="AC23" s="180"/>
      <c r="AD23" s="180"/>
      <c r="AE23" s="180"/>
      <c r="AF23" s="180"/>
      <c r="AG23" s="180"/>
      <c r="AH23" s="180"/>
      <c r="AI23" s="180"/>
    </row>
    <row r="24">
      <c r="A24" s="190" t="str">
        <f>'試算-SLOT'!A25</f>
        <v>CLP</v>
      </c>
      <c r="B24" s="190" t="str">
        <f>'試算-SLOT'!B25</f>
        <v>$</v>
      </c>
      <c r="C24" s="190" t="str">
        <f>'試算-SLOT'!C25</f>
        <v>智利披索</v>
      </c>
      <c r="D24" s="190" t="str">
        <f>IF('試算-SLOT'!D25=1,"",'試算-SLOT'!D25)</f>
        <v/>
      </c>
      <c r="E24" s="191">
        <v>0.2</v>
      </c>
      <c r="F24" s="190">
        <v>1.0</v>
      </c>
      <c r="G24" s="190">
        <v>2.0</v>
      </c>
      <c r="H24" s="190">
        <v>3.0</v>
      </c>
      <c r="I24" s="190">
        <v>5.0</v>
      </c>
      <c r="J24" s="190">
        <v>7.0</v>
      </c>
      <c r="K24" s="190">
        <v>8.0</v>
      </c>
      <c r="L24" s="190">
        <v>9.0</v>
      </c>
      <c r="M24" s="190">
        <v>10.0</v>
      </c>
      <c r="N24" s="190">
        <v>11.0</v>
      </c>
      <c r="O24" s="190">
        <v>13.0</v>
      </c>
      <c r="P24" s="190">
        <v>14.0</v>
      </c>
      <c r="Q24" s="190">
        <v>15.0</v>
      </c>
      <c r="R24" s="190">
        <v>16.0</v>
      </c>
      <c r="S24" s="190">
        <v>18.0</v>
      </c>
      <c r="T24" s="190">
        <v>20.0</v>
      </c>
      <c r="U24" s="190">
        <v>21.0</v>
      </c>
      <c r="V24" s="190">
        <v>22.0</v>
      </c>
      <c r="W24" s="190">
        <v>23.0</v>
      </c>
      <c r="X24" s="190">
        <v>24.0</v>
      </c>
      <c r="Y24" s="190">
        <v>25.0</v>
      </c>
      <c r="Z24" s="192"/>
      <c r="AA24" s="68"/>
      <c r="AB24" s="193"/>
      <c r="AC24" s="180"/>
      <c r="AD24" s="180"/>
      <c r="AE24" s="180"/>
      <c r="AF24" s="180"/>
      <c r="AG24" s="180"/>
      <c r="AH24" s="180"/>
      <c r="AI24" s="180"/>
    </row>
    <row r="25">
      <c r="A25" s="190" t="str">
        <f>'試算-SLOT'!A26</f>
        <v>MMKO</v>
      </c>
      <c r="B25" s="190" t="str">
        <f>'試算-SLOT'!B26</f>
        <v>K</v>
      </c>
      <c r="C25" s="190" t="str">
        <f>'試算-SLOT'!C26</f>
        <v>緬甸元</v>
      </c>
      <c r="D25" s="190" t="str">
        <f>IF('試算-SLOT'!D26=1,"",'試算-SLOT'!D26)</f>
        <v/>
      </c>
      <c r="E25" s="191">
        <v>0.5</v>
      </c>
      <c r="F25" s="190">
        <v>1.0</v>
      </c>
      <c r="G25" s="190">
        <v>2.0</v>
      </c>
      <c r="H25" s="190">
        <v>3.0</v>
      </c>
      <c r="I25" s="190">
        <v>5.0</v>
      </c>
      <c r="J25" s="190">
        <v>7.0</v>
      </c>
      <c r="K25" s="190">
        <v>8.0</v>
      </c>
      <c r="L25" s="190">
        <v>9.0</v>
      </c>
      <c r="M25" s="190">
        <v>10.0</v>
      </c>
      <c r="N25" s="190">
        <v>11.0</v>
      </c>
      <c r="O25" s="190">
        <v>13.0</v>
      </c>
      <c r="P25" s="190">
        <v>14.0</v>
      </c>
      <c r="Q25" s="190">
        <v>15.0</v>
      </c>
      <c r="R25" s="190">
        <v>16.0</v>
      </c>
      <c r="S25" s="190">
        <v>18.0</v>
      </c>
      <c r="T25" s="190">
        <v>20.0</v>
      </c>
      <c r="U25" s="190">
        <v>21.0</v>
      </c>
      <c r="V25" s="190">
        <v>22.0</v>
      </c>
      <c r="W25" s="190">
        <v>23.0</v>
      </c>
      <c r="X25" s="190">
        <v>24.0</v>
      </c>
      <c r="Y25" s="190">
        <v>25.0</v>
      </c>
      <c r="Z25" s="192"/>
      <c r="AA25" s="68"/>
      <c r="AB25" s="193"/>
      <c r="AC25" s="180"/>
      <c r="AD25" s="180"/>
      <c r="AE25" s="180"/>
      <c r="AF25" s="180"/>
      <c r="AG25" s="180"/>
      <c r="AH25" s="180"/>
      <c r="AI25" s="180"/>
    </row>
    <row r="26">
      <c r="A26" s="190" t="str">
        <f>'試算-SLOT'!A27</f>
        <v>IDRO</v>
      </c>
      <c r="B26" s="190" t="str">
        <f>'試算-SLOT'!B27</f>
        <v>Rp</v>
      </c>
      <c r="C26" s="190" t="str">
        <f>'試算-SLOT'!C27</f>
        <v>印尼盧比</v>
      </c>
      <c r="D26" s="190" t="str">
        <f>IF('試算-SLOT'!D27=1,"",'試算-SLOT'!D27)</f>
        <v/>
      </c>
      <c r="E26" s="191">
        <v>5.0</v>
      </c>
      <c r="F26" s="190">
        <v>1.0</v>
      </c>
      <c r="G26" s="190">
        <v>2.0</v>
      </c>
      <c r="H26" s="190">
        <v>3.0</v>
      </c>
      <c r="I26" s="190">
        <v>5.0</v>
      </c>
      <c r="J26" s="190">
        <v>7.0</v>
      </c>
      <c r="K26" s="190">
        <v>8.0</v>
      </c>
      <c r="L26" s="190">
        <v>9.0</v>
      </c>
      <c r="M26" s="190">
        <v>10.0</v>
      </c>
      <c r="N26" s="190">
        <v>11.0</v>
      </c>
      <c r="O26" s="190">
        <v>13.0</v>
      </c>
      <c r="P26" s="190">
        <v>14.0</v>
      </c>
      <c r="Q26" s="190">
        <v>15.0</v>
      </c>
      <c r="R26" s="190">
        <v>16.0</v>
      </c>
      <c r="S26" s="190">
        <v>18.0</v>
      </c>
      <c r="T26" s="190">
        <v>20.0</v>
      </c>
      <c r="U26" s="190">
        <v>21.0</v>
      </c>
      <c r="V26" s="190">
        <v>22.0</v>
      </c>
      <c r="W26" s="190">
        <v>23.0</v>
      </c>
      <c r="X26" s="190">
        <v>24.0</v>
      </c>
      <c r="Y26" s="190">
        <v>25.0</v>
      </c>
      <c r="Z26" s="192"/>
      <c r="AA26" s="68"/>
      <c r="AB26" s="193"/>
      <c r="AC26" s="180"/>
      <c r="AD26" s="180"/>
      <c r="AE26" s="180"/>
      <c r="AF26" s="180"/>
      <c r="AG26" s="180"/>
      <c r="AH26" s="180"/>
      <c r="AI26" s="180"/>
    </row>
    <row r="27">
      <c r="A27" s="194" t="str">
        <f>'試算-SLOT'!A28</f>
        <v>RUB</v>
      </c>
      <c r="B27" s="194" t="str">
        <f>'試算-SLOT'!B28</f>
        <v>₽</v>
      </c>
      <c r="C27" s="194" t="str">
        <f>'試算-SLOT'!C28</f>
        <v>盧布</v>
      </c>
      <c r="D27" s="194" t="str">
        <f>IF('試算-SLOT'!D28=1,"",'試算-SLOT'!D28)</f>
        <v/>
      </c>
      <c r="E27" s="195">
        <v>0.02</v>
      </c>
      <c r="F27" s="194">
        <v>1.0</v>
      </c>
      <c r="G27" s="194">
        <v>2.0</v>
      </c>
      <c r="H27" s="194">
        <v>3.0</v>
      </c>
      <c r="I27" s="194">
        <v>5.0</v>
      </c>
      <c r="J27" s="194">
        <v>7.0</v>
      </c>
      <c r="K27" s="194">
        <v>9.0</v>
      </c>
      <c r="L27" s="194">
        <v>11.0</v>
      </c>
      <c r="M27" s="194">
        <v>13.0</v>
      </c>
      <c r="N27" s="194">
        <v>14.0</v>
      </c>
      <c r="O27" s="194">
        <v>15.0</v>
      </c>
      <c r="P27" s="194">
        <v>16.0</v>
      </c>
      <c r="Q27" s="194">
        <v>18.0</v>
      </c>
      <c r="R27" s="194">
        <v>20.0</v>
      </c>
      <c r="S27" s="194">
        <v>21.0</v>
      </c>
      <c r="T27" s="194">
        <v>22.0</v>
      </c>
      <c r="U27" s="194">
        <v>23.0</v>
      </c>
      <c r="V27" s="194">
        <v>24.0</v>
      </c>
      <c r="W27" s="194">
        <v>25.0</v>
      </c>
      <c r="X27" s="194">
        <v>26.0</v>
      </c>
      <c r="Y27" s="194">
        <v>28.0</v>
      </c>
      <c r="Z27" s="192"/>
      <c r="AA27" s="68"/>
      <c r="AB27" s="193"/>
      <c r="AC27" s="180"/>
      <c r="AD27" s="180"/>
      <c r="AE27" s="180"/>
      <c r="AF27" s="180"/>
      <c r="AG27" s="180"/>
      <c r="AH27" s="180"/>
      <c r="AI27" s="180"/>
    </row>
    <row r="28">
      <c r="A28" s="199" t="str">
        <f>'試算-SLOT'!A29</f>
        <v>LKR</v>
      </c>
      <c r="B28" s="199" t="str">
        <f>'試算-SLOT'!B29</f>
        <v>₨</v>
      </c>
      <c r="C28" s="199" t="str">
        <f>'試算-SLOT'!C29</f>
        <v>斯里蘭卡盧比</v>
      </c>
      <c r="D28" s="199" t="str">
        <f>IF('試算-SLOT'!D29=1,"",'試算-SLOT'!D29)</f>
        <v/>
      </c>
      <c r="E28" s="200">
        <v>0.05</v>
      </c>
      <c r="F28" s="199">
        <v>1.0</v>
      </c>
      <c r="G28" s="199">
        <v>2.0</v>
      </c>
      <c r="H28" s="199">
        <v>3.0</v>
      </c>
      <c r="I28" s="199">
        <v>7.0</v>
      </c>
      <c r="J28" s="199">
        <v>9.0</v>
      </c>
      <c r="K28" s="199">
        <v>11.0</v>
      </c>
      <c r="L28" s="199">
        <v>13.0</v>
      </c>
      <c r="M28" s="199">
        <v>14.0</v>
      </c>
      <c r="N28" s="199">
        <v>15.0</v>
      </c>
      <c r="O28" s="199">
        <v>16.0</v>
      </c>
      <c r="P28" s="199">
        <v>18.0</v>
      </c>
      <c r="Q28" s="199">
        <v>20.0</v>
      </c>
      <c r="R28" s="199">
        <v>21.0</v>
      </c>
      <c r="S28" s="199">
        <v>22.0</v>
      </c>
      <c r="T28" s="199">
        <v>23.0</v>
      </c>
      <c r="U28" s="199">
        <v>24.0</v>
      </c>
      <c r="V28" s="199">
        <v>25.0</v>
      </c>
      <c r="W28" s="199">
        <v>26.0</v>
      </c>
      <c r="X28" s="199">
        <v>28.0</v>
      </c>
      <c r="Y28" s="201">
        <v>30.0</v>
      </c>
      <c r="Z28" s="192"/>
      <c r="AA28" s="68"/>
      <c r="AB28" s="193"/>
      <c r="AC28" s="180"/>
      <c r="AD28" s="180"/>
      <c r="AE28" s="180"/>
      <c r="AF28" s="180"/>
      <c r="AG28" s="180"/>
      <c r="AH28" s="180"/>
      <c r="AI28" s="180"/>
    </row>
    <row r="29">
      <c r="A29" s="199" t="str">
        <f>'試算-SLOT'!A30</f>
        <v>ETB</v>
      </c>
      <c r="B29" s="199" t="str">
        <f>'試算-SLOT'!B30</f>
        <v>Br‎</v>
      </c>
      <c r="C29" s="199" t="str">
        <f>'試算-SLOT'!C30</f>
        <v>衣索比亞比爾</v>
      </c>
      <c r="D29" s="199" t="str">
        <f>IF('試算-SLOT'!D30=1,"",'試算-SLOT'!D30)</f>
        <v/>
      </c>
      <c r="E29" s="200">
        <v>0.01</v>
      </c>
      <c r="F29" s="199">
        <v>1.0</v>
      </c>
      <c r="G29" s="199">
        <v>2.0</v>
      </c>
      <c r="H29" s="199">
        <v>3.0</v>
      </c>
      <c r="I29" s="199">
        <v>7.0</v>
      </c>
      <c r="J29" s="199">
        <v>9.0</v>
      </c>
      <c r="K29" s="199">
        <v>11.0</v>
      </c>
      <c r="L29" s="199">
        <v>13.0</v>
      </c>
      <c r="M29" s="199">
        <v>14.0</v>
      </c>
      <c r="N29" s="199">
        <v>15.0</v>
      </c>
      <c r="O29" s="199">
        <v>16.0</v>
      </c>
      <c r="P29" s="199">
        <v>18.0</v>
      </c>
      <c r="Q29" s="199">
        <v>20.0</v>
      </c>
      <c r="R29" s="199">
        <v>21.0</v>
      </c>
      <c r="S29" s="199">
        <v>22.0</v>
      </c>
      <c r="T29" s="199">
        <v>23.0</v>
      </c>
      <c r="U29" s="199">
        <v>24.0</v>
      </c>
      <c r="V29" s="199">
        <v>25.0</v>
      </c>
      <c r="W29" s="199">
        <v>26.0</v>
      </c>
      <c r="X29" s="199">
        <v>28.0</v>
      </c>
      <c r="Y29" s="201">
        <v>30.0</v>
      </c>
      <c r="Z29" s="192"/>
      <c r="AA29" s="68"/>
      <c r="AB29" s="193"/>
      <c r="AC29" s="180"/>
      <c r="AD29" s="180"/>
      <c r="AE29" s="180"/>
      <c r="AF29" s="180"/>
      <c r="AG29" s="180"/>
      <c r="AH29" s="180"/>
      <c r="AI29" s="180"/>
    </row>
    <row r="30">
      <c r="A30" s="190" t="str">
        <f>'試算-SLOT'!A31</f>
        <v>UGX</v>
      </c>
      <c r="B30" s="190" t="str">
        <f>'試算-SLOT'!B31</f>
        <v>USh</v>
      </c>
      <c r="C30" s="190" t="str">
        <f>'試算-SLOT'!C31</f>
        <v>烏干達先令</v>
      </c>
      <c r="D30" s="190" t="str">
        <f>IF('試算-SLOT'!D31=1,"",'試算-SLOT'!D31)</f>
        <v/>
      </c>
      <c r="E30" s="191">
        <v>1.0</v>
      </c>
      <c r="F30" s="190">
        <v>1.0</v>
      </c>
      <c r="G30" s="190">
        <v>2.0</v>
      </c>
      <c r="H30" s="190">
        <v>3.0</v>
      </c>
      <c r="I30" s="190">
        <v>5.0</v>
      </c>
      <c r="J30" s="190">
        <v>7.0</v>
      </c>
      <c r="K30" s="190">
        <v>8.0</v>
      </c>
      <c r="L30" s="190">
        <v>9.0</v>
      </c>
      <c r="M30" s="190">
        <v>10.0</v>
      </c>
      <c r="N30" s="190">
        <v>11.0</v>
      </c>
      <c r="O30" s="190">
        <v>13.0</v>
      </c>
      <c r="P30" s="190">
        <v>14.0</v>
      </c>
      <c r="Q30" s="190">
        <v>15.0</v>
      </c>
      <c r="R30" s="190">
        <v>16.0</v>
      </c>
      <c r="S30" s="190">
        <v>18.0</v>
      </c>
      <c r="T30" s="190">
        <v>20.0</v>
      </c>
      <c r="U30" s="190">
        <v>21.0</v>
      </c>
      <c r="V30" s="190">
        <v>22.0</v>
      </c>
      <c r="W30" s="190">
        <v>23.0</v>
      </c>
      <c r="X30" s="190">
        <v>24.0</v>
      </c>
      <c r="Y30" s="190">
        <v>25.0</v>
      </c>
      <c r="Z30" s="192"/>
      <c r="AA30" s="68"/>
      <c r="AB30" s="193"/>
      <c r="AC30" s="180"/>
      <c r="AD30" s="180"/>
      <c r="AE30" s="180"/>
      <c r="AF30" s="180"/>
      <c r="AG30" s="180"/>
      <c r="AH30" s="180"/>
      <c r="AI30" s="180"/>
    </row>
    <row r="31">
      <c r="A31" s="196" t="str">
        <f>'試算-SLOT'!A32</f>
        <v>EUR</v>
      </c>
      <c r="B31" s="196" t="str">
        <f>'試算-SLOT'!B32</f>
        <v>€</v>
      </c>
      <c r="C31" s="196" t="str">
        <f>'試算-SLOT'!C32</f>
        <v>歐元</v>
      </c>
      <c r="D31" s="196" t="str">
        <f>IF('試算-SLOT'!D32=1,"",'試算-SLOT'!D32)</f>
        <v/>
      </c>
      <c r="E31" s="197">
        <v>0.001</v>
      </c>
      <c r="F31" s="196">
        <v>1.0</v>
      </c>
      <c r="G31" s="196">
        <v>2.0</v>
      </c>
      <c r="H31" s="196">
        <v>3.0</v>
      </c>
      <c r="I31" s="196">
        <v>4.0</v>
      </c>
      <c r="J31" s="196">
        <v>5.0</v>
      </c>
      <c r="K31" s="196">
        <v>6.0</v>
      </c>
      <c r="L31" s="196">
        <v>7.0</v>
      </c>
      <c r="M31" s="196">
        <v>8.0</v>
      </c>
      <c r="N31" s="196">
        <v>9.0</v>
      </c>
      <c r="O31" s="196">
        <v>10.0</v>
      </c>
      <c r="P31" s="196">
        <v>11.0</v>
      </c>
      <c r="Q31" s="196">
        <v>12.0</v>
      </c>
      <c r="R31" s="196">
        <v>13.0</v>
      </c>
      <c r="S31" s="196">
        <v>14.0</v>
      </c>
      <c r="T31" s="196">
        <v>15.0</v>
      </c>
      <c r="U31" s="196">
        <v>16.0</v>
      </c>
      <c r="V31" s="196">
        <v>17.0</v>
      </c>
      <c r="W31" s="196">
        <v>18.0</v>
      </c>
      <c r="X31" s="196">
        <v>19.0</v>
      </c>
      <c r="Y31" s="198">
        <v>20.0</v>
      </c>
      <c r="Z31" s="192"/>
      <c r="AA31" s="68"/>
      <c r="AB31" s="193"/>
      <c r="AC31" s="180"/>
      <c r="AD31" s="180"/>
      <c r="AE31" s="180"/>
      <c r="AF31" s="180"/>
      <c r="AG31" s="180"/>
      <c r="AH31" s="180"/>
      <c r="AI31" s="180"/>
    </row>
    <row r="32">
      <c r="A32" s="190" t="str">
        <f>'試算-SLOT'!A33</f>
        <v>ARS</v>
      </c>
      <c r="B32" s="190" t="str">
        <f>'試算-SLOT'!B33</f>
        <v>$</v>
      </c>
      <c r="C32" s="190" t="str">
        <f>'試算-SLOT'!C33</f>
        <v>阿根廷披索</v>
      </c>
      <c r="D32" s="190" t="str">
        <f>IF('試算-SLOT'!D33=1,"",'試算-SLOT'!D33)</f>
        <v/>
      </c>
      <c r="E32" s="191">
        <v>0.2</v>
      </c>
      <c r="F32" s="190">
        <v>1.0</v>
      </c>
      <c r="G32" s="190">
        <v>2.0</v>
      </c>
      <c r="H32" s="190">
        <v>3.0</v>
      </c>
      <c r="I32" s="190">
        <v>5.0</v>
      </c>
      <c r="J32" s="190">
        <v>7.0</v>
      </c>
      <c r="K32" s="190">
        <v>8.0</v>
      </c>
      <c r="L32" s="190">
        <v>9.0</v>
      </c>
      <c r="M32" s="190">
        <v>10.0</v>
      </c>
      <c r="N32" s="190">
        <v>11.0</v>
      </c>
      <c r="O32" s="190">
        <v>13.0</v>
      </c>
      <c r="P32" s="190">
        <v>14.0</v>
      </c>
      <c r="Q32" s="190">
        <v>15.0</v>
      </c>
      <c r="R32" s="190">
        <v>16.0</v>
      </c>
      <c r="S32" s="190">
        <v>18.0</v>
      </c>
      <c r="T32" s="190">
        <v>20.0</v>
      </c>
      <c r="U32" s="190">
        <v>21.0</v>
      </c>
      <c r="V32" s="190">
        <v>22.0</v>
      </c>
      <c r="W32" s="190">
        <v>23.0</v>
      </c>
      <c r="X32" s="190">
        <v>24.0</v>
      </c>
      <c r="Y32" s="190">
        <v>25.0</v>
      </c>
      <c r="Z32" s="192"/>
      <c r="AA32" s="68"/>
      <c r="AB32" s="193"/>
      <c r="AC32" s="180"/>
      <c r="AD32" s="180"/>
      <c r="AE32" s="180"/>
      <c r="AF32" s="180"/>
      <c r="AG32" s="180"/>
      <c r="AH32" s="180"/>
      <c r="AI32" s="180"/>
    </row>
    <row r="33">
      <c r="A33" s="190" t="str">
        <f>'試算-SLOT'!A34</f>
        <v>NGN</v>
      </c>
      <c r="B33" s="190" t="str">
        <f>'試算-SLOT'!B34</f>
        <v>₦</v>
      </c>
      <c r="C33" s="190" t="str">
        <f>'試算-SLOT'!C34</f>
        <v>奈及利亞奈拉</v>
      </c>
      <c r="D33" s="190" t="str">
        <f>IF('試算-SLOT'!D34=1,"",'試算-SLOT'!D34)</f>
        <v/>
      </c>
      <c r="E33" s="191">
        <v>0.2</v>
      </c>
      <c r="F33" s="190">
        <v>1.0</v>
      </c>
      <c r="G33" s="190">
        <v>2.0</v>
      </c>
      <c r="H33" s="190">
        <v>3.0</v>
      </c>
      <c r="I33" s="190">
        <v>5.0</v>
      </c>
      <c r="J33" s="190">
        <v>7.0</v>
      </c>
      <c r="K33" s="190">
        <v>8.0</v>
      </c>
      <c r="L33" s="190">
        <v>9.0</v>
      </c>
      <c r="M33" s="190">
        <v>10.0</v>
      </c>
      <c r="N33" s="190">
        <v>11.0</v>
      </c>
      <c r="O33" s="190">
        <v>13.0</v>
      </c>
      <c r="P33" s="190">
        <v>14.0</v>
      </c>
      <c r="Q33" s="190">
        <v>15.0</v>
      </c>
      <c r="R33" s="190">
        <v>16.0</v>
      </c>
      <c r="S33" s="190">
        <v>18.0</v>
      </c>
      <c r="T33" s="190">
        <v>20.0</v>
      </c>
      <c r="U33" s="190">
        <v>21.0</v>
      </c>
      <c r="V33" s="190">
        <v>22.0</v>
      </c>
      <c r="W33" s="190">
        <v>23.0</v>
      </c>
      <c r="X33" s="190">
        <v>24.0</v>
      </c>
      <c r="Y33" s="190">
        <v>25.0</v>
      </c>
      <c r="Z33" s="192"/>
      <c r="AA33" s="68"/>
      <c r="AB33" s="193"/>
      <c r="AC33" s="180"/>
      <c r="AD33" s="180"/>
      <c r="AE33" s="180"/>
      <c r="AF33" s="180"/>
      <c r="AG33" s="180"/>
      <c r="AH33" s="180"/>
      <c r="AI33" s="180"/>
    </row>
    <row r="34">
      <c r="A34" s="190" t="str">
        <f>'試算-SLOT'!A35</f>
        <v>KES</v>
      </c>
      <c r="B34" s="190" t="str">
        <f>'試算-SLOT'!B35</f>
        <v>KSh</v>
      </c>
      <c r="C34" s="190" t="str">
        <f>'試算-SLOT'!C35</f>
        <v>肯亞先令</v>
      </c>
      <c r="D34" s="190" t="str">
        <f>IF('試算-SLOT'!D35=1,"",'試算-SLOT'!D35)</f>
        <v/>
      </c>
      <c r="E34" s="191">
        <v>0.05</v>
      </c>
      <c r="F34" s="190">
        <v>1.0</v>
      </c>
      <c r="G34" s="190">
        <v>2.0</v>
      </c>
      <c r="H34" s="190">
        <v>3.0</v>
      </c>
      <c r="I34" s="190">
        <v>5.0</v>
      </c>
      <c r="J34" s="190">
        <v>7.0</v>
      </c>
      <c r="K34" s="190">
        <v>8.0</v>
      </c>
      <c r="L34" s="190">
        <v>9.0</v>
      </c>
      <c r="M34" s="190">
        <v>10.0</v>
      </c>
      <c r="N34" s="190">
        <v>11.0</v>
      </c>
      <c r="O34" s="190">
        <v>13.0</v>
      </c>
      <c r="P34" s="190">
        <v>14.0</v>
      </c>
      <c r="Q34" s="190">
        <v>15.0</v>
      </c>
      <c r="R34" s="190">
        <v>16.0</v>
      </c>
      <c r="S34" s="190">
        <v>18.0</v>
      </c>
      <c r="T34" s="190">
        <v>20.0</v>
      </c>
      <c r="U34" s="190">
        <v>21.0</v>
      </c>
      <c r="V34" s="190">
        <v>22.0</v>
      </c>
      <c r="W34" s="190">
        <v>23.0</v>
      </c>
      <c r="X34" s="190">
        <v>24.0</v>
      </c>
      <c r="Y34" s="190">
        <v>25.0</v>
      </c>
      <c r="Z34" s="192"/>
      <c r="AA34" s="68"/>
      <c r="AB34" s="193"/>
      <c r="AC34" s="180"/>
      <c r="AD34" s="180"/>
      <c r="AE34" s="180"/>
      <c r="AF34" s="180"/>
      <c r="AG34" s="180"/>
      <c r="AH34" s="180"/>
      <c r="AI34" s="180"/>
    </row>
    <row r="35">
      <c r="A35" s="190" t="str">
        <f>'試算-SLOT'!A36</f>
        <v>ZAR</v>
      </c>
      <c r="B35" s="190" t="str">
        <f>'試算-SLOT'!B36</f>
        <v>R</v>
      </c>
      <c r="C35" s="190" t="str">
        <f>'試算-SLOT'!C36</f>
        <v>南非鍰</v>
      </c>
      <c r="D35" s="190" t="str">
        <f>IF('試算-SLOT'!D36=1,"",'試算-SLOT'!D36)</f>
        <v/>
      </c>
      <c r="E35" s="191">
        <v>0.005</v>
      </c>
      <c r="F35" s="190">
        <v>1.0</v>
      </c>
      <c r="G35" s="190">
        <v>2.0</v>
      </c>
      <c r="H35" s="190">
        <v>3.0</v>
      </c>
      <c r="I35" s="190">
        <v>5.0</v>
      </c>
      <c r="J35" s="190">
        <v>7.0</v>
      </c>
      <c r="K35" s="190">
        <v>8.0</v>
      </c>
      <c r="L35" s="190">
        <v>9.0</v>
      </c>
      <c r="M35" s="190">
        <v>10.0</v>
      </c>
      <c r="N35" s="190">
        <v>11.0</v>
      </c>
      <c r="O35" s="190">
        <v>13.0</v>
      </c>
      <c r="P35" s="190">
        <v>14.0</v>
      </c>
      <c r="Q35" s="190">
        <v>15.0</v>
      </c>
      <c r="R35" s="190">
        <v>16.0</v>
      </c>
      <c r="S35" s="190">
        <v>18.0</v>
      </c>
      <c r="T35" s="190">
        <v>20.0</v>
      </c>
      <c r="U35" s="190">
        <v>21.0</v>
      </c>
      <c r="V35" s="190">
        <v>22.0</v>
      </c>
      <c r="W35" s="190">
        <v>23.0</v>
      </c>
      <c r="X35" s="190">
        <v>24.0</v>
      </c>
      <c r="Y35" s="190">
        <v>25.0</v>
      </c>
      <c r="Z35" s="192"/>
      <c r="AA35" s="69"/>
      <c r="AB35" s="193"/>
      <c r="AC35" s="180"/>
      <c r="AD35" s="180"/>
      <c r="AE35" s="180"/>
      <c r="AF35" s="180"/>
      <c r="AG35" s="180"/>
      <c r="AH35" s="180"/>
      <c r="AI35" s="180"/>
    </row>
    <row r="36">
      <c r="A36" s="199" t="str">
        <f>'試算-SLOT'!A37</f>
        <v>TRY</v>
      </c>
      <c r="B36" s="199" t="str">
        <f>'試算-SLOT'!B37</f>
        <v>₺</v>
      </c>
      <c r="C36" s="199" t="str">
        <f>'試算-SLOT'!C37</f>
        <v>土耳其里拉</v>
      </c>
      <c r="D36" s="199" t="str">
        <f>IF('試算-SLOT'!D37=1,"",'試算-SLOT'!D37)</f>
        <v/>
      </c>
      <c r="E36" s="200">
        <v>0.005</v>
      </c>
      <c r="F36" s="199">
        <v>1.0</v>
      </c>
      <c r="G36" s="199">
        <v>2.0</v>
      </c>
      <c r="H36" s="199">
        <v>3.0</v>
      </c>
      <c r="I36" s="199">
        <v>7.0</v>
      </c>
      <c r="J36" s="199">
        <v>9.0</v>
      </c>
      <c r="K36" s="199">
        <v>11.0</v>
      </c>
      <c r="L36" s="199">
        <v>13.0</v>
      </c>
      <c r="M36" s="199">
        <v>14.0</v>
      </c>
      <c r="N36" s="199">
        <v>15.0</v>
      </c>
      <c r="O36" s="199">
        <v>16.0</v>
      </c>
      <c r="P36" s="199">
        <v>18.0</v>
      </c>
      <c r="Q36" s="199">
        <v>20.0</v>
      </c>
      <c r="R36" s="199">
        <v>21.0</v>
      </c>
      <c r="S36" s="199">
        <v>22.0</v>
      </c>
      <c r="T36" s="199">
        <v>23.0</v>
      </c>
      <c r="U36" s="199">
        <v>24.0</v>
      </c>
      <c r="V36" s="199">
        <v>25.0</v>
      </c>
      <c r="W36" s="199">
        <v>26.0</v>
      </c>
      <c r="X36" s="199">
        <v>28.0</v>
      </c>
      <c r="Y36" s="201">
        <v>30.0</v>
      </c>
      <c r="Z36" s="204"/>
      <c r="AA36" s="180"/>
      <c r="AB36" s="193"/>
      <c r="AC36" s="180"/>
      <c r="AD36" s="180"/>
      <c r="AE36" s="180"/>
      <c r="AF36" s="180"/>
      <c r="AG36" s="180"/>
      <c r="AH36" s="180"/>
      <c r="AI36" s="180"/>
    </row>
    <row r="37">
      <c r="A37" s="196" t="str">
        <f>'試算-SLOT'!A38</f>
        <v>GBP</v>
      </c>
      <c r="B37" s="196" t="str">
        <f>'試算-SLOT'!B38</f>
        <v>£</v>
      </c>
      <c r="C37" s="196" t="str">
        <f>'試算-SLOT'!C38</f>
        <v>英鎊</v>
      </c>
      <c r="D37" s="196" t="str">
        <f>IF('試算-SLOT'!D38=1,"",'試算-SLOT'!D38)</f>
        <v/>
      </c>
      <c r="E37" s="197">
        <v>0.001</v>
      </c>
      <c r="F37" s="196">
        <v>1.0</v>
      </c>
      <c r="G37" s="196">
        <v>2.0</v>
      </c>
      <c r="H37" s="196">
        <v>3.0</v>
      </c>
      <c r="I37" s="196">
        <v>4.0</v>
      </c>
      <c r="J37" s="196">
        <v>5.0</v>
      </c>
      <c r="K37" s="196">
        <v>6.0</v>
      </c>
      <c r="L37" s="196">
        <v>7.0</v>
      </c>
      <c r="M37" s="196">
        <v>8.0</v>
      </c>
      <c r="N37" s="196">
        <v>9.0</v>
      </c>
      <c r="O37" s="196">
        <v>10.0</v>
      </c>
      <c r="P37" s="196">
        <v>11.0</v>
      </c>
      <c r="Q37" s="196">
        <v>12.0</v>
      </c>
      <c r="R37" s="196">
        <v>13.0</v>
      </c>
      <c r="S37" s="196">
        <v>14.0</v>
      </c>
      <c r="T37" s="196">
        <v>15.0</v>
      </c>
      <c r="U37" s="196">
        <v>16.0</v>
      </c>
      <c r="V37" s="196">
        <v>17.0</v>
      </c>
      <c r="W37" s="196">
        <v>18.0</v>
      </c>
      <c r="X37" s="196">
        <v>19.0</v>
      </c>
      <c r="Y37" s="198">
        <v>20.0</v>
      </c>
      <c r="Z37" s="204"/>
      <c r="AA37" s="180"/>
      <c r="AB37" s="193"/>
      <c r="AC37" s="180"/>
      <c r="AD37" s="180"/>
      <c r="AE37" s="180"/>
      <c r="AF37" s="180"/>
      <c r="AG37" s="180"/>
      <c r="AH37" s="180"/>
      <c r="AI37" s="180"/>
    </row>
    <row r="38">
      <c r="A38" s="199" t="str">
        <f>'試算-SLOT'!A39</f>
        <v>NPR</v>
      </c>
      <c r="B38" s="199" t="str">
        <f>'試算-SLOT'!B39</f>
        <v>रू</v>
      </c>
      <c r="C38" s="199" t="str">
        <f>'試算-SLOT'!C39</f>
        <v>尼泊爾盧比</v>
      </c>
      <c r="D38" s="199" t="str">
        <f>IF('試算-SLOT'!D39=1,"",'試算-SLOT'!D39)</f>
        <v/>
      </c>
      <c r="E38" s="200">
        <v>0.02</v>
      </c>
      <c r="F38" s="199">
        <v>1.0</v>
      </c>
      <c r="G38" s="199">
        <v>2.0</v>
      </c>
      <c r="H38" s="199">
        <v>3.0</v>
      </c>
      <c r="I38" s="199">
        <v>7.0</v>
      </c>
      <c r="J38" s="199">
        <v>9.0</v>
      </c>
      <c r="K38" s="199">
        <v>11.0</v>
      </c>
      <c r="L38" s="199">
        <v>13.0</v>
      </c>
      <c r="M38" s="199">
        <v>14.0</v>
      </c>
      <c r="N38" s="199">
        <v>15.0</v>
      </c>
      <c r="O38" s="199">
        <v>16.0</v>
      </c>
      <c r="P38" s="199">
        <v>18.0</v>
      </c>
      <c r="Q38" s="199">
        <v>20.0</v>
      </c>
      <c r="R38" s="199">
        <v>21.0</v>
      </c>
      <c r="S38" s="199">
        <v>22.0</v>
      </c>
      <c r="T38" s="199">
        <v>23.0</v>
      </c>
      <c r="U38" s="199">
        <v>24.0</v>
      </c>
      <c r="V38" s="199">
        <v>25.0</v>
      </c>
      <c r="W38" s="199">
        <v>26.0</v>
      </c>
      <c r="X38" s="199">
        <v>28.0</v>
      </c>
      <c r="Y38" s="201">
        <v>30.0</v>
      </c>
      <c r="Z38" s="204"/>
      <c r="AA38" s="180"/>
      <c r="AB38" s="193"/>
      <c r="AC38" s="180"/>
      <c r="AD38" s="180"/>
      <c r="AE38" s="180"/>
      <c r="AF38" s="180"/>
      <c r="AG38" s="180"/>
      <c r="AH38" s="180"/>
      <c r="AI38" s="180"/>
    </row>
    <row r="39">
      <c r="A39" s="196" t="str">
        <f>'試算-SLOT'!A40</f>
        <v>CHF</v>
      </c>
      <c r="B39" s="196" t="str">
        <f>'試算-SLOT'!B40</f>
        <v>CHF</v>
      </c>
      <c r="C39" s="196" t="str">
        <f>'試算-SLOT'!C40</f>
        <v>瑞士法郎</v>
      </c>
      <c r="D39" s="196" t="str">
        <f>IF('試算-SLOT'!D40=1,"",'試算-SLOT'!D40)</f>
        <v/>
      </c>
      <c r="E39" s="197">
        <v>0.001</v>
      </c>
      <c r="F39" s="196">
        <v>1.0</v>
      </c>
      <c r="G39" s="196">
        <v>2.0</v>
      </c>
      <c r="H39" s="196">
        <v>3.0</v>
      </c>
      <c r="I39" s="196">
        <v>4.0</v>
      </c>
      <c r="J39" s="196">
        <v>5.0</v>
      </c>
      <c r="K39" s="196">
        <v>6.0</v>
      </c>
      <c r="L39" s="196">
        <v>7.0</v>
      </c>
      <c r="M39" s="196">
        <v>8.0</v>
      </c>
      <c r="N39" s="196">
        <v>9.0</v>
      </c>
      <c r="O39" s="196">
        <v>10.0</v>
      </c>
      <c r="P39" s="196">
        <v>11.0</v>
      </c>
      <c r="Q39" s="196">
        <v>12.0</v>
      </c>
      <c r="R39" s="196">
        <v>13.0</v>
      </c>
      <c r="S39" s="196">
        <v>14.0</v>
      </c>
      <c r="T39" s="196">
        <v>15.0</v>
      </c>
      <c r="U39" s="196">
        <v>16.0</v>
      </c>
      <c r="V39" s="196">
        <v>17.0</v>
      </c>
      <c r="W39" s="196">
        <v>18.0</v>
      </c>
      <c r="X39" s="196">
        <v>19.0</v>
      </c>
      <c r="Y39" s="198">
        <v>20.0</v>
      </c>
      <c r="Z39" s="204"/>
      <c r="AA39" s="180"/>
      <c r="AB39" s="193"/>
      <c r="AC39" s="180"/>
      <c r="AD39" s="180"/>
      <c r="AE39" s="180"/>
      <c r="AF39" s="180"/>
      <c r="AG39" s="180"/>
      <c r="AH39" s="180"/>
      <c r="AI39" s="180"/>
    </row>
    <row r="40">
      <c r="A40" s="196" t="str">
        <f>'試算-SLOT'!A41</f>
        <v>CAD</v>
      </c>
      <c r="B40" s="196" t="str">
        <f>'試算-SLOT'!B41</f>
        <v>$</v>
      </c>
      <c r="C40" s="196" t="str">
        <f>'試算-SLOT'!C41</f>
        <v>加幣</v>
      </c>
      <c r="D40" s="196" t="str">
        <f>IF('試算-SLOT'!D41=1,"",'試算-SLOT'!D41)</f>
        <v/>
      </c>
      <c r="E40" s="197">
        <v>0.001</v>
      </c>
      <c r="F40" s="196">
        <v>1.0</v>
      </c>
      <c r="G40" s="196">
        <v>2.0</v>
      </c>
      <c r="H40" s="196">
        <v>3.0</v>
      </c>
      <c r="I40" s="196">
        <v>4.0</v>
      </c>
      <c r="J40" s="196">
        <v>5.0</v>
      </c>
      <c r="K40" s="196">
        <v>6.0</v>
      </c>
      <c r="L40" s="196">
        <v>7.0</v>
      </c>
      <c r="M40" s="196">
        <v>8.0</v>
      </c>
      <c r="N40" s="196">
        <v>9.0</v>
      </c>
      <c r="O40" s="196">
        <v>10.0</v>
      </c>
      <c r="P40" s="196">
        <v>11.0</v>
      </c>
      <c r="Q40" s="196">
        <v>12.0</v>
      </c>
      <c r="R40" s="196">
        <v>13.0</v>
      </c>
      <c r="S40" s="196">
        <v>14.0</v>
      </c>
      <c r="T40" s="196">
        <v>15.0</v>
      </c>
      <c r="U40" s="196">
        <v>16.0</v>
      </c>
      <c r="V40" s="196">
        <v>17.0</v>
      </c>
      <c r="W40" s="196">
        <v>18.0</v>
      </c>
      <c r="X40" s="196">
        <v>19.0</v>
      </c>
      <c r="Y40" s="198">
        <v>20.0</v>
      </c>
      <c r="Z40" s="204"/>
      <c r="AA40" s="180"/>
      <c r="AB40" s="193"/>
      <c r="AC40" s="180"/>
      <c r="AD40" s="180"/>
      <c r="AE40" s="180"/>
      <c r="AF40" s="180"/>
      <c r="AG40" s="180"/>
      <c r="AH40" s="180"/>
      <c r="AI40" s="180"/>
    </row>
    <row r="41">
      <c r="A41" s="190" t="str">
        <f>'試算-SLOT'!A42</f>
        <v>PEN</v>
      </c>
      <c r="B41" s="190" t="str">
        <f>'試算-SLOT'!B42</f>
        <v>PEN</v>
      </c>
      <c r="C41" s="190" t="str">
        <f>'試算-SLOT'!C42</f>
        <v>秘魯新索爾</v>
      </c>
      <c r="D41" s="190" t="str">
        <f>IF('試算-SLOT'!D42=1,"",'試算-SLOT'!D42)</f>
        <v/>
      </c>
      <c r="E41" s="191">
        <v>0.001</v>
      </c>
      <c r="F41" s="190">
        <v>1.0</v>
      </c>
      <c r="G41" s="190">
        <v>2.0</v>
      </c>
      <c r="H41" s="190">
        <v>3.0</v>
      </c>
      <c r="I41" s="190">
        <v>5.0</v>
      </c>
      <c r="J41" s="190">
        <v>7.0</v>
      </c>
      <c r="K41" s="190">
        <v>8.0</v>
      </c>
      <c r="L41" s="190">
        <v>9.0</v>
      </c>
      <c r="M41" s="190">
        <v>10.0</v>
      </c>
      <c r="N41" s="190">
        <v>11.0</v>
      </c>
      <c r="O41" s="190">
        <v>13.0</v>
      </c>
      <c r="P41" s="190">
        <v>14.0</v>
      </c>
      <c r="Q41" s="190">
        <v>15.0</v>
      </c>
      <c r="R41" s="190">
        <v>16.0</v>
      </c>
      <c r="S41" s="190">
        <v>18.0</v>
      </c>
      <c r="T41" s="190">
        <v>20.0</v>
      </c>
      <c r="U41" s="190">
        <v>21.0</v>
      </c>
      <c r="V41" s="190">
        <v>22.0</v>
      </c>
      <c r="W41" s="190">
        <v>23.0</v>
      </c>
      <c r="X41" s="190">
        <v>24.0</v>
      </c>
      <c r="Y41" s="190">
        <v>25.0</v>
      </c>
      <c r="Z41" s="204"/>
      <c r="AA41" s="180"/>
      <c r="AB41" s="193"/>
      <c r="AC41" s="180"/>
      <c r="AD41" s="180"/>
      <c r="AE41" s="180"/>
      <c r="AF41" s="180"/>
      <c r="AG41" s="180"/>
      <c r="AH41" s="180"/>
      <c r="AI41" s="180"/>
    </row>
    <row r="42">
      <c r="A42" s="190" t="str">
        <f>'試算-SLOT'!A43</f>
        <v>AED</v>
      </c>
      <c r="B42" s="190" t="str">
        <f>'試算-SLOT'!B43</f>
        <v>AED</v>
      </c>
      <c r="C42" s="190" t="str">
        <f>'試算-SLOT'!C43</f>
        <v>阿聯迪拉姆</v>
      </c>
      <c r="D42" s="190" t="str">
        <f>IF('試算-SLOT'!D43=1,"",'試算-SLOT'!D43)</f>
        <v/>
      </c>
      <c r="E42" s="191">
        <v>0.001</v>
      </c>
      <c r="F42" s="190">
        <v>1.0</v>
      </c>
      <c r="G42" s="190">
        <v>2.0</v>
      </c>
      <c r="H42" s="190">
        <v>3.0</v>
      </c>
      <c r="I42" s="190">
        <v>5.0</v>
      </c>
      <c r="J42" s="190">
        <v>7.0</v>
      </c>
      <c r="K42" s="190">
        <v>8.0</v>
      </c>
      <c r="L42" s="190">
        <v>9.0</v>
      </c>
      <c r="M42" s="190">
        <v>10.0</v>
      </c>
      <c r="N42" s="190">
        <v>11.0</v>
      </c>
      <c r="O42" s="190">
        <v>13.0</v>
      </c>
      <c r="P42" s="190">
        <v>14.0</v>
      </c>
      <c r="Q42" s="190">
        <v>15.0</v>
      </c>
      <c r="R42" s="190">
        <v>16.0</v>
      </c>
      <c r="S42" s="190">
        <v>18.0</v>
      </c>
      <c r="T42" s="190">
        <v>20.0</v>
      </c>
      <c r="U42" s="190">
        <v>21.0</v>
      </c>
      <c r="V42" s="190">
        <v>22.0</v>
      </c>
      <c r="W42" s="190">
        <v>23.0</v>
      </c>
      <c r="X42" s="190">
        <v>24.0</v>
      </c>
      <c r="Y42" s="190">
        <v>25.0</v>
      </c>
      <c r="Z42" s="204"/>
      <c r="AA42" s="180"/>
      <c r="AB42" s="193"/>
      <c r="AC42" s="180"/>
      <c r="AD42" s="180"/>
      <c r="AE42" s="180"/>
      <c r="AF42" s="180"/>
      <c r="AG42" s="180"/>
      <c r="AH42" s="180"/>
      <c r="AI42" s="180"/>
    </row>
    <row r="43">
      <c r="A43" s="196" t="str">
        <f>'試算-SLOT'!A44</f>
        <v>BND</v>
      </c>
      <c r="B43" s="196" t="str">
        <f>'試算-SLOT'!B44</f>
        <v>B$</v>
      </c>
      <c r="C43" s="196" t="str">
        <f>'試算-SLOT'!C44</f>
        <v>汶萊幣</v>
      </c>
      <c r="D43" s="196" t="str">
        <f>IF('試算-SLOT'!D44=1,"",'試算-SLOT'!D44)</f>
        <v/>
      </c>
      <c r="E43" s="197">
        <v>0.001</v>
      </c>
      <c r="F43" s="196">
        <v>1.0</v>
      </c>
      <c r="G43" s="196">
        <v>2.0</v>
      </c>
      <c r="H43" s="196">
        <v>3.0</v>
      </c>
      <c r="I43" s="196">
        <v>4.0</v>
      </c>
      <c r="J43" s="196">
        <v>5.0</v>
      </c>
      <c r="K43" s="196">
        <v>6.0</v>
      </c>
      <c r="L43" s="196">
        <v>7.0</v>
      </c>
      <c r="M43" s="196">
        <v>8.0</v>
      </c>
      <c r="N43" s="196">
        <v>9.0</v>
      </c>
      <c r="O43" s="196">
        <v>10.0</v>
      </c>
      <c r="P43" s="196">
        <v>11.0</v>
      </c>
      <c r="Q43" s="196">
        <v>12.0</v>
      </c>
      <c r="R43" s="196">
        <v>13.0</v>
      </c>
      <c r="S43" s="196">
        <v>14.0</v>
      </c>
      <c r="T43" s="196">
        <v>15.0</v>
      </c>
      <c r="U43" s="196">
        <v>16.0</v>
      </c>
      <c r="V43" s="196">
        <v>17.0</v>
      </c>
      <c r="W43" s="196">
        <v>18.0</v>
      </c>
      <c r="X43" s="196">
        <v>19.0</v>
      </c>
      <c r="Y43" s="198">
        <v>20.0</v>
      </c>
      <c r="Z43" s="204"/>
      <c r="AA43" s="180"/>
      <c r="AB43" s="193"/>
      <c r="AC43" s="180"/>
      <c r="AD43" s="180"/>
      <c r="AE43" s="180"/>
      <c r="AF43" s="180"/>
      <c r="AG43" s="180"/>
      <c r="AH43" s="180"/>
      <c r="AI43" s="180"/>
    </row>
    <row r="44">
      <c r="A44" s="190" t="str">
        <f>'試算-SLOT'!A45</f>
        <v>COP</v>
      </c>
      <c r="B44" s="190" t="str">
        <f>'試算-SLOT'!B45</f>
        <v>$</v>
      </c>
      <c r="C44" s="190" t="str">
        <f>'試算-SLOT'!C45</f>
        <v>哥倫比亞披索</v>
      </c>
      <c r="D44" s="190" t="str">
        <f>IF('試算-SLOT'!D45=1,"",'試算-SLOT'!D45)</f>
        <v/>
      </c>
      <c r="E44" s="191">
        <v>1.0</v>
      </c>
      <c r="F44" s="190">
        <v>1.0</v>
      </c>
      <c r="G44" s="190">
        <v>2.0</v>
      </c>
      <c r="H44" s="190">
        <v>3.0</v>
      </c>
      <c r="I44" s="190">
        <v>5.0</v>
      </c>
      <c r="J44" s="190">
        <v>7.0</v>
      </c>
      <c r="K44" s="190">
        <v>8.0</v>
      </c>
      <c r="L44" s="190">
        <v>9.0</v>
      </c>
      <c r="M44" s="190">
        <v>10.0</v>
      </c>
      <c r="N44" s="190">
        <v>11.0</v>
      </c>
      <c r="O44" s="190">
        <v>13.0</v>
      </c>
      <c r="P44" s="190">
        <v>14.0</v>
      </c>
      <c r="Q44" s="190">
        <v>15.0</v>
      </c>
      <c r="R44" s="190">
        <v>16.0</v>
      </c>
      <c r="S44" s="190">
        <v>18.0</v>
      </c>
      <c r="T44" s="190">
        <v>20.0</v>
      </c>
      <c r="U44" s="190">
        <v>21.0</v>
      </c>
      <c r="V44" s="190">
        <v>22.0</v>
      </c>
      <c r="W44" s="190">
        <v>23.0</v>
      </c>
      <c r="X44" s="190">
        <v>24.0</v>
      </c>
      <c r="Y44" s="190">
        <v>25.0</v>
      </c>
      <c r="Z44" s="204"/>
      <c r="AA44" s="180"/>
      <c r="AB44" s="193"/>
      <c r="AC44" s="180"/>
      <c r="AD44" s="180"/>
      <c r="AE44" s="180"/>
      <c r="AF44" s="180"/>
      <c r="AG44" s="180"/>
      <c r="AH44" s="180"/>
      <c r="AI44" s="180"/>
    </row>
    <row r="45">
      <c r="A45" s="194" t="str">
        <f>'試算-SLOT'!A46</f>
        <v>VNDO</v>
      </c>
      <c r="B45" s="194" t="str">
        <f>'試算-SLOT'!B46</f>
        <v>₫</v>
      </c>
      <c r="C45" s="194" t="str">
        <f>'試算-SLOT'!C46</f>
        <v>越南盾</v>
      </c>
      <c r="D45" s="194" t="str">
        <f>IF('試算-SLOT'!D46=1,"",'試算-SLOT'!D46)</f>
        <v/>
      </c>
      <c r="E45" s="195">
        <v>5.0</v>
      </c>
      <c r="F45" s="194">
        <v>1.0</v>
      </c>
      <c r="G45" s="194">
        <v>2.0</v>
      </c>
      <c r="H45" s="194">
        <v>3.0</v>
      </c>
      <c r="I45" s="194">
        <v>5.0</v>
      </c>
      <c r="J45" s="194">
        <v>7.0</v>
      </c>
      <c r="K45" s="194">
        <v>9.0</v>
      </c>
      <c r="L45" s="194">
        <v>11.0</v>
      </c>
      <c r="M45" s="194">
        <v>13.0</v>
      </c>
      <c r="N45" s="194">
        <v>14.0</v>
      </c>
      <c r="O45" s="194">
        <v>15.0</v>
      </c>
      <c r="P45" s="194">
        <v>16.0</v>
      </c>
      <c r="Q45" s="194">
        <v>18.0</v>
      </c>
      <c r="R45" s="194">
        <v>20.0</v>
      </c>
      <c r="S45" s="194">
        <v>21.0</v>
      </c>
      <c r="T45" s="194">
        <v>22.0</v>
      </c>
      <c r="U45" s="194">
        <v>23.0</v>
      </c>
      <c r="V45" s="194">
        <v>24.0</v>
      </c>
      <c r="W45" s="194">
        <v>25.0</v>
      </c>
      <c r="X45" s="194">
        <v>26.0</v>
      </c>
      <c r="Y45" s="194">
        <v>28.0</v>
      </c>
      <c r="Z45" s="204"/>
      <c r="AA45" s="180"/>
      <c r="AB45" s="193"/>
      <c r="AC45" s="180"/>
      <c r="AD45" s="180"/>
      <c r="AE45" s="180"/>
      <c r="AF45" s="180"/>
      <c r="AG45" s="180"/>
      <c r="AH45" s="180"/>
      <c r="AI45" s="180"/>
    </row>
    <row r="46">
      <c r="A46" s="194" t="str">
        <f>'試算-SLOT'!A47</f>
        <v>MYRC</v>
      </c>
      <c r="B46" s="194" t="str">
        <f>'試算-SLOT'!B47</f>
        <v>RM</v>
      </c>
      <c r="C46" s="194" t="str">
        <f>'試算-SLOT'!C47</f>
        <v>馬來西亞令吉</v>
      </c>
      <c r="D46" s="194">
        <f>IF('試算-SLOT'!D47=1,"",'試算-SLOT'!D47)</f>
        <v>0.01</v>
      </c>
      <c r="E46" s="195">
        <v>0.1</v>
      </c>
      <c r="F46" s="194">
        <v>1.0</v>
      </c>
      <c r="G46" s="194">
        <v>2.0</v>
      </c>
      <c r="H46" s="194">
        <v>3.0</v>
      </c>
      <c r="I46" s="194">
        <v>5.0</v>
      </c>
      <c r="J46" s="194">
        <v>7.0</v>
      </c>
      <c r="K46" s="194">
        <v>9.0</v>
      </c>
      <c r="L46" s="194">
        <v>11.0</v>
      </c>
      <c r="M46" s="194">
        <v>13.0</v>
      </c>
      <c r="N46" s="194">
        <v>14.0</v>
      </c>
      <c r="O46" s="194">
        <v>15.0</v>
      </c>
      <c r="P46" s="194">
        <v>16.0</v>
      </c>
      <c r="Q46" s="194">
        <v>18.0</v>
      </c>
      <c r="R46" s="194">
        <v>20.0</v>
      </c>
      <c r="S46" s="194">
        <v>21.0</v>
      </c>
      <c r="T46" s="194">
        <v>22.0</v>
      </c>
      <c r="U46" s="194">
        <v>23.0</v>
      </c>
      <c r="V46" s="194">
        <v>24.0</v>
      </c>
      <c r="W46" s="194">
        <v>25.0</v>
      </c>
      <c r="X46" s="194">
        <v>26.0</v>
      </c>
      <c r="Y46" s="194">
        <v>28.0</v>
      </c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</row>
    <row r="47">
      <c r="A47" s="205" t="str">
        <f>'試算-SLOT'!A48</f>
        <v>XSD</v>
      </c>
      <c r="B47" s="205" t="str">
        <f>'試算-SLOT'!B48</f>
        <v/>
      </c>
      <c r="C47" s="205" t="str">
        <f>'試算-SLOT'!C48</f>
        <v>星幣</v>
      </c>
      <c r="D47" s="205" t="str">
        <f>IF('試算-SLOT'!D48=1,"",'試算-SLOT'!D48)</f>
        <v/>
      </c>
      <c r="E47" s="206">
        <v>10.0</v>
      </c>
      <c r="F47" s="205">
        <v>1.0</v>
      </c>
      <c r="G47" s="205">
        <v>2.0</v>
      </c>
      <c r="H47" s="205">
        <v>3.0</v>
      </c>
      <c r="I47" s="205">
        <v>5.0</v>
      </c>
      <c r="J47" s="205">
        <v>7.0</v>
      </c>
      <c r="K47" s="205">
        <v>8.0</v>
      </c>
      <c r="L47" s="205">
        <v>9.0</v>
      </c>
      <c r="M47" s="205">
        <v>10.0</v>
      </c>
      <c r="N47" s="205">
        <v>11.0</v>
      </c>
      <c r="O47" s="205">
        <v>13.0</v>
      </c>
      <c r="P47" s="205">
        <v>14.0</v>
      </c>
      <c r="Q47" s="205">
        <v>15.0</v>
      </c>
      <c r="R47" s="205">
        <v>16.0</v>
      </c>
      <c r="S47" s="205">
        <v>18.0</v>
      </c>
      <c r="T47" s="205">
        <v>20.0</v>
      </c>
      <c r="U47" s="205">
        <v>21.0</v>
      </c>
      <c r="V47" s="205">
        <v>22.0</v>
      </c>
      <c r="W47" s="205">
        <v>23.0</v>
      </c>
      <c r="X47" s="205">
        <v>24.0</v>
      </c>
      <c r="Y47" s="205">
        <v>25.0</v>
      </c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</row>
    <row r="48">
      <c r="A48" s="194" t="str">
        <f>'試算-SLOT'!A49</f>
        <v>DZD</v>
      </c>
      <c r="B48" s="194" t="str">
        <f>'試算-SLOT'!B49</f>
        <v>دج</v>
      </c>
      <c r="C48" s="194" t="str">
        <f>'試算-SLOT'!C49</f>
        <v>阿爾及利亞第納爾</v>
      </c>
      <c r="D48" s="194" t="str">
        <f>IF('試算-SLOT'!D49=1,"",'試算-SLOT'!D49)</f>
        <v/>
      </c>
      <c r="E48" s="195">
        <v>0.02</v>
      </c>
      <c r="F48" s="194">
        <v>1.0</v>
      </c>
      <c r="G48" s="194">
        <v>2.0</v>
      </c>
      <c r="H48" s="194">
        <v>3.0</v>
      </c>
      <c r="I48" s="194">
        <v>5.0</v>
      </c>
      <c r="J48" s="194">
        <v>7.0</v>
      </c>
      <c r="K48" s="194">
        <v>9.0</v>
      </c>
      <c r="L48" s="194">
        <v>11.0</v>
      </c>
      <c r="M48" s="194">
        <v>13.0</v>
      </c>
      <c r="N48" s="194">
        <v>14.0</v>
      </c>
      <c r="O48" s="194">
        <v>15.0</v>
      </c>
      <c r="P48" s="194">
        <v>16.0</v>
      </c>
      <c r="Q48" s="194">
        <v>18.0</v>
      </c>
      <c r="R48" s="194">
        <v>20.0</v>
      </c>
      <c r="S48" s="194">
        <v>21.0</v>
      </c>
      <c r="T48" s="194">
        <v>22.0</v>
      </c>
      <c r="U48" s="194">
        <v>23.0</v>
      </c>
      <c r="V48" s="194">
        <v>24.0</v>
      </c>
      <c r="W48" s="194">
        <v>25.0</v>
      </c>
      <c r="X48" s="194">
        <v>26.0</v>
      </c>
      <c r="Y48" s="194">
        <v>28.0</v>
      </c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</row>
    <row r="49">
      <c r="A49" s="190" t="str">
        <f>'試算-SLOT'!A50</f>
        <v>MAD</v>
      </c>
      <c r="B49" s="190" t="str">
        <f>'試算-SLOT'!B50</f>
        <v>DH</v>
      </c>
      <c r="C49" s="190" t="str">
        <f>'試算-SLOT'!C50</f>
        <v>摩洛哥迪拉姆</v>
      </c>
      <c r="D49" s="190" t="str">
        <f>IF('試算-SLOT'!D50=1,"",'試算-SLOT'!D50)</f>
        <v/>
      </c>
      <c r="E49" s="191">
        <v>0.002</v>
      </c>
      <c r="F49" s="190">
        <v>1.0</v>
      </c>
      <c r="G49" s="190">
        <v>2.0</v>
      </c>
      <c r="H49" s="190">
        <v>3.0</v>
      </c>
      <c r="I49" s="190">
        <v>5.0</v>
      </c>
      <c r="J49" s="190">
        <v>7.0</v>
      </c>
      <c r="K49" s="190">
        <v>8.0</v>
      </c>
      <c r="L49" s="190">
        <v>9.0</v>
      </c>
      <c r="M49" s="190">
        <v>10.0</v>
      </c>
      <c r="N49" s="190">
        <v>11.0</v>
      </c>
      <c r="O49" s="190">
        <v>13.0</v>
      </c>
      <c r="P49" s="190">
        <v>14.0</v>
      </c>
      <c r="Q49" s="190">
        <v>15.0</v>
      </c>
      <c r="R49" s="190">
        <v>16.0</v>
      </c>
      <c r="S49" s="190">
        <v>18.0</v>
      </c>
      <c r="T49" s="190">
        <v>20.0</v>
      </c>
      <c r="U49" s="190">
        <v>21.0</v>
      </c>
      <c r="V49" s="190">
        <v>22.0</v>
      </c>
      <c r="W49" s="190">
        <v>23.0</v>
      </c>
      <c r="X49" s="190">
        <v>24.0</v>
      </c>
      <c r="Y49" s="190">
        <v>25.0</v>
      </c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</row>
    <row r="50">
      <c r="A50" s="190" t="str">
        <f>'試算-SLOT'!A51</f>
        <v>FRF</v>
      </c>
      <c r="B50" s="190" t="str">
        <f>'試算-SLOT'!B51</f>
        <v>₣</v>
      </c>
      <c r="C50" s="190" t="str">
        <f>'試算-SLOT'!C51</f>
        <v>法國法郎</v>
      </c>
      <c r="D50" s="190" t="str">
        <f>IF('試算-SLOT'!D51=1,"",'試算-SLOT'!D51)</f>
        <v/>
      </c>
      <c r="E50" s="191">
        <v>0.002</v>
      </c>
      <c r="F50" s="190">
        <v>1.0</v>
      </c>
      <c r="G50" s="190">
        <v>2.0</v>
      </c>
      <c r="H50" s="190">
        <v>3.0</v>
      </c>
      <c r="I50" s="190">
        <v>5.0</v>
      </c>
      <c r="J50" s="190">
        <v>7.0</v>
      </c>
      <c r="K50" s="190">
        <v>8.0</v>
      </c>
      <c r="L50" s="190">
        <v>9.0</v>
      </c>
      <c r="M50" s="190">
        <v>10.0</v>
      </c>
      <c r="N50" s="190">
        <v>11.0</v>
      </c>
      <c r="O50" s="190">
        <v>13.0</v>
      </c>
      <c r="P50" s="190">
        <v>14.0</v>
      </c>
      <c r="Q50" s="190">
        <v>15.0</v>
      </c>
      <c r="R50" s="190">
        <v>16.0</v>
      </c>
      <c r="S50" s="190">
        <v>18.0</v>
      </c>
      <c r="T50" s="190">
        <v>20.0</v>
      </c>
      <c r="U50" s="190">
        <v>21.0</v>
      </c>
      <c r="V50" s="190">
        <v>22.0</v>
      </c>
      <c r="W50" s="190">
        <v>23.0</v>
      </c>
      <c r="X50" s="190">
        <v>24.0</v>
      </c>
      <c r="Y50" s="190">
        <v>25.0</v>
      </c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</row>
    <row r="51">
      <c r="A51" s="190" t="str">
        <f>'試算-SLOT'!A52</f>
        <v>GHS</v>
      </c>
      <c r="B51" s="190" t="str">
        <f>'試算-SLOT'!B52</f>
        <v>Gp</v>
      </c>
      <c r="C51" s="190" t="str">
        <f>'試算-SLOT'!C52</f>
        <v>迦納塞地</v>
      </c>
      <c r="D51" s="190" t="str">
        <f>IF('試算-SLOT'!D52=1,"",'試算-SLOT'!D52)</f>
        <v/>
      </c>
      <c r="E51" s="191">
        <v>0.002</v>
      </c>
      <c r="F51" s="190">
        <v>1.0</v>
      </c>
      <c r="G51" s="190">
        <v>2.0</v>
      </c>
      <c r="H51" s="190">
        <v>3.0</v>
      </c>
      <c r="I51" s="190">
        <v>5.0</v>
      </c>
      <c r="J51" s="190">
        <v>7.0</v>
      </c>
      <c r="K51" s="190">
        <v>8.0</v>
      </c>
      <c r="L51" s="190">
        <v>9.0</v>
      </c>
      <c r="M51" s="190">
        <v>10.0</v>
      </c>
      <c r="N51" s="190">
        <v>11.0</v>
      </c>
      <c r="O51" s="190">
        <v>13.0</v>
      </c>
      <c r="P51" s="190">
        <v>14.0</v>
      </c>
      <c r="Q51" s="190">
        <v>15.0</v>
      </c>
      <c r="R51" s="190">
        <v>16.0</v>
      </c>
      <c r="S51" s="190">
        <v>18.0</v>
      </c>
      <c r="T51" s="190">
        <v>20.0</v>
      </c>
      <c r="U51" s="190">
        <v>21.0</v>
      </c>
      <c r="V51" s="190">
        <v>22.0</v>
      </c>
      <c r="W51" s="190">
        <v>23.0</v>
      </c>
      <c r="X51" s="190">
        <v>24.0</v>
      </c>
      <c r="Y51" s="190">
        <v>25.0</v>
      </c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</row>
    <row r="52">
      <c r="A52" s="196" t="str">
        <f>'試算-SLOT'!A53</f>
        <v>RCC</v>
      </c>
      <c r="B52" s="196" t="str">
        <f>'試算-SLOT'!B53</f>
        <v/>
      </c>
      <c r="C52" s="196" t="str">
        <f>'試算-SLOT'!C53</f>
        <v>RCC幣</v>
      </c>
      <c r="D52" s="196" t="str">
        <f>IF('試算-SLOT'!D53=1,"",'試算-SLOT'!D53)</f>
        <v/>
      </c>
      <c r="E52" s="197">
        <v>0.001</v>
      </c>
      <c r="F52" s="196">
        <v>1.0</v>
      </c>
      <c r="G52" s="196">
        <v>2.0</v>
      </c>
      <c r="H52" s="196">
        <v>3.0</v>
      </c>
      <c r="I52" s="196">
        <v>4.0</v>
      </c>
      <c r="J52" s="196">
        <v>5.0</v>
      </c>
      <c r="K52" s="196">
        <v>6.0</v>
      </c>
      <c r="L52" s="196">
        <v>7.0</v>
      </c>
      <c r="M52" s="196">
        <v>8.0</v>
      </c>
      <c r="N52" s="196">
        <v>9.0</v>
      </c>
      <c r="O52" s="196">
        <v>10.0</v>
      </c>
      <c r="P52" s="196">
        <v>11.0</v>
      </c>
      <c r="Q52" s="196">
        <v>12.0</v>
      </c>
      <c r="R52" s="196">
        <v>13.0</v>
      </c>
      <c r="S52" s="196">
        <v>14.0</v>
      </c>
      <c r="T52" s="196">
        <v>15.0</v>
      </c>
      <c r="U52" s="196">
        <v>16.0</v>
      </c>
      <c r="V52" s="196">
        <v>17.0</v>
      </c>
      <c r="W52" s="196">
        <v>18.0</v>
      </c>
      <c r="X52" s="196">
        <v>19.0</v>
      </c>
      <c r="Y52" s="198">
        <v>20.0</v>
      </c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</row>
    <row r="53">
      <c r="A53" s="190" t="str">
        <f>'試算-SLOT'!A54</f>
        <v>KBB</v>
      </c>
      <c r="B53" s="190" t="str">
        <f>'試算-SLOT'!B54</f>
        <v/>
      </c>
      <c r="C53" s="190" t="str">
        <f>'試算-SLOT'!C54</f>
        <v>爸幣</v>
      </c>
      <c r="D53" s="190" t="str">
        <f>IF('試算-SLOT'!D54=1,"",'試算-SLOT'!D54)</f>
        <v/>
      </c>
      <c r="E53" s="191">
        <v>1.0</v>
      </c>
      <c r="F53" s="190">
        <v>1.0</v>
      </c>
      <c r="G53" s="190">
        <v>2.0</v>
      </c>
      <c r="H53" s="190">
        <v>3.0</v>
      </c>
      <c r="I53" s="190">
        <v>5.0</v>
      </c>
      <c r="J53" s="190">
        <v>7.0</v>
      </c>
      <c r="K53" s="190">
        <v>8.0</v>
      </c>
      <c r="L53" s="190">
        <v>9.0</v>
      </c>
      <c r="M53" s="190">
        <v>10.0</v>
      </c>
      <c r="N53" s="190">
        <v>11.0</v>
      </c>
      <c r="O53" s="190">
        <v>13.0</v>
      </c>
      <c r="P53" s="190">
        <v>14.0</v>
      </c>
      <c r="Q53" s="190">
        <v>15.0</v>
      </c>
      <c r="R53" s="190">
        <v>16.0</v>
      </c>
      <c r="S53" s="190">
        <v>18.0</v>
      </c>
      <c r="T53" s="190">
        <v>20.0</v>
      </c>
      <c r="U53" s="190">
        <v>21.0</v>
      </c>
      <c r="V53" s="190">
        <v>22.0</v>
      </c>
      <c r="W53" s="190">
        <v>23.0</v>
      </c>
      <c r="X53" s="190">
        <v>24.0</v>
      </c>
      <c r="Y53" s="190">
        <v>25.0</v>
      </c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</row>
    <row r="54">
      <c r="A54" s="205" t="str">
        <f>'試算-SLOT'!A55</f>
        <v>XSMY</v>
      </c>
      <c r="B54" s="205" t="str">
        <f>'試算-SLOT'!B55</f>
        <v/>
      </c>
      <c r="C54" s="205" t="str">
        <f>'試算-SLOT'!C55</f>
        <v>星城馬來西亞</v>
      </c>
      <c r="D54" s="205" t="str">
        <f>IF('試算-SLOT'!D55=1,"",'試算-SLOT'!D55)</f>
        <v/>
      </c>
      <c r="E54" s="206">
        <v>10.0</v>
      </c>
      <c r="F54" s="205">
        <v>1.0</v>
      </c>
      <c r="G54" s="205">
        <v>2.0</v>
      </c>
      <c r="H54" s="205">
        <v>3.0</v>
      </c>
      <c r="I54" s="205">
        <v>5.0</v>
      </c>
      <c r="J54" s="205">
        <v>7.0</v>
      </c>
      <c r="K54" s="205">
        <v>8.0</v>
      </c>
      <c r="L54" s="205">
        <v>9.0</v>
      </c>
      <c r="M54" s="205">
        <v>10.0</v>
      </c>
      <c r="N54" s="205">
        <v>11.0</v>
      </c>
      <c r="O54" s="205">
        <v>13.0</v>
      </c>
      <c r="P54" s="205">
        <v>14.0</v>
      </c>
      <c r="Q54" s="205">
        <v>15.0</v>
      </c>
      <c r="R54" s="205">
        <v>16.0</v>
      </c>
      <c r="S54" s="205">
        <v>18.0</v>
      </c>
      <c r="T54" s="205">
        <v>20.0</v>
      </c>
      <c r="U54" s="205">
        <v>21.0</v>
      </c>
      <c r="V54" s="205">
        <v>22.0</v>
      </c>
      <c r="W54" s="205">
        <v>23.0</v>
      </c>
      <c r="X54" s="205">
        <v>24.0</v>
      </c>
      <c r="Y54" s="205">
        <v>25.0</v>
      </c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</row>
    <row r="55">
      <c r="A55" s="186"/>
      <c r="B55" s="186"/>
      <c r="C55" s="186"/>
      <c r="D55" s="186"/>
      <c r="E55" s="186"/>
      <c r="F55" s="186"/>
      <c r="G55" s="186"/>
      <c r="H55" s="186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186"/>
      <c r="AA55" s="208"/>
      <c r="AB55" s="180"/>
      <c r="AC55" s="180"/>
      <c r="AD55" s="180"/>
      <c r="AE55" s="180"/>
      <c r="AF55" s="180"/>
      <c r="AG55" s="180"/>
      <c r="AH55" s="180"/>
      <c r="AI55" s="180"/>
    </row>
    <row r="56">
      <c r="A56" s="187" t="str">
        <f t="shared" ref="A56:Y56" si="1">A4</f>
        <v>貨幣簡稱</v>
      </c>
      <c r="B56" s="188" t="str">
        <f t="shared" si="1"/>
        <v>貨幣符號</v>
      </c>
      <c r="C56" s="188" t="str">
        <f t="shared" si="1"/>
        <v>中文名稱</v>
      </c>
      <c r="D56" s="188" t="str">
        <f t="shared" si="1"/>
        <v>貨幣轉換</v>
      </c>
      <c r="E56" s="189" t="str">
        <f t="shared" si="1"/>
        <v>Denom</v>
      </c>
      <c r="F56" s="188" t="str">
        <f t="shared" si="1"/>
        <v>籌碼1</v>
      </c>
      <c r="G56" s="188" t="str">
        <f t="shared" si="1"/>
        <v>籌碼2</v>
      </c>
      <c r="H56" s="188" t="str">
        <f t="shared" si="1"/>
        <v>籌碼3</v>
      </c>
      <c r="I56" s="188" t="str">
        <f t="shared" si="1"/>
        <v>籌碼4</v>
      </c>
      <c r="J56" s="188" t="str">
        <f t="shared" si="1"/>
        <v>籌碼5</v>
      </c>
      <c r="K56" s="188" t="str">
        <f t="shared" si="1"/>
        <v>籌碼6</v>
      </c>
      <c r="L56" s="188" t="str">
        <f t="shared" si="1"/>
        <v>籌碼7</v>
      </c>
      <c r="M56" s="188" t="str">
        <f t="shared" si="1"/>
        <v>籌碼8</v>
      </c>
      <c r="N56" s="188" t="str">
        <f t="shared" si="1"/>
        <v>籌碼9</v>
      </c>
      <c r="O56" s="188" t="str">
        <f t="shared" si="1"/>
        <v>籌碼10</v>
      </c>
      <c r="P56" s="188" t="str">
        <f t="shared" si="1"/>
        <v>籌碼11</v>
      </c>
      <c r="Q56" s="188" t="str">
        <f t="shared" si="1"/>
        <v>籌碼12</v>
      </c>
      <c r="R56" s="188" t="str">
        <f t="shared" si="1"/>
        <v>籌碼13</v>
      </c>
      <c r="S56" s="188" t="str">
        <f t="shared" si="1"/>
        <v>籌碼14</v>
      </c>
      <c r="T56" s="188" t="str">
        <f t="shared" si="1"/>
        <v>籌碼15</v>
      </c>
      <c r="U56" s="188" t="str">
        <f t="shared" si="1"/>
        <v>籌碼16</v>
      </c>
      <c r="V56" s="188" t="str">
        <f t="shared" si="1"/>
        <v>籌碼17</v>
      </c>
      <c r="W56" s="188" t="str">
        <f t="shared" si="1"/>
        <v>籌碼18</v>
      </c>
      <c r="X56" s="188" t="str">
        <f t="shared" si="1"/>
        <v>籌碼19</v>
      </c>
      <c r="Y56" s="188" t="str">
        <f t="shared" si="1"/>
        <v>籌碼20</v>
      </c>
      <c r="Z56" s="209"/>
      <c r="AA56" s="63" t="s">
        <v>71</v>
      </c>
      <c r="AB56" s="180"/>
      <c r="AC56" s="180"/>
      <c r="AD56" s="180"/>
      <c r="AE56" s="180"/>
      <c r="AF56" s="180"/>
      <c r="AG56" s="180"/>
      <c r="AH56" s="180"/>
      <c r="AI56" s="180"/>
    </row>
    <row r="57">
      <c r="A57" s="190" t="str">
        <f t="shared" ref="A57:E57" si="2">A5</f>
        <v>THB</v>
      </c>
      <c r="B57" s="190" t="str">
        <f t="shared" si="2"/>
        <v>฿</v>
      </c>
      <c r="C57" s="190" t="str">
        <f t="shared" si="2"/>
        <v>泰銖</v>
      </c>
      <c r="D57" s="190" t="str">
        <f t="shared" si="2"/>
        <v/>
      </c>
      <c r="E57" s="191">
        <f t="shared" si="2"/>
        <v>0.01</v>
      </c>
      <c r="F57" s="191">
        <f t="shared" ref="F57:Y57" si="3">HLOOKUP(F5,$F$1:$AI$2,2) * $D$1 * $E57</f>
        <v>0.1</v>
      </c>
      <c r="G57" s="191">
        <f t="shared" si="3"/>
        <v>0.5</v>
      </c>
      <c r="H57" s="191">
        <f t="shared" si="3"/>
        <v>1</v>
      </c>
      <c r="I57" s="191">
        <f t="shared" si="3"/>
        <v>1.5</v>
      </c>
      <c r="J57" s="191">
        <f t="shared" si="3"/>
        <v>2</v>
      </c>
      <c r="K57" s="191">
        <f t="shared" si="3"/>
        <v>2.5</v>
      </c>
      <c r="L57" s="191">
        <f t="shared" si="3"/>
        <v>3</v>
      </c>
      <c r="M57" s="191">
        <f t="shared" si="3"/>
        <v>3.5</v>
      </c>
      <c r="N57" s="191">
        <f t="shared" si="3"/>
        <v>4</v>
      </c>
      <c r="O57" s="191">
        <f t="shared" si="3"/>
        <v>5</v>
      </c>
      <c r="P57" s="191">
        <f t="shared" si="3"/>
        <v>6</v>
      </c>
      <c r="Q57" s="191">
        <f t="shared" si="3"/>
        <v>7</v>
      </c>
      <c r="R57" s="191">
        <f t="shared" si="3"/>
        <v>8</v>
      </c>
      <c r="S57" s="191">
        <f t="shared" si="3"/>
        <v>10</v>
      </c>
      <c r="T57" s="191">
        <f t="shared" si="3"/>
        <v>15</v>
      </c>
      <c r="U57" s="191">
        <f t="shared" si="3"/>
        <v>20</v>
      </c>
      <c r="V57" s="191">
        <f t="shared" si="3"/>
        <v>25</v>
      </c>
      <c r="W57" s="191">
        <f t="shared" si="3"/>
        <v>30</v>
      </c>
      <c r="X57" s="191">
        <f t="shared" si="3"/>
        <v>40</v>
      </c>
      <c r="Y57" s="191">
        <f t="shared" si="3"/>
        <v>50</v>
      </c>
      <c r="Z57" s="209"/>
      <c r="AA57" s="68"/>
      <c r="AB57" s="180"/>
      <c r="AC57" s="180"/>
      <c r="AD57" s="180"/>
      <c r="AE57" s="180"/>
      <c r="AF57" s="180"/>
      <c r="AG57" s="180"/>
      <c r="AH57" s="180"/>
      <c r="AI57" s="180"/>
    </row>
    <row r="58">
      <c r="A58" s="190" t="str">
        <f t="shared" ref="A58:E58" si="4">A6</f>
        <v>HKD</v>
      </c>
      <c r="B58" s="190" t="str">
        <f t="shared" si="4"/>
        <v>HK$</v>
      </c>
      <c r="C58" s="190" t="str">
        <f t="shared" si="4"/>
        <v>港幣</v>
      </c>
      <c r="D58" s="190" t="str">
        <f t="shared" si="4"/>
        <v/>
      </c>
      <c r="E58" s="191">
        <f t="shared" si="4"/>
        <v>0.002</v>
      </c>
      <c r="F58" s="191">
        <f t="shared" ref="F58:Y58" si="5">HLOOKUP(F6,$F$1:$AI$2,2) * $D$1 * $E58</f>
        <v>0.02</v>
      </c>
      <c r="G58" s="191">
        <f t="shared" si="5"/>
        <v>0.1</v>
      </c>
      <c r="H58" s="191">
        <f t="shared" si="5"/>
        <v>0.2</v>
      </c>
      <c r="I58" s="191">
        <f t="shared" si="5"/>
        <v>0.3</v>
      </c>
      <c r="J58" s="191">
        <f t="shared" si="5"/>
        <v>0.4</v>
      </c>
      <c r="K58" s="191">
        <f t="shared" si="5"/>
        <v>0.5</v>
      </c>
      <c r="L58" s="191">
        <f t="shared" si="5"/>
        <v>0.6</v>
      </c>
      <c r="M58" s="191">
        <f t="shared" si="5"/>
        <v>0.7</v>
      </c>
      <c r="N58" s="191">
        <f t="shared" si="5"/>
        <v>0.8</v>
      </c>
      <c r="O58" s="191">
        <f t="shared" si="5"/>
        <v>1</v>
      </c>
      <c r="P58" s="191">
        <f t="shared" si="5"/>
        <v>1.2</v>
      </c>
      <c r="Q58" s="191">
        <f t="shared" si="5"/>
        <v>1.4</v>
      </c>
      <c r="R58" s="191">
        <f t="shared" si="5"/>
        <v>1.6</v>
      </c>
      <c r="S58" s="191">
        <f t="shared" si="5"/>
        <v>2</v>
      </c>
      <c r="T58" s="191">
        <f t="shared" si="5"/>
        <v>3</v>
      </c>
      <c r="U58" s="191">
        <f t="shared" si="5"/>
        <v>4</v>
      </c>
      <c r="V58" s="191">
        <f t="shared" si="5"/>
        <v>5</v>
      </c>
      <c r="W58" s="191">
        <f t="shared" si="5"/>
        <v>6</v>
      </c>
      <c r="X58" s="191">
        <f t="shared" si="5"/>
        <v>8</v>
      </c>
      <c r="Y58" s="191">
        <f t="shared" si="5"/>
        <v>10</v>
      </c>
      <c r="Z58" s="209"/>
      <c r="AA58" s="68"/>
      <c r="AB58" s="180"/>
      <c r="AC58" s="180"/>
      <c r="AD58" s="180"/>
      <c r="AE58" s="180"/>
      <c r="AF58" s="180"/>
      <c r="AG58" s="180"/>
      <c r="AH58" s="180"/>
      <c r="AI58" s="180"/>
    </row>
    <row r="59">
      <c r="A59" s="190" t="str">
        <f t="shared" ref="A59:E59" si="6">A7</f>
        <v>INR</v>
      </c>
      <c r="B59" s="190" t="str">
        <f t="shared" si="6"/>
        <v>₹</v>
      </c>
      <c r="C59" s="190" t="str">
        <f t="shared" si="6"/>
        <v>印度盧比</v>
      </c>
      <c r="D59" s="190" t="str">
        <f t="shared" si="6"/>
        <v/>
      </c>
      <c r="E59" s="191">
        <f t="shared" si="6"/>
        <v>0.02</v>
      </c>
      <c r="F59" s="191">
        <f t="shared" ref="F59:Y59" si="7">HLOOKUP(F7,$F$1:$AI$2,2) * $D$1 * $E59</f>
        <v>0.2</v>
      </c>
      <c r="G59" s="191">
        <f t="shared" si="7"/>
        <v>1</v>
      </c>
      <c r="H59" s="191">
        <f t="shared" si="7"/>
        <v>2</v>
      </c>
      <c r="I59" s="191">
        <f t="shared" si="7"/>
        <v>3</v>
      </c>
      <c r="J59" s="191">
        <f t="shared" si="7"/>
        <v>4</v>
      </c>
      <c r="K59" s="191">
        <f t="shared" si="7"/>
        <v>5</v>
      </c>
      <c r="L59" s="191">
        <f t="shared" si="7"/>
        <v>6</v>
      </c>
      <c r="M59" s="191">
        <f t="shared" si="7"/>
        <v>7</v>
      </c>
      <c r="N59" s="191">
        <f t="shared" si="7"/>
        <v>8</v>
      </c>
      <c r="O59" s="191">
        <f t="shared" si="7"/>
        <v>10</v>
      </c>
      <c r="P59" s="191">
        <f t="shared" si="7"/>
        <v>12</v>
      </c>
      <c r="Q59" s="191">
        <f t="shared" si="7"/>
        <v>14</v>
      </c>
      <c r="R59" s="191">
        <f t="shared" si="7"/>
        <v>16</v>
      </c>
      <c r="S59" s="191">
        <f t="shared" si="7"/>
        <v>20</v>
      </c>
      <c r="T59" s="191">
        <f t="shared" si="7"/>
        <v>30</v>
      </c>
      <c r="U59" s="191">
        <f t="shared" si="7"/>
        <v>40</v>
      </c>
      <c r="V59" s="191">
        <f t="shared" si="7"/>
        <v>50</v>
      </c>
      <c r="W59" s="191">
        <f t="shared" si="7"/>
        <v>60</v>
      </c>
      <c r="X59" s="191">
        <f t="shared" si="7"/>
        <v>80</v>
      </c>
      <c r="Y59" s="191">
        <f t="shared" si="7"/>
        <v>100</v>
      </c>
      <c r="Z59" s="209"/>
      <c r="AA59" s="68"/>
      <c r="AB59" s="180"/>
      <c r="AC59" s="180"/>
      <c r="AD59" s="180"/>
      <c r="AE59" s="180"/>
      <c r="AF59" s="180"/>
      <c r="AG59" s="180"/>
      <c r="AH59" s="180"/>
      <c r="AI59" s="180"/>
    </row>
    <row r="60">
      <c r="A60" s="190" t="str">
        <f t="shared" ref="A60:E60" si="8">A8</f>
        <v>IDR</v>
      </c>
      <c r="B60" s="190" t="str">
        <f t="shared" si="8"/>
        <v>Rp</v>
      </c>
      <c r="C60" s="190" t="str">
        <f t="shared" si="8"/>
        <v>印尼盧比(K)</v>
      </c>
      <c r="D60" s="190">
        <f t="shared" si="8"/>
        <v>1000</v>
      </c>
      <c r="E60" s="191">
        <f t="shared" si="8"/>
        <v>0.005</v>
      </c>
      <c r="F60" s="191">
        <f t="shared" ref="F60:Y60" si="9">HLOOKUP(F8,$F$1:$AI$2,2) * $D$1 * $E60</f>
        <v>0.05</v>
      </c>
      <c r="G60" s="191">
        <f t="shared" si="9"/>
        <v>0.25</v>
      </c>
      <c r="H60" s="191">
        <f t="shared" si="9"/>
        <v>0.5</v>
      </c>
      <c r="I60" s="191">
        <f t="shared" si="9"/>
        <v>0.75</v>
      </c>
      <c r="J60" s="191">
        <f t="shared" si="9"/>
        <v>1</v>
      </c>
      <c r="K60" s="191">
        <f t="shared" si="9"/>
        <v>1.25</v>
      </c>
      <c r="L60" s="191">
        <f t="shared" si="9"/>
        <v>1.5</v>
      </c>
      <c r="M60" s="191">
        <f t="shared" si="9"/>
        <v>1.75</v>
      </c>
      <c r="N60" s="191">
        <f t="shared" si="9"/>
        <v>2</v>
      </c>
      <c r="O60" s="191">
        <f t="shared" si="9"/>
        <v>2.5</v>
      </c>
      <c r="P60" s="191">
        <f t="shared" si="9"/>
        <v>3</v>
      </c>
      <c r="Q60" s="191">
        <f t="shared" si="9"/>
        <v>3.5</v>
      </c>
      <c r="R60" s="191">
        <f t="shared" si="9"/>
        <v>4</v>
      </c>
      <c r="S60" s="191">
        <f t="shared" si="9"/>
        <v>5</v>
      </c>
      <c r="T60" s="191">
        <f t="shared" si="9"/>
        <v>7.5</v>
      </c>
      <c r="U60" s="191">
        <f t="shared" si="9"/>
        <v>10</v>
      </c>
      <c r="V60" s="191">
        <f t="shared" si="9"/>
        <v>12.5</v>
      </c>
      <c r="W60" s="191">
        <f t="shared" si="9"/>
        <v>15</v>
      </c>
      <c r="X60" s="191">
        <f t="shared" si="9"/>
        <v>20</v>
      </c>
      <c r="Y60" s="191">
        <f t="shared" si="9"/>
        <v>25</v>
      </c>
      <c r="Z60" s="209"/>
      <c r="AA60" s="68"/>
      <c r="AB60" s="180"/>
      <c r="AC60" s="180"/>
      <c r="AD60" s="180"/>
      <c r="AE60" s="180"/>
      <c r="AF60" s="180"/>
      <c r="AG60" s="180"/>
      <c r="AH60" s="180"/>
      <c r="AI60" s="180"/>
    </row>
    <row r="61">
      <c r="A61" s="194" t="str">
        <f t="shared" ref="A61:E61" si="10">A9</f>
        <v>VND</v>
      </c>
      <c r="B61" s="194" t="str">
        <f t="shared" si="10"/>
        <v>₫</v>
      </c>
      <c r="C61" s="194" t="str">
        <f t="shared" si="10"/>
        <v>越南盾(K)</v>
      </c>
      <c r="D61" s="194">
        <f t="shared" si="10"/>
        <v>1000</v>
      </c>
      <c r="E61" s="195">
        <f t="shared" si="10"/>
        <v>0.005</v>
      </c>
      <c r="F61" s="195">
        <f t="shared" ref="F61:Y61" si="11">HLOOKUP(F9,$F$1:$AI$2,2) * $D$1 * $E61</f>
        <v>0.05</v>
      </c>
      <c r="G61" s="195">
        <f t="shared" si="11"/>
        <v>0.25</v>
      </c>
      <c r="H61" s="195">
        <f t="shared" si="11"/>
        <v>0.5</v>
      </c>
      <c r="I61" s="195">
        <f t="shared" si="11"/>
        <v>0.75</v>
      </c>
      <c r="J61" s="195">
        <f t="shared" si="11"/>
        <v>1</v>
      </c>
      <c r="K61" s="195">
        <f t="shared" si="11"/>
        <v>1.5</v>
      </c>
      <c r="L61" s="195">
        <f t="shared" si="11"/>
        <v>2</v>
      </c>
      <c r="M61" s="195">
        <f t="shared" si="11"/>
        <v>2.5</v>
      </c>
      <c r="N61" s="195">
        <f t="shared" si="11"/>
        <v>3</v>
      </c>
      <c r="O61" s="195">
        <f t="shared" si="11"/>
        <v>3.5</v>
      </c>
      <c r="P61" s="195">
        <f t="shared" si="11"/>
        <v>4</v>
      </c>
      <c r="Q61" s="195">
        <f t="shared" si="11"/>
        <v>5</v>
      </c>
      <c r="R61" s="195">
        <f t="shared" si="11"/>
        <v>7.5</v>
      </c>
      <c r="S61" s="195">
        <f t="shared" si="11"/>
        <v>10</v>
      </c>
      <c r="T61" s="195">
        <f t="shared" si="11"/>
        <v>12.5</v>
      </c>
      <c r="U61" s="195">
        <f t="shared" si="11"/>
        <v>15</v>
      </c>
      <c r="V61" s="195">
        <f t="shared" si="11"/>
        <v>20</v>
      </c>
      <c r="W61" s="195">
        <f t="shared" si="11"/>
        <v>25</v>
      </c>
      <c r="X61" s="195">
        <f t="shared" si="11"/>
        <v>30</v>
      </c>
      <c r="Y61" s="195">
        <f t="shared" si="11"/>
        <v>40</v>
      </c>
      <c r="Z61" s="209"/>
      <c r="AA61" s="68"/>
      <c r="AB61" s="180"/>
      <c r="AC61" s="180"/>
      <c r="AD61" s="180"/>
      <c r="AE61" s="180"/>
      <c r="AF61" s="180"/>
      <c r="AG61" s="180"/>
      <c r="AH61" s="180"/>
      <c r="AI61" s="180"/>
    </row>
    <row r="62">
      <c r="A62" s="194" t="str">
        <f t="shared" ref="A62:E62" si="12">A10</f>
        <v>MYR</v>
      </c>
      <c r="B62" s="194" t="str">
        <f t="shared" si="12"/>
        <v>RM</v>
      </c>
      <c r="C62" s="194" t="str">
        <f t="shared" si="12"/>
        <v>馬來西亞令吉</v>
      </c>
      <c r="D62" s="194" t="str">
        <f t="shared" si="12"/>
        <v/>
      </c>
      <c r="E62" s="195">
        <f t="shared" si="12"/>
        <v>0.001</v>
      </c>
      <c r="F62" s="195">
        <f t="shared" ref="F62:Y62" si="13">HLOOKUP(F10,$F$1:$AI$2,2) * $D$1 * $E62</f>
        <v>0.01</v>
      </c>
      <c r="G62" s="195">
        <f t="shared" si="13"/>
        <v>0.05</v>
      </c>
      <c r="H62" s="195">
        <f t="shared" si="13"/>
        <v>0.1</v>
      </c>
      <c r="I62" s="195">
        <f t="shared" si="13"/>
        <v>0.15</v>
      </c>
      <c r="J62" s="195">
        <f t="shared" si="13"/>
        <v>0.2</v>
      </c>
      <c r="K62" s="195">
        <f t="shared" si="13"/>
        <v>0.3</v>
      </c>
      <c r="L62" s="195">
        <f t="shared" si="13"/>
        <v>0.4</v>
      </c>
      <c r="M62" s="195">
        <f t="shared" si="13"/>
        <v>0.5</v>
      </c>
      <c r="N62" s="195">
        <f t="shared" si="13"/>
        <v>0.6</v>
      </c>
      <c r="O62" s="195">
        <f t="shared" si="13"/>
        <v>0.7</v>
      </c>
      <c r="P62" s="195">
        <f t="shared" si="13"/>
        <v>0.8</v>
      </c>
      <c r="Q62" s="195">
        <f t="shared" si="13"/>
        <v>1</v>
      </c>
      <c r="R62" s="195">
        <f t="shared" si="13"/>
        <v>1.5</v>
      </c>
      <c r="S62" s="195">
        <f t="shared" si="13"/>
        <v>2</v>
      </c>
      <c r="T62" s="195">
        <f t="shared" si="13"/>
        <v>2.5</v>
      </c>
      <c r="U62" s="195">
        <f t="shared" si="13"/>
        <v>3</v>
      </c>
      <c r="V62" s="195">
        <f t="shared" si="13"/>
        <v>4</v>
      </c>
      <c r="W62" s="195">
        <f t="shared" si="13"/>
        <v>5</v>
      </c>
      <c r="X62" s="195">
        <f t="shared" si="13"/>
        <v>6</v>
      </c>
      <c r="Y62" s="195">
        <f t="shared" si="13"/>
        <v>8</v>
      </c>
      <c r="Z62" s="209"/>
      <c r="AA62" s="68"/>
      <c r="AB62" s="180"/>
      <c r="AC62" s="180"/>
      <c r="AD62" s="180"/>
      <c r="AE62" s="180"/>
      <c r="AF62" s="180"/>
      <c r="AG62" s="180"/>
      <c r="AH62" s="180"/>
      <c r="AI62" s="180"/>
    </row>
    <row r="63">
      <c r="A63" s="196" t="str">
        <f t="shared" ref="A63:E63" si="14">A11</f>
        <v>SGD</v>
      </c>
      <c r="B63" s="196" t="str">
        <f t="shared" si="14"/>
        <v>S$</v>
      </c>
      <c r="C63" s="196" t="str">
        <f t="shared" si="14"/>
        <v>新加坡幣</v>
      </c>
      <c r="D63" s="196" t="str">
        <f t="shared" si="14"/>
        <v/>
      </c>
      <c r="E63" s="197">
        <f t="shared" si="14"/>
        <v>0.001</v>
      </c>
      <c r="F63" s="197">
        <f t="shared" ref="F63:Y63" si="15">HLOOKUP(F11,$F$1:$AI$2,2) * $D$1 * $E63</f>
        <v>0.01</v>
      </c>
      <c r="G63" s="197">
        <f t="shared" si="15"/>
        <v>0.05</v>
      </c>
      <c r="H63" s="197">
        <f t="shared" si="15"/>
        <v>0.1</v>
      </c>
      <c r="I63" s="197">
        <f t="shared" si="15"/>
        <v>0.12</v>
      </c>
      <c r="J63" s="197">
        <f t="shared" si="15"/>
        <v>0.15</v>
      </c>
      <c r="K63" s="197">
        <f t="shared" si="15"/>
        <v>0.18</v>
      </c>
      <c r="L63" s="197">
        <f t="shared" si="15"/>
        <v>0.2</v>
      </c>
      <c r="M63" s="197">
        <f t="shared" si="15"/>
        <v>0.25</v>
      </c>
      <c r="N63" s="197">
        <f t="shared" si="15"/>
        <v>0.3</v>
      </c>
      <c r="O63" s="197">
        <f t="shared" si="15"/>
        <v>0.35</v>
      </c>
      <c r="P63" s="197">
        <f t="shared" si="15"/>
        <v>0.4</v>
      </c>
      <c r="Q63" s="197">
        <f t="shared" si="15"/>
        <v>0.45</v>
      </c>
      <c r="R63" s="197">
        <f t="shared" si="15"/>
        <v>0.5</v>
      </c>
      <c r="S63" s="197">
        <f t="shared" si="15"/>
        <v>0.6</v>
      </c>
      <c r="T63" s="197">
        <f t="shared" si="15"/>
        <v>0.7</v>
      </c>
      <c r="U63" s="197">
        <f t="shared" si="15"/>
        <v>0.8</v>
      </c>
      <c r="V63" s="197">
        <f t="shared" si="15"/>
        <v>0.9</v>
      </c>
      <c r="W63" s="197">
        <f t="shared" si="15"/>
        <v>1</v>
      </c>
      <c r="X63" s="197">
        <f t="shared" si="15"/>
        <v>1.25</v>
      </c>
      <c r="Y63" s="210">
        <f t="shared" si="15"/>
        <v>1.5</v>
      </c>
      <c r="Z63" s="209"/>
      <c r="AA63" s="68"/>
      <c r="AB63" s="180"/>
      <c r="AC63" s="180"/>
      <c r="AD63" s="180"/>
      <c r="AE63" s="180"/>
      <c r="AF63" s="180"/>
      <c r="AG63" s="180"/>
      <c r="AH63" s="180"/>
      <c r="AI63" s="180"/>
    </row>
    <row r="64">
      <c r="A64" s="196" t="str">
        <f t="shared" ref="A64:E64" si="16">A12</f>
        <v>USD</v>
      </c>
      <c r="B64" s="196" t="str">
        <f t="shared" si="16"/>
        <v>$</v>
      </c>
      <c r="C64" s="196" t="str">
        <f t="shared" si="16"/>
        <v>美元</v>
      </c>
      <c r="D64" s="196" t="str">
        <f t="shared" si="16"/>
        <v/>
      </c>
      <c r="E64" s="197">
        <f t="shared" si="16"/>
        <v>0.001</v>
      </c>
      <c r="F64" s="197">
        <f t="shared" ref="F64:Y64" si="17">HLOOKUP(F12,$F$1:$AI$2,2) * $D$1 * $E64</f>
        <v>0.01</v>
      </c>
      <c r="G64" s="197">
        <f t="shared" si="17"/>
        <v>0.05</v>
      </c>
      <c r="H64" s="197">
        <f t="shared" si="17"/>
        <v>0.1</v>
      </c>
      <c r="I64" s="197">
        <f t="shared" si="17"/>
        <v>0.12</v>
      </c>
      <c r="J64" s="197">
        <f t="shared" si="17"/>
        <v>0.15</v>
      </c>
      <c r="K64" s="197">
        <f t="shared" si="17"/>
        <v>0.18</v>
      </c>
      <c r="L64" s="197">
        <f t="shared" si="17"/>
        <v>0.2</v>
      </c>
      <c r="M64" s="197">
        <f t="shared" si="17"/>
        <v>0.25</v>
      </c>
      <c r="N64" s="197">
        <f t="shared" si="17"/>
        <v>0.3</v>
      </c>
      <c r="O64" s="197">
        <f t="shared" si="17"/>
        <v>0.35</v>
      </c>
      <c r="P64" s="197">
        <f t="shared" si="17"/>
        <v>0.4</v>
      </c>
      <c r="Q64" s="197">
        <f t="shared" si="17"/>
        <v>0.45</v>
      </c>
      <c r="R64" s="197">
        <f t="shared" si="17"/>
        <v>0.5</v>
      </c>
      <c r="S64" s="197">
        <f t="shared" si="17"/>
        <v>0.6</v>
      </c>
      <c r="T64" s="197">
        <f t="shared" si="17"/>
        <v>0.7</v>
      </c>
      <c r="U64" s="197">
        <f t="shared" si="17"/>
        <v>0.8</v>
      </c>
      <c r="V64" s="197">
        <f t="shared" si="17"/>
        <v>0.9</v>
      </c>
      <c r="W64" s="197">
        <f t="shared" si="17"/>
        <v>1</v>
      </c>
      <c r="X64" s="197">
        <f t="shared" si="17"/>
        <v>1.25</v>
      </c>
      <c r="Y64" s="210">
        <f t="shared" si="17"/>
        <v>1.5</v>
      </c>
      <c r="Z64" s="209"/>
      <c r="AA64" s="68"/>
      <c r="AB64" s="180"/>
      <c r="AC64" s="180"/>
      <c r="AD64" s="180"/>
      <c r="AE64" s="180"/>
      <c r="AF64" s="180"/>
      <c r="AG64" s="180"/>
      <c r="AH64" s="180"/>
      <c r="AI64" s="180"/>
    </row>
    <row r="65">
      <c r="A65" s="194" t="str">
        <f t="shared" ref="A65:E65" si="18">A13</f>
        <v>BDT</v>
      </c>
      <c r="B65" s="194" t="str">
        <f t="shared" si="18"/>
        <v>৳</v>
      </c>
      <c r="C65" s="194" t="str">
        <f t="shared" si="18"/>
        <v>孟加拉塔卡</v>
      </c>
      <c r="D65" s="194" t="str">
        <f t="shared" si="18"/>
        <v/>
      </c>
      <c r="E65" s="195">
        <f t="shared" si="18"/>
        <v>0.02</v>
      </c>
      <c r="F65" s="195">
        <f t="shared" ref="F65:Y65" si="19">HLOOKUP(F13,$F$1:$AI$2,2) * $D$1 * $E65</f>
        <v>0.2</v>
      </c>
      <c r="G65" s="195">
        <f t="shared" si="19"/>
        <v>1</v>
      </c>
      <c r="H65" s="195">
        <f t="shared" si="19"/>
        <v>2</v>
      </c>
      <c r="I65" s="195">
        <f t="shared" si="19"/>
        <v>3</v>
      </c>
      <c r="J65" s="195">
        <f t="shared" si="19"/>
        <v>4</v>
      </c>
      <c r="K65" s="195">
        <f t="shared" si="19"/>
        <v>6</v>
      </c>
      <c r="L65" s="195">
        <f t="shared" si="19"/>
        <v>8</v>
      </c>
      <c r="M65" s="195">
        <f t="shared" si="19"/>
        <v>10</v>
      </c>
      <c r="N65" s="195">
        <f t="shared" si="19"/>
        <v>12</v>
      </c>
      <c r="O65" s="195">
        <f t="shared" si="19"/>
        <v>14</v>
      </c>
      <c r="P65" s="195">
        <f t="shared" si="19"/>
        <v>16</v>
      </c>
      <c r="Q65" s="195">
        <f t="shared" si="19"/>
        <v>20</v>
      </c>
      <c r="R65" s="195">
        <f t="shared" si="19"/>
        <v>30</v>
      </c>
      <c r="S65" s="195">
        <f t="shared" si="19"/>
        <v>40</v>
      </c>
      <c r="T65" s="195">
        <f t="shared" si="19"/>
        <v>50</v>
      </c>
      <c r="U65" s="195">
        <f t="shared" si="19"/>
        <v>60</v>
      </c>
      <c r="V65" s="195">
        <f t="shared" si="19"/>
        <v>80</v>
      </c>
      <c r="W65" s="195">
        <f t="shared" si="19"/>
        <v>100</v>
      </c>
      <c r="X65" s="195">
        <f t="shared" si="19"/>
        <v>120</v>
      </c>
      <c r="Y65" s="195">
        <f t="shared" si="19"/>
        <v>160</v>
      </c>
      <c r="Z65" s="209"/>
      <c r="AA65" s="68"/>
      <c r="AB65" s="180"/>
      <c r="AC65" s="180"/>
      <c r="AD65" s="180"/>
      <c r="AE65" s="180"/>
      <c r="AF65" s="180"/>
      <c r="AG65" s="180"/>
      <c r="AH65" s="180"/>
      <c r="AI65" s="180"/>
    </row>
    <row r="66">
      <c r="A66" s="199" t="str">
        <f t="shared" ref="A66:E66" si="20">A14</f>
        <v>PKR</v>
      </c>
      <c r="B66" s="199" t="str">
        <f t="shared" si="20"/>
        <v>₨</v>
      </c>
      <c r="C66" s="199" t="str">
        <f t="shared" si="20"/>
        <v>巴基斯坦盧比</v>
      </c>
      <c r="D66" s="199" t="str">
        <f t="shared" si="20"/>
        <v/>
      </c>
      <c r="E66" s="200">
        <f t="shared" si="20"/>
        <v>0.05</v>
      </c>
      <c r="F66" s="200">
        <f t="shared" ref="F66:Y66" si="21">HLOOKUP(F14,$F$1:$AI$2,2) * $D$1 * $E66</f>
        <v>0.5</v>
      </c>
      <c r="G66" s="200">
        <f t="shared" si="21"/>
        <v>2.5</v>
      </c>
      <c r="H66" s="200">
        <f t="shared" si="21"/>
        <v>5</v>
      </c>
      <c r="I66" s="200">
        <f t="shared" si="21"/>
        <v>10</v>
      </c>
      <c r="J66" s="200">
        <f t="shared" si="21"/>
        <v>15</v>
      </c>
      <c r="K66" s="200">
        <f t="shared" si="21"/>
        <v>20</v>
      </c>
      <c r="L66" s="200">
        <f t="shared" si="21"/>
        <v>25</v>
      </c>
      <c r="M66" s="200">
        <f t="shared" si="21"/>
        <v>30</v>
      </c>
      <c r="N66" s="200">
        <f t="shared" si="21"/>
        <v>35</v>
      </c>
      <c r="O66" s="200">
        <f t="shared" si="21"/>
        <v>40</v>
      </c>
      <c r="P66" s="200">
        <f t="shared" si="21"/>
        <v>50</v>
      </c>
      <c r="Q66" s="200">
        <f t="shared" si="21"/>
        <v>75</v>
      </c>
      <c r="R66" s="200">
        <f t="shared" si="21"/>
        <v>100</v>
      </c>
      <c r="S66" s="200">
        <f t="shared" si="21"/>
        <v>125</v>
      </c>
      <c r="T66" s="200">
        <f t="shared" si="21"/>
        <v>150</v>
      </c>
      <c r="U66" s="200">
        <f t="shared" si="21"/>
        <v>200</v>
      </c>
      <c r="V66" s="200">
        <f t="shared" si="21"/>
        <v>250</v>
      </c>
      <c r="W66" s="200">
        <f t="shared" si="21"/>
        <v>300</v>
      </c>
      <c r="X66" s="200">
        <f t="shared" si="21"/>
        <v>400</v>
      </c>
      <c r="Y66" s="211">
        <f t="shared" si="21"/>
        <v>500</v>
      </c>
      <c r="Z66" s="209"/>
      <c r="AA66" s="68"/>
      <c r="AB66" s="180"/>
      <c r="AC66" s="180"/>
      <c r="AD66" s="180"/>
      <c r="AE66" s="180"/>
      <c r="AF66" s="180"/>
      <c r="AG66" s="180"/>
      <c r="AH66" s="180"/>
      <c r="AI66" s="180"/>
    </row>
    <row r="67">
      <c r="A67" s="185" t="str">
        <f t="shared" ref="A67:E67" si="22">A15</f>
        <v>MMK</v>
      </c>
      <c r="B67" s="185" t="str">
        <f t="shared" si="22"/>
        <v>K</v>
      </c>
      <c r="C67" s="185" t="str">
        <f t="shared" si="22"/>
        <v>緬甸元(K)</v>
      </c>
      <c r="D67" s="185">
        <f t="shared" si="22"/>
        <v>1000</v>
      </c>
      <c r="E67" s="202">
        <f t="shared" si="22"/>
        <v>0.001</v>
      </c>
      <c r="F67" s="202">
        <f t="shared" ref="F67:Y67" si="23">HLOOKUP(F15,$F$1:$AI$2,2) * $D$1 * $E67</f>
        <v>0.01</v>
      </c>
      <c r="G67" s="202">
        <f t="shared" si="23"/>
        <v>0.05</v>
      </c>
      <c r="H67" s="202">
        <f t="shared" si="23"/>
        <v>0.1</v>
      </c>
      <c r="I67" s="202">
        <f t="shared" si="23"/>
        <v>0.15</v>
      </c>
      <c r="J67" s="202">
        <f t="shared" si="23"/>
        <v>0.2</v>
      </c>
      <c r="K67" s="202">
        <f t="shared" si="23"/>
        <v>0.25</v>
      </c>
      <c r="L67" s="202">
        <f t="shared" si="23"/>
        <v>0.3</v>
      </c>
      <c r="M67" s="202">
        <f t="shared" si="23"/>
        <v>0.35</v>
      </c>
      <c r="N67" s="202">
        <f t="shared" si="23"/>
        <v>0.4</v>
      </c>
      <c r="O67" s="202">
        <f t="shared" si="23"/>
        <v>0.45</v>
      </c>
      <c r="P67" s="202">
        <f t="shared" si="23"/>
        <v>0.5</v>
      </c>
      <c r="Q67" s="202">
        <f t="shared" si="23"/>
        <v>0.6</v>
      </c>
      <c r="R67" s="202">
        <f t="shared" si="23"/>
        <v>0.7</v>
      </c>
      <c r="S67" s="202">
        <f t="shared" si="23"/>
        <v>0.8</v>
      </c>
      <c r="T67" s="202">
        <f t="shared" si="23"/>
        <v>1</v>
      </c>
      <c r="U67" s="202">
        <f t="shared" si="23"/>
        <v>1.5</v>
      </c>
      <c r="V67" s="202">
        <f t="shared" si="23"/>
        <v>2</v>
      </c>
      <c r="W67" s="212">
        <f t="shared" si="23"/>
        <v>2.5</v>
      </c>
      <c r="X67" s="212">
        <f t="shared" si="23"/>
        <v>3</v>
      </c>
      <c r="Y67" s="212">
        <f t="shared" si="23"/>
        <v>4</v>
      </c>
      <c r="Z67" s="209"/>
      <c r="AA67" s="68"/>
      <c r="AB67" s="180"/>
      <c r="AC67" s="180"/>
      <c r="AD67" s="180"/>
      <c r="AE67" s="180"/>
      <c r="AF67" s="180"/>
      <c r="AG67" s="180"/>
      <c r="AH67" s="180"/>
      <c r="AI67" s="180"/>
    </row>
    <row r="68">
      <c r="A68" s="190" t="str">
        <f t="shared" ref="A68:E68" si="24">A16</f>
        <v>MMH</v>
      </c>
      <c r="B68" s="190" t="str">
        <f t="shared" si="24"/>
        <v>K</v>
      </c>
      <c r="C68" s="190" t="str">
        <f t="shared" si="24"/>
        <v>緬甸元(H)</v>
      </c>
      <c r="D68" s="190">
        <f t="shared" si="24"/>
        <v>100</v>
      </c>
      <c r="E68" s="191">
        <f t="shared" si="24"/>
        <v>0.005</v>
      </c>
      <c r="F68" s="191">
        <f t="shared" ref="F68:Y68" si="25">HLOOKUP(F16,$F$1:$AI$2,2) * $D$1 * $E68</f>
        <v>0.05</v>
      </c>
      <c r="G68" s="191">
        <f t="shared" si="25"/>
        <v>0.25</v>
      </c>
      <c r="H68" s="191">
        <f t="shared" si="25"/>
        <v>0.5</v>
      </c>
      <c r="I68" s="191">
        <f t="shared" si="25"/>
        <v>0.75</v>
      </c>
      <c r="J68" s="191">
        <f t="shared" si="25"/>
        <v>1</v>
      </c>
      <c r="K68" s="191">
        <f t="shared" si="25"/>
        <v>1.25</v>
      </c>
      <c r="L68" s="191">
        <f t="shared" si="25"/>
        <v>1.5</v>
      </c>
      <c r="M68" s="191">
        <f t="shared" si="25"/>
        <v>1.75</v>
      </c>
      <c r="N68" s="191">
        <f t="shared" si="25"/>
        <v>2</v>
      </c>
      <c r="O68" s="191">
        <f t="shared" si="25"/>
        <v>2.5</v>
      </c>
      <c r="P68" s="191">
        <f t="shared" si="25"/>
        <v>3</v>
      </c>
      <c r="Q68" s="191">
        <f t="shared" si="25"/>
        <v>3.5</v>
      </c>
      <c r="R68" s="191">
        <f t="shared" si="25"/>
        <v>4</v>
      </c>
      <c r="S68" s="191">
        <f t="shared" si="25"/>
        <v>5</v>
      </c>
      <c r="T68" s="191">
        <f t="shared" si="25"/>
        <v>7.5</v>
      </c>
      <c r="U68" s="191">
        <f t="shared" si="25"/>
        <v>10</v>
      </c>
      <c r="V68" s="191">
        <f t="shared" si="25"/>
        <v>12.5</v>
      </c>
      <c r="W68" s="191">
        <f t="shared" si="25"/>
        <v>15</v>
      </c>
      <c r="X68" s="191">
        <f t="shared" si="25"/>
        <v>20</v>
      </c>
      <c r="Y68" s="191">
        <f t="shared" si="25"/>
        <v>25</v>
      </c>
      <c r="Z68" s="209"/>
      <c r="AA68" s="68"/>
      <c r="AB68" s="180"/>
      <c r="AC68" s="180"/>
      <c r="AD68" s="180"/>
      <c r="AE68" s="180"/>
      <c r="AF68" s="180"/>
      <c r="AG68" s="180"/>
      <c r="AH68" s="180"/>
      <c r="AI68" s="180"/>
    </row>
    <row r="69">
      <c r="A69" s="199" t="str">
        <f t="shared" ref="A69:E69" si="26">A17</f>
        <v>PHP</v>
      </c>
      <c r="B69" s="199" t="str">
        <f t="shared" si="26"/>
        <v>₱</v>
      </c>
      <c r="C69" s="199" t="str">
        <f t="shared" si="26"/>
        <v>菲律賓披索</v>
      </c>
      <c r="D69" s="199" t="str">
        <f t="shared" si="26"/>
        <v/>
      </c>
      <c r="E69" s="200">
        <f t="shared" si="26"/>
        <v>0.01</v>
      </c>
      <c r="F69" s="200">
        <f t="shared" ref="F69:Y69" si="27">HLOOKUP(F17,$F$1:$AI$2,2) * $D$1 * $E69</f>
        <v>0.1</v>
      </c>
      <c r="G69" s="200">
        <f t="shared" si="27"/>
        <v>0.5</v>
      </c>
      <c r="H69" s="200">
        <f t="shared" si="27"/>
        <v>1</v>
      </c>
      <c r="I69" s="200">
        <f t="shared" si="27"/>
        <v>2</v>
      </c>
      <c r="J69" s="200">
        <f t="shared" si="27"/>
        <v>3</v>
      </c>
      <c r="K69" s="200">
        <f t="shared" si="27"/>
        <v>4</v>
      </c>
      <c r="L69" s="200">
        <f t="shared" si="27"/>
        <v>5</v>
      </c>
      <c r="M69" s="200">
        <f t="shared" si="27"/>
        <v>6</v>
      </c>
      <c r="N69" s="200">
        <f t="shared" si="27"/>
        <v>7</v>
      </c>
      <c r="O69" s="200">
        <f t="shared" si="27"/>
        <v>8</v>
      </c>
      <c r="P69" s="200">
        <f t="shared" si="27"/>
        <v>10</v>
      </c>
      <c r="Q69" s="200">
        <f t="shared" si="27"/>
        <v>15</v>
      </c>
      <c r="R69" s="200">
        <f t="shared" si="27"/>
        <v>20</v>
      </c>
      <c r="S69" s="200">
        <f t="shared" si="27"/>
        <v>25</v>
      </c>
      <c r="T69" s="200">
        <f t="shared" si="27"/>
        <v>30</v>
      </c>
      <c r="U69" s="200">
        <f t="shared" si="27"/>
        <v>40</v>
      </c>
      <c r="V69" s="200">
        <f t="shared" si="27"/>
        <v>50</v>
      </c>
      <c r="W69" s="200">
        <f t="shared" si="27"/>
        <v>60</v>
      </c>
      <c r="X69" s="200">
        <f t="shared" si="27"/>
        <v>80</v>
      </c>
      <c r="Y69" s="211">
        <f t="shared" si="27"/>
        <v>100</v>
      </c>
      <c r="Z69" s="209"/>
      <c r="AA69" s="68"/>
      <c r="AB69" s="180"/>
      <c r="AC69" s="180"/>
      <c r="AD69" s="180"/>
      <c r="AE69" s="180"/>
      <c r="AF69" s="180"/>
      <c r="AG69" s="180"/>
      <c r="AH69" s="180"/>
      <c r="AI69" s="180"/>
    </row>
    <row r="70">
      <c r="A70" s="190" t="str">
        <f t="shared" ref="A70:E70" si="28">A18</f>
        <v>CNY</v>
      </c>
      <c r="B70" s="190" t="str">
        <f t="shared" si="28"/>
        <v>￥</v>
      </c>
      <c r="C70" s="190" t="str">
        <f t="shared" si="28"/>
        <v>人民幣</v>
      </c>
      <c r="D70" s="190" t="str">
        <f t="shared" si="28"/>
        <v/>
      </c>
      <c r="E70" s="191">
        <f t="shared" si="28"/>
        <v>0.002</v>
      </c>
      <c r="F70" s="191">
        <f t="shared" ref="F70:Y70" si="29">HLOOKUP(F18,$F$1:$AI$2,2) * $D$1 * $E70</f>
        <v>0.02</v>
      </c>
      <c r="G70" s="191">
        <f t="shared" si="29"/>
        <v>0.1</v>
      </c>
      <c r="H70" s="191">
        <f t="shared" si="29"/>
        <v>0.2</v>
      </c>
      <c r="I70" s="191">
        <f t="shared" si="29"/>
        <v>0.3</v>
      </c>
      <c r="J70" s="191">
        <f t="shared" si="29"/>
        <v>0.4</v>
      </c>
      <c r="K70" s="191">
        <f t="shared" si="29"/>
        <v>0.5</v>
      </c>
      <c r="L70" s="191">
        <f t="shared" si="29"/>
        <v>0.6</v>
      </c>
      <c r="M70" s="191">
        <f t="shared" si="29"/>
        <v>0.7</v>
      </c>
      <c r="N70" s="191">
        <f t="shared" si="29"/>
        <v>0.8</v>
      </c>
      <c r="O70" s="191">
        <f t="shared" si="29"/>
        <v>1</v>
      </c>
      <c r="P70" s="191">
        <f t="shared" si="29"/>
        <v>1.2</v>
      </c>
      <c r="Q70" s="191">
        <f t="shared" si="29"/>
        <v>1.4</v>
      </c>
      <c r="R70" s="191">
        <f t="shared" si="29"/>
        <v>1.6</v>
      </c>
      <c r="S70" s="191">
        <f t="shared" si="29"/>
        <v>2</v>
      </c>
      <c r="T70" s="191">
        <f t="shared" si="29"/>
        <v>3</v>
      </c>
      <c r="U70" s="191">
        <f t="shared" si="29"/>
        <v>4</v>
      </c>
      <c r="V70" s="191">
        <f t="shared" si="29"/>
        <v>5</v>
      </c>
      <c r="W70" s="191">
        <f t="shared" si="29"/>
        <v>6</v>
      </c>
      <c r="X70" s="191">
        <f t="shared" si="29"/>
        <v>8</v>
      </c>
      <c r="Y70" s="191">
        <f t="shared" si="29"/>
        <v>10</v>
      </c>
      <c r="Z70" s="209"/>
      <c r="AA70" s="68"/>
      <c r="AB70" s="180"/>
      <c r="AC70" s="180"/>
      <c r="AD70" s="180"/>
      <c r="AE70" s="180"/>
      <c r="AF70" s="180"/>
      <c r="AG70" s="180"/>
      <c r="AH70" s="180"/>
      <c r="AI70" s="180"/>
    </row>
    <row r="71">
      <c r="A71" s="190" t="str">
        <f t="shared" ref="A71:E71" si="30">A19</f>
        <v>MXN</v>
      </c>
      <c r="B71" s="190" t="str">
        <f t="shared" si="30"/>
        <v>Mex$</v>
      </c>
      <c r="C71" s="190" t="str">
        <f t="shared" si="30"/>
        <v>墨⻄哥披索</v>
      </c>
      <c r="D71" s="190" t="str">
        <f t="shared" si="30"/>
        <v/>
      </c>
      <c r="E71" s="191">
        <f t="shared" si="30"/>
        <v>0.005</v>
      </c>
      <c r="F71" s="191">
        <f t="shared" ref="F71:Y71" si="31">HLOOKUP(F19,$F$1:$AI$2,2) * $D$1 * $E71</f>
        <v>0.05</v>
      </c>
      <c r="G71" s="191">
        <f t="shared" si="31"/>
        <v>0.25</v>
      </c>
      <c r="H71" s="191">
        <f t="shared" si="31"/>
        <v>0.5</v>
      </c>
      <c r="I71" s="191">
        <f t="shared" si="31"/>
        <v>0.75</v>
      </c>
      <c r="J71" s="191">
        <f t="shared" si="31"/>
        <v>1</v>
      </c>
      <c r="K71" s="191">
        <f t="shared" si="31"/>
        <v>1.25</v>
      </c>
      <c r="L71" s="191">
        <f t="shared" si="31"/>
        <v>1.5</v>
      </c>
      <c r="M71" s="191">
        <f t="shared" si="31"/>
        <v>1.75</v>
      </c>
      <c r="N71" s="191">
        <f t="shared" si="31"/>
        <v>2</v>
      </c>
      <c r="O71" s="191">
        <f t="shared" si="31"/>
        <v>2.5</v>
      </c>
      <c r="P71" s="191">
        <f t="shared" si="31"/>
        <v>3</v>
      </c>
      <c r="Q71" s="191">
        <f t="shared" si="31"/>
        <v>3.5</v>
      </c>
      <c r="R71" s="191">
        <f t="shared" si="31"/>
        <v>4</v>
      </c>
      <c r="S71" s="191">
        <f t="shared" si="31"/>
        <v>5</v>
      </c>
      <c r="T71" s="191">
        <f t="shared" si="31"/>
        <v>7.5</v>
      </c>
      <c r="U71" s="191">
        <f t="shared" si="31"/>
        <v>10</v>
      </c>
      <c r="V71" s="191">
        <f t="shared" si="31"/>
        <v>12.5</v>
      </c>
      <c r="W71" s="191">
        <f t="shared" si="31"/>
        <v>15</v>
      </c>
      <c r="X71" s="191">
        <f t="shared" si="31"/>
        <v>20</v>
      </c>
      <c r="Y71" s="191">
        <f t="shared" si="31"/>
        <v>25</v>
      </c>
      <c r="Z71" s="181"/>
      <c r="AA71" s="68"/>
      <c r="AB71" s="180"/>
      <c r="AC71" s="180"/>
      <c r="AD71" s="180"/>
      <c r="AE71" s="180"/>
      <c r="AF71" s="180"/>
      <c r="AG71" s="180"/>
      <c r="AH71" s="180"/>
      <c r="AI71" s="180"/>
    </row>
    <row r="72">
      <c r="A72" s="194" t="str">
        <f t="shared" ref="A72:E72" si="32">A20</f>
        <v>BRL</v>
      </c>
      <c r="B72" s="194" t="str">
        <f t="shared" si="32"/>
        <v>R$</v>
      </c>
      <c r="C72" s="194" t="str">
        <f t="shared" si="32"/>
        <v>巴西雷亞爾</v>
      </c>
      <c r="D72" s="194" t="str">
        <f t="shared" si="32"/>
        <v/>
      </c>
      <c r="E72" s="195">
        <f t="shared" si="32"/>
        <v>0.001</v>
      </c>
      <c r="F72" s="195">
        <f t="shared" ref="F72:Y72" si="33">HLOOKUP(F20,$F$1:$AI$2,2) * $D$1 * $E72</f>
        <v>0.01</v>
      </c>
      <c r="G72" s="195">
        <f t="shared" si="33"/>
        <v>0.05</v>
      </c>
      <c r="H72" s="195">
        <f t="shared" si="33"/>
        <v>0.1</v>
      </c>
      <c r="I72" s="195">
        <f t="shared" si="33"/>
        <v>0.15</v>
      </c>
      <c r="J72" s="195">
        <f t="shared" si="33"/>
        <v>0.2</v>
      </c>
      <c r="K72" s="195">
        <f t="shared" si="33"/>
        <v>0.3</v>
      </c>
      <c r="L72" s="195">
        <f t="shared" si="33"/>
        <v>0.4</v>
      </c>
      <c r="M72" s="195">
        <f t="shared" si="33"/>
        <v>0.5</v>
      </c>
      <c r="N72" s="195">
        <f t="shared" si="33"/>
        <v>0.6</v>
      </c>
      <c r="O72" s="195">
        <f t="shared" si="33"/>
        <v>0.7</v>
      </c>
      <c r="P72" s="195">
        <f t="shared" si="33"/>
        <v>0.8</v>
      </c>
      <c r="Q72" s="195">
        <f t="shared" si="33"/>
        <v>1</v>
      </c>
      <c r="R72" s="195">
        <f t="shared" si="33"/>
        <v>1.5</v>
      </c>
      <c r="S72" s="195">
        <f t="shared" si="33"/>
        <v>2</v>
      </c>
      <c r="T72" s="195">
        <f t="shared" si="33"/>
        <v>2.5</v>
      </c>
      <c r="U72" s="195">
        <f t="shared" si="33"/>
        <v>3</v>
      </c>
      <c r="V72" s="195">
        <f t="shared" si="33"/>
        <v>4</v>
      </c>
      <c r="W72" s="195">
        <f t="shared" si="33"/>
        <v>5</v>
      </c>
      <c r="X72" s="195">
        <f t="shared" si="33"/>
        <v>6</v>
      </c>
      <c r="Y72" s="195">
        <f t="shared" si="33"/>
        <v>8</v>
      </c>
      <c r="Z72" s="181"/>
      <c r="AA72" s="68"/>
      <c r="AB72" s="180"/>
      <c r="AC72" s="180"/>
      <c r="AD72" s="180"/>
      <c r="AE72" s="180"/>
      <c r="AF72" s="180"/>
      <c r="AG72" s="180"/>
      <c r="AH72" s="180"/>
      <c r="AI72" s="180"/>
    </row>
    <row r="73">
      <c r="A73" s="196" t="str">
        <f t="shared" ref="A73:E73" si="34">A21</f>
        <v>AUD</v>
      </c>
      <c r="B73" s="196" t="str">
        <f t="shared" si="34"/>
        <v>A$</v>
      </c>
      <c r="C73" s="196" t="str">
        <f t="shared" si="34"/>
        <v>澳洲元</v>
      </c>
      <c r="D73" s="196" t="str">
        <f t="shared" si="34"/>
        <v/>
      </c>
      <c r="E73" s="197">
        <f t="shared" si="34"/>
        <v>0.001</v>
      </c>
      <c r="F73" s="197">
        <f t="shared" ref="F73:Y73" si="35">HLOOKUP(F21,$F$1:$AI$2,2) * $D$1 * $E73</f>
        <v>0.01</v>
      </c>
      <c r="G73" s="197">
        <f t="shared" si="35"/>
        <v>0.05</v>
      </c>
      <c r="H73" s="197">
        <f t="shared" si="35"/>
        <v>0.1</v>
      </c>
      <c r="I73" s="197">
        <f t="shared" si="35"/>
        <v>0.12</v>
      </c>
      <c r="J73" s="197">
        <f t="shared" si="35"/>
        <v>0.15</v>
      </c>
      <c r="K73" s="197">
        <f t="shared" si="35"/>
        <v>0.18</v>
      </c>
      <c r="L73" s="197">
        <f t="shared" si="35"/>
        <v>0.2</v>
      </c>
      <c r="M73" s="197">
        <f t="shared" si="35"/>
        <v>0.25</v>
      </c>
      <c r="N73" s="197">
        <f t="shared" si="35"/>
        <v>0.3</v>
      </c>
      <c r="O73" s="197">
        <f t="shared" si="35"/>
        <v>0.35</v>
      </c>
      <c r="P73" s="197">
        <f t="shared" si="35"/>
        <v>0.4</v>
      </c>
      <c r="Q73" s="197">
        <f t="shared" si="35"/>
        <v>0.45</v>
      </c>
      <c r="R73" s="197">
        <f t="shared" si="35"/>
        <v>0.5</v>
      </c>
      <c r="S73" s="197">
        <f t="shared" si="35"/>
        <v>0.6</v>
      </c>
      <c r="T73" s="197">
        <f t="shared" si="35"/>
        <v>0.7</v>
      </c>
      <c r="U73" s="197">
        <f t="shared" si="35"/>
        <v>0.8</v>
      </c>
      <c r="V73" s="197">
        <f t="shared" si="35"/>
        <v>0.9</v>
      </c>
      <c r="W73" s="197">
        <f t="shared" si="35"/>
        <v>1</v>
      </c>
      <c r="X73" s="197">
        <f t="shared" si="35"/>
        <v>1.25</v>
      </c>
      <c r="Y73" s="210">
        <f t="shared" si="35"/>
        <v>1.5</v>
      </c>
      <c r="Z73" s="181"/>
      <c r="AA73" s="68"/>
      <c r="AB73" s="180"/>
      <c r="AC73" s="180"/>
      <c r="AD73" s="180"/>
      <c r="AE73" s="180"/>
      <c r="AF73" s="180"/>
      <c r="AG73" s="180"/>
      <c r="AH73" s="180"/>
      <c r="AI73" s="180"/>
    </row>
    <row r="74">
      <c r="A74" s="185" t="str">
        <f t="shared" ref="A74:E74" si="36">A22</f>
        <v>JPY</v>
      </c>
      <c r="B74" s="185" t="str">
        <f t="shared" si="36"/>
        <v>￥</v>
      </c>
      <c r="C74" s="185" t="str">
        <f t="shared" si="36"/>
        <v>日圓</v>
      </c>
      <c r="D74" s="185" t="str">
        <f t="shared" si="36"/>
        <v/>
      </c>
      <c r="E74" s="202">
        <f t="shared" si="36"/>
        <v>0.05</v>
      </c>
      <c r="F74" s="202">
        <f t="shared" ref="F74:Y74" si="37">HLOOKUP(F22,$F$1:$AI$2,2) * $D$1 * $E74</f>
        <v>0.5</v>
      </c>
      <c r="G74" s="202">
        <f t="shared" si="37"/>
        <v>2.5</v>
      </c>
      <c r="H74" s="202">
        <f t="shared" si="37"/>
        <v>5</v>
      </c>
      <c r="I74" s="202">
        <f t="shared" si="37"/>
        <v>7.5</v>
      </c>
      <c r="J74" s="202">
        <f t="shared" si="37"/>
        <v>10</v>
      </c>
      <c r="K74" s="202">
        <f t="shared" si="37"/>
        <v>12.5</v>
      </c>
      <c r="L74" s="202">
        <f t="shared" si="37"/>
        <v>15</v>
      </c>
      <c r="M74" s="202">
        <f t="shared" si="37"/>
        <v>17.5</v>
      </c>
      <c r="N74" s="202">
        <f t="shared" si="37"/>
        <v>20</v>
      </c>
      <c r="O74" s="202">
        <f t="shared" si="37"/>
        <v>22.5</v>
      </c>
      <c r="P74" s="202">
        <f t="shared" si="37"/>
        <v>25</v>
      </c>
      <c r="Q74" s="202">
        <f t="shared" si="37"/>
        <v>30</v>
      </c>
      <c r="R74" s="202">
        <f t="shared" si="37"/>
        <v>35</v>
      </c>
      <c r="S74" s="202">
        <f t="shared" si="37"/>
        <v>40</v>
      </c>
      <c r="T74" s="202">
        <f t="shared" si="37"/>
        <v>50</v>
      </c>
      <c r="U74" s="202">
        <f t="shared" si="37"/>
        <v>75</v>
      </c>
      <c r="V74" s="202">
        <f t="shared" si="37"/>
        <v>100</v>
      </c>
      <c r="W74" s="212">
        <f t="shared" si="37"/>
        <v>125</v>
      </c>
      <c r="X74" s="212">
        <f t="shared" si="37"/>
        <v>150</v>
      </c>
      <c r="Y74" s="212">
        <f t="shared" si="37"/>
        <v>200</v>
      </c>
      <c r="Z74" s="181"/>
      <c r="AA74" s="68"/>
      <c r="AB74" s="180"/>
      <c r="AC74" s="180"/>
      <c r="AD74" s="180"/>
      <c r="AE74" s="180"/>
      <c r="AF74" s="180"/>
      <c r="AG74" s="180"/>
      <c r="AH74" s="180"/>
      <c r="AI74" s="180"/>
    </row>
    <row r="75">
      <c r="A75" s="199" t="str">
        <f t="shared" ref="A75:E75" si="38">A23</f>
        <v>KRW</v>
      </c>
      <c r="B75" s="199" t="str">
        <f t="shared" si="38"/>
        <v>₩</v>
      </c>
      <c r="C75" s="199" t="str">
        <f t="shared" si="38"/>
        <v>韓圓</v>
      </c>
      <c r="D75" s="199" t="str">
        <f t="shared" si="38"/>
        <v/>
      </c>
      <c r="E75" s="200">
        <f t="shared" si="38"/>
        <v>0.2</v>
      </c>
      <c r="F75" s="200">
        <f t="shared" ref="F75:Y75" si="39">HLOOKUP(F23,$F$1:$AI$2,2) * $D$1 * $E75</f>
        <v>2</v>
      </c>
      <c r="G75" s="200">
        <f t="shared" si="39"/>
        <v>10</v>
      </c>
      <c r="H75" s="200">
        <f t="shared" si="39"/>
        <v>20</v>
      </c>
      <c r="I75" s="200">
        <f t="shared" si="39"/>
        <v>40</v>
      </c>
      <c r="J75" s="200">
        <f t="shared" si="39"/>
        <v>60</v>
      </c>
      <c r="K75" s="200">
        <f t="shared" si="39"/>
        <v>80</v>
      </c>
      <c r="L75" s="200">
        <f t="shared" si="39"/>
        <v>100</v>
      </c>
      <c r="M75" s="200">
        <f t="shared" si="39"/>
        <v>120</v>
      </c>
      <c r="N75" s="200">
        <f t="shared" si="39"/>
        <v>140</v>
      </c>
      <c r="O75" s="200">
        <f t="shared" si="39"/>
        <v>160</v>
      </c>
      <c r="P75" s="200">
        <f t="shared" si="39"/>
        <v>200</v>
      </c>
      <c r="Q75" s="200">
        <f t="shared" si="39"/>
        <v>300</v>
      </c>
      <c r="R75" s="200">
        <f t="shared" si="39"/>
        <v>400</v>
      </c>
      <c r="S75" s="200">
        <f t="shared" si="39"/>
        <v>500</v>
      </c>
      <c r="T75" s="200">
        <f t="shared" si="39"/>
        <v>600</v>
      </c>
      <c r="U75" s="200">
        <f t="shared" si="39"/>
        <v>800</v>
      </c>
      <c r="V75" s="200">
        <f t="shared" si="39"/>
        <v>1000</v>
      </c>
      <c r="W75" s="200">
        <f t="shared" si="39"/>
        <v>1200</v>
      </c>
      <c r="X75" s="200">
        <f t="shared" si="39"/>
        <v>1600</v>
      </c>
      <c r="Y75" s="211">
        <f t="shared" si="39"/>
        <v>2000</v>
      </c>
      <c r="Z75" s="181"/>
      <c r="AA75" s="68"/>
      <c r="AB75" s="180"/>
      <c r="AC75" s="180"/>
      <c r="AD75" s="180"/>
      <c r="AE75" s="180"/>
      <c r="AF75" s="180"/>
      <c r="AG75" s="180"/>
      <c r="AH75" s="180"/>
      <c r="AI75" s="180"/>
    </row>
    <row r="76">
      <c r="A76" s="190" t="str">
        <f t="shared" ref="A76:E76" si="40">A24</f>
        <v>CLP</v>
      </c>
      <c r="B76" s="190" t="str">
        <f t="shared" si="40"/>
        <v>$</v>
      </c>
      <c r="C76" s="190" t="str">
        <f t="shared" si="40"/>
        <v>智利披索</v>
      </c>
      <c r="D76" s="190" t="str">
        <f t="shared" si="40"/>
        <v/>
      </c>
      <c r="E76" s="191">
        <f t="shared" si="40"/>
        <v>0.2</v>
      </c>
      <c r="F76" s="191">
        <f t="shared" ref="F76:Y76" si="41">HLOOKUP(F24,$F$1:$AI$2,2) * $D$1 * $E76</f>
        <v>2</v>
      </c>
      <c r="G76" s="191">
        <f t="shared" si="41"/>
        <v>10</v>
      </c>
      <c r="H76" s="191">
        <f t="shared" si="41"/>
        <v>20</v>
      </c>
      <c r="I76" s="191">
        <f t="shared" si="41"/>
        <v>30</v>
      </c>
      <c r="J76" s="191">
        <f t="shared" si="41"/>
        <v>40</v>
      </c>
      <c r="K76" s="191">
        <f t="shared" si="41"/>
        <v>50</v>
      </c>
      <c r="L76" s="191">
        <f t="shared" si="41"/>
        <v>60</v>
      </c>
      <c r="M76" s="191">
        <f t="shared" si="41"/>
        <v>70</v>
      </c>
      <c r="N76" s="191">
        <f t="shared" si="41"/>
        <v>80</v>
      </c>
      <c r="O76" s="191">
        <f t="shared" si="41"/>
        <v>100</v>
      </c>
      <c r="P76" s="191">
        <f t="shared" si="41"/>
        <v>120</v>
      </c>
      <c r="Q76" s="191">
        <f t="shared" si="41"/>
        <v>140</v>
      </c>
      <c r="R76" s="191">
        <f t="shared" si="41"/>
        <v>160</v>
      </c>
      <c r="S76" s="191">
        <f t="shared" si="41"/>
        <v>200</v>
      </c>
      <c r="T76" s="191">
        <f t="shared" si="41"/>
        <v>300</v>
      </c>
      <c r="U76" s="191">
        <f t="shared" si="41"/>
        <v>400</v>
      </c>
      <c r="V76" s="191">
        <f t="shared" si="41"/>
        <v>500</v>
      </c>
      <c r="W76" s="191">
        <f t="shared" si="41"/>
        <v>600</v>
      </c>
      <c r="X76" s="191">
        <f t="shared" si="41"/>
        <v>800</v>
      </c>
      <c r="Y76" s="191">
        <f t="shared" si="41"/>
        <v>1000</v>
      </c>
      <c r="Z76" s="181"/>
      <c r="AA76" s="68"/>
      <c r="AB76" s="180"/>
      <c r="AC76" s="180"/>
      <c r="AD76" s="180"/>
      <c r="AE76" s="180"/>
      <c r="AF76" s="180"/>
      <c r="AG76" s="180"/>
      <c r="AH76" s="180"/>
      <c r="AI76" s="180"/>
    </row>
    <row r="77">
      <c r="A77" s="190" t="str">
        <f t="shared" ref="A77:E77" si="42">A25</f>
        <v>MMKO</v>
      </c>
      <c r="B77" s="190" t="str">
        <f t="shared" si="42"/>
        <v>K</v>
      </c>
      <c r="C77" s="190" t="str">
        <f t="shared" si="42"/>
        <v>緬甸元</v>
      </c>
      <c r="D77" s="190" t="str">
        <f t="shared" si="42"/>
        <v/>
      </c>
      <c r="E77" s="191">
        <f t="shared" si="42"/>
        <v>0.5</v>
      </c>
      <c r="F77" s="191">
        <f t="shared" ref="F77:Y77" si="43">HLOOKUP(F25,$F$1:$AI$2,2) * $D$1 * $E77</f>
        <v>5</v>
      </c>
      <c r="G77" s="191">
        <f t="shared" si="43"/>
        <v>25</v>
      </c>
      <c r="H77" s="191">
        <f t="shared" si="43"/>
        <v>50</v>
      </c>
      <c r="I77" s="191">
        <f t="shared" si="43"/>
        <v>75</v>
      </c>
      <c r="J77" s="191">
        <f t="shared" si="43"/>
        <v>100</v>
      </c>
      <c r="K77" s="191">
        <f t="shared" si="43"/>
        <v>125</v>
      </c>
      <c r="L77" s="191">
        <f t="shared" si="43"/>
        <v>150</v>
      </c>
      <c r="M77" s="191">
        <f t="shared" si="43"/>
        <v>175</v>
      </c>
      <c r="N77" s="191">
        <f t="shared" si="43"/>
        <v>200</v>
      </c>
      <c r="O77" s="191">
        <f t="shared" si="43"/>
        <v>250</v>
      </c>
      <c r="P77" s="191">
        <f t="shared" si="43"/>
        <v>300</v>
      </c>
      <c r="Q77" s="191">
        <f t="shared" si="43"/>
        <v>350</v>
      </c>
      <c r="R77" s="191">
        <f t="shared" si="43"/>
        <v>400</v>
      </c>
      <c r="S77" s="191">
        <f t="shared" si="43"/>
        <v>500</v>
      </c>
      <c r="T77" s="191">
        <f t="shared" si="43"/>
        <v>750</v>
      </c>
      <c r="U77" s="191">
        <f t="shared" si="43"/>
        <v>1000</v>
      </c>
      <c r="V77" s="191">
        <f t="shared" si="43"/>
        <v>1250</v>
      </c>
      <c r="W77" s="191">
        <f t="shared" si="43"/>
        <v>1500</v>
      </c>
      <c r="X77" s="191">
        <f t="shared" si="43"/>
        <v>2000</v>
      </c>
      <c r="Y77" s="191">
        <f t="shared" si="43"/>
        <v>2500</v>
      </c>
      <c r="Z77" s="181"/>
      <c r="AA77" s="68"/>
      <c r="AB77" s="180"/>
      <c r="AC77" s="180"/>
      <c r="AD77" s="180"/>
      <c r="AE77" s="180"/>
      <c r="AF77" s="180"/>
      <c r="AG77" s="180"/>
      <c r="AH77" s="180"/>
      <c r="AI77" s="180"/>
    </row>
    <row r="78">
      <c r="A78" s="190" t="str">
        <f t="shared" ref="A78:E78" si="44">A26</f>
        <v>IDRO</v>
      </c>
      <c r="B78" s="190" t="str">
        <f t="shared" si="44"/>
        <v>Rp</v>
      </c>
      <c r="C78" s="190" t="str">
        <f t="shared" si="44"/>
        <v>印尼盧比</v>
      </c>
      <c r="D78" s="190" t="str">
        <f t="shared" si="44"/>
        <v/>
      </c>
      <c r="E78" s="191">
        <f t="shared" si="44"/>
        <v>5</v>
      </c>
      <c r="F78" s="191">
        <f t="shared" ref="F78:Y78" si="45">HLOOKUP(F26,$F$1:$AI$2,2) * $D$1 * $E78</f>
        <v>50</v>
      </c>
      <c r="G78" s="191">
        <f t="shared" si="45"/>
        <v>250</v>
      </c>
      <c r="H78" s="191">
        <f t="shared" si="45"/>
        <v>500</v>
      </c>
      <c r="I78" s="191">
        <f t="shared" si="45"/>
        <v>750</v>
      </c>
      <c r="J78" s="191">
        <f t="shared" si="45"/>
        <v>1000</v>
      </c>
      <c r="K78" s="191">
        <f t="shared" si="45"/>
        <v>1250</v>
      </c>
      <c r="L78" s="191">
        <f t="shared" si="45"/>
        <v>1500</v>
      </c>
      <c r="M78" s="191">
        <f t="shared" si="45"/>
        <v>1750</v>
      </c>
      <c r="N78" s="191">
        <f t="shared" si="45"/>
        <v>2000</v>
      </c>
      <c r="O78" s="191">
        <f t="shared" si="45"/>
        <v>2500</v>
      </c>
      <c r="P78" s="191">
        <f t="shared" si="45"/>
        <v>3000</v>
      </c>
      <c r="Q78" s="191">
        <f t="shared" si="45"/>
        <v>3500</v>
      </c>
      <c r="R78" s="191">
        <f t="shared" si="45"/>
        <v>4000</v>
      </c>
      <c r="S78" s="191">
        <f t="shared" si="45"/>
        <v>5000</v>
      </c>
      <c r="T78" s="191">
        <f t="shared" si="45"/>
        <v>7500</v>
      </c>
      <c r="U78" s="191">
        <f t="shared" si="45"/>
        <v>10000</v>
      </c>
      <c r="V78" s="191">
        <f t="shared" si="45"/>
        <v>12500</v>
      </c>
      <c r="W78" s="191">
        <f t="shared" si="45"/>
        <v>15000</v>
      </c>
      <c r="X78" s="191">
        <f t="shared" si="45"/>
        <v>20000</v>
      </c>
      <c r="Y78" s="191">
        <f t="shared" si="45"/>
        <v>25000</v>
      </c>
      <c r="Z78" s="181"/>
      <c r="AA78" s="68"/>
      <c r="AB78" s="180"/>
      <c r="AC78" s="180"/>
      <c r="AD78" s="180"/>
      <c r="AE78" s="180"/>
      <c r="AF78" s="180"/>
      <c r="AG78" s="180"/>
      <c r="AH78" s="180"/>
      <c r="AI78" s="180"/>
    </row>
    <row r="79">
      <c r="A79" s="194" t="str">
        <f t="shared" ref="A79:E79" si="46">A27</f>
        <v>RUB</v>
      </c>
      <c r="B79" s="194" t="str">
        <f t="shared" si="46"/>
        <v>₽</v>
      </c>
      <c r="C79" s="194" t="str">
        <f t="shared" si="46"/>
        <v>盧布</v>
      </c>
      <c r="D79" s="194" t="str">
        <f t="shared" si="46"/>
        <v/>
      </c>
      <c r="E79" s="195">
        <f t="shared" si="46"/>
        <v>0.02</v>
      </c>
      <c r="F79" s="195">
        <f t="shared" ref="F79:Y79" si="47">HLOOKUP(F27,$F$1:$AI$2,2) * $D$1 * $E79</f>
        <v>0.2</v>
      </c>
      <c r="G79" s="195">
        <f t="shared" si="47"/>
        <v>1</v>
      </c>
      <c r="H79" s="195">
        <f t="shared" si="47"/>
        <v>2</v>
      </c>
      <c r="I79" s="195">
        <f t="shared" si="47"/>
        <v>3</v>
      </c>
      <c r="J79" s="195">
        <f t="shared" si="47"/>
        <v>4</v>
      </c>
      <c r="K79" s="195">
        <f t="shared" si="47"/>
        <v>6</v>
      </c>
      <c r="L79" s="195">
        <f t="shared" si="47"/>
        <v>8</v>
      </c>
      <c r="M79" s="195">
        <f t="shared" si="47"/>
        <v>10</v>
      </c>
      <c r="N79" s="195">
        <f t="shared" si="47"/>
        <v>12</v>
      </c>
      <c r="O79" s="195">
        <f t="shared" si="47"/>
        <v>14</v>
      </c>
      <c r="P79" s="195">
        <f t="shared" si="47"/>
        <v>16</v>
      </c>
      <c r="Q79" s="195">
        <f t="shared" si="47"/>
        <v>20</v>
      </c>
      <c r="R79" s="195">
        <f t="shared" si="47"/>
        <v>30</v>
      </c>
      <c r="S79" s="195">
        <f t="shared" si="47"/>
        <v>40</v>
      </c>
      <c r="T79" s="195">
        <f t="shared" si="47"/>
        <v>50</v>
      </c>
      <c r="U79" s="195">
        <f t="shared" si="47"/>
        <v>60</v>
      </c>
      <c r="V79" s="195">
        <f t="shared" si="47"/>
        <v>80</v>
      </c>
      <c r="W79" s="195">
        <f t="shared" si="47"/>
        <v>100</v>
      </c>
      <c r="X79" s="195">
        <f t="shared" si="47"/>
        <v>120</v>
      </c>
      <c r="Y79" s="195">
        <f t="shared" si="47"/>
        <v>160</v>
      </c>
      <c r="Z79" s="181"/>
      <c r="AA79" s="68"/>
      <c r="AB79" s="180"/>
      <c r="AC79" s="180"/>
      <c r="AD79" s="180"/>
      <c r="AE79" s="180"/>
      <c r="AF79" s="180"/>
      <c r="AG79" s="180"/>
      <c r="AH79" s="180"/>
      <c r="AI79" s="180"/>
    </row>
    <row r="80">
      <c r="A80" s="199" t="str">
        <f t="shared" ref="A80:E80" si="48">A28</f>
        <v>LKR</v>
      </c>
      <c r="B80" s="199" t="str">
        <f t="shared" si="48"/>
        <v>₨</v>
      </c>
      <c r="C80" s="199" t="str">
        <f t="shared" si="48"/>
        <v>斯里蘭卡盧比</v>
      </c>
      <c r="D80" s="199" t="str">
        <f t="shared" si="48"/>
        <v/>
      </c>
      <c r="E80" s="200">
        <f t="shared" si="48"/>
        <v>0.05</v>
      </c>
      <c r="F80" s="200">
        <f t="shared" ref="F80:Y80" si="49">HLOOKUP(F28,$F$1:$AI$2,2) * $D$1 * $E80</f>
        <v>0.5</v>
      </c>
      <c r="G80" s="200">
        <f t="shared" si="49"/>
        <v>2.5</v>
      </c>
      <c r="H80" s="200">
        <f t="shared" si="49"/>
        <v>5</v>
      </c>
      <c r="I80" s="200">
        <f t="shared" si="49"/>
        <v>10</v>
      </c>
      <c r="J80" s="200">
        <f t="shared" si="49"/>
        <v>15</v>
      </c>
      <c r="K80" s="200">
        <f t="shared" si="49"/>
        <v>20</v>
      </c>
      <c r="L80" s="200">
        <f t="shared" si="49"/>
        <v>25</v>
      </c>
      <c r="M80" s="200">
        <f t="shared" si="49"/>
        <v>30</v>
      </c>
      <c r="N80" s="200">
        <f t="shared" si="49"/>
        <v>35</v>
      </c>
      <c r="O80" s="200">
        <f t="shared" si="49"/>
        <v>40</v>
      </c>
      <c r="P80" s="200">
        <f t="shared" si="49"/>
        <v>50</v>
      </c>
      <c r="Q80" s="200">
        <f t="shared" si="49"/>
        <v>75</v>
      </c>
      <c r="R80" s="200">
        <f t="shared" si="49"/>
        <v>100</v>
      </c>
      <c r="S80" s="200">
        <f t="shared" si="49"/>
        <v>125</v>
      </c>
      <c r="T80" s="200">
        <f t="shared" si="49"/>
        <v>150</v>
      </c>
      <c r="U80" s="200">
        <f t="shared" si="49"/>
        <v>200</v>
      </c>
      <c r="V80" s="200">
        <f t="shared" si="49"/>
        <v>250</v>
      </c>
      <c r="W80" s="200">
        <f t="shared" si="49"/>
        <v>300</v>
      </c>
      <c r="X80" s="200">
        <f t="shared" si="49"/>
        <v>400</v>
      </c>
      <c r="Y80" s="211">
        <f t="shared" si="49"/>
        <v>500</v>
      </c>
      <c r="Z80" s="181"/>
      <c r="AA80" s="68"/>
      <c r="AB80" s="180"/>
      <c r="AC80" s="180"/>
      <c r="AD80" s="180"/>
      <c r="AE80" s="180"/>
      <c r="AF80" s="180"/>
      <c r="AG80" s="180"/>
      <c r="AH80" s="180"/>
      <c r="AI80" s="180"/>
    </row>
    <row r="81">
      <c r="A81" s="199" t="str">
        <f t="shared" ref="A81:E81" si="50">A29</f>
        <v>ETB</v>
      </c>
      <c r="B81" s="199" t="str">
        <f t="shared" si="50"/>
        <v>Br‎</v>
      </c>
      <c r="C81" s="199" t="str">
        <f t="shared" si="50"/>
        <v>衣索比亞比爾</v>
      </c>
      <c r="D81" s="199" t="str">
        <f t="shared" si="50"/>
        <v/>
      </c>
      <c r="E81" s="200">
        <f t="shared" si="50"/>
        <v>0.01</v>
      </c>
      <c r="F81" s="200">
        <f t="shared" ref="F81:Y81" si="51">HLOOKUP(F29,$F$1:$AI$2,2) * $D$1 * $E81</f>
        <v>0.1</v>
      </c>
      <c r="G81" s="200">
        <f t="shared" si="51"/>
        <v>0.5</v>
      </c>
      <c r="H81" s="200">
        <f t="shared" si="51"/>
        <v>1</v>
      </c>
      <c r="I81" s="200">
        <f t="shared" si="51"/>
        <v>2</v>
      </c>
      <c r="J81" s="200">
        <f t="shared" si="51"/>
        <v>3</v>
      </c>
      <c r="K81" s="200">
        <f t="shared" si="51"/>
        <v>4</v>
      </c>
      <c r="L81" s="200">
        <f t="shared" si="51"/>
        <v>5</v>
      </c>
      <c r="M81" s="200">
        <f t="shared" si="51"/>
        <v>6</v>
      </c>
      <c r="N81" s="200">
        <f t="shared" si="51"/>
        <v>7</v>
      </c>
      <c r="O81" s="200">
        <f t="shared" si="51"/>
        <v>8</v>
      </c>
      <c r="P81" s="200">
        <f t="shared" si="51"/>
        <v>10</v>
      </c>
      <c r="Q81" s="200">
        <f t="shared" si="51"/>
        <v>15</v>
      </c>
      <c r="R81" s="200">
        <f t="shared" si="51"/>
        <v>20</v>
      </c>
      <c r="S81" s="200">
        <f t="shared" si="51"/>
        <v>25</v>
      </c>
      <c r="T81" s="200">
        <f t="shared" si="51"/>
        <v>30</v>
      </c>
      <c r="U81" s="200">
        <f t="shared" si="51"/>
        <v>40</v>
      </c>
      <c r="V81" s="200">
        <f t="shared" si="51"/>
        <v>50</v>
      </c>
      <c r="W81" s="200">
        <f t="shared" si="51"/>
        <v>60</v>
      </c>
      <c r="X81" s="200">
        <f t="shared" si="51"/>
        <v>80</v>
      </c>
      <c r="Y81" s="211">
        <f t="shared" si="51"/>
        <v>100</v>
      </c>
      <c r="Z81" s="181"/>
      <c r="AA81" s="68"/>
      <c r="AB81" s="180"/>
      <c r="AC81" s="180"/>
      <c r="AD81" s="180"/>
      <c r="AE81" s="180"/>
      <c r="AF81" s="180"/>
      <c r="AG81" s="180"/>
      <c r="AH81" s="180"/>
      <c r="AI81" s="180"/>
    </row>
    <row r="82">
      <c r="A82" s="190" t="str">
        <f t="shared" ref="A82:E82" si="52">A30</f>
        <v>UGX</v>
      </c>
      <c r="B82" s="190" t="str">
        <f t="shared" si="52"/>
        <v>USh</v>
      </c>
      <c r="C82" s="190" t="str">
        <f t="shared" si="52"/>
        <v>烏干達先令</v>
      </c>
      <c r="D82" s="190" t="str">
        <f t="shared" si="52"/>
        <v/>
      </c>
      <c r="E82" s="191">
        <f t="shared" si="52"/>
        <v>1</v>
      </c>
      <c r="F82" s="191">
        <f t="shared" ref="F82:Y82" si="53">HLOOKUP(F30,$F$1:$AI$2,2) * $D$1 * $E82</f>
        <v>10</v>
      </c>
      <c r="G82" s="191">
        <f t="shared" si="53"/>
        <v>50</v>
      </c>
      <c r="H82" s="191">
        <f t="shared" si="53"/>
        <v>100</v>
      </c>
      <c r="I82" s="191">
        <f t="shared" si="53"/>
        <v>150</v>
      </c>
      <c r="J82" s="191">
        <f t="shared" si="53"/>
        <v>200</v>
      </c>
      <c r="K82" s="191">
        <f t="shared" si="53"/>
        <v>250</v>
      </c>
      <c r="L82" s="191">
        <f t="shared" si="53"/>
        <v>300</v>
      </c>
      <c r="M82" s="191">
        <f t="shared" si="53"/>
        <v>350</v>
      </c>
      <c r="N82" s="191">
        <f t="shared" si="53"/>
        <v>400</v>
      </c>
      <c r="O82" s="191">
        <f t="shared" si="53"/>
        <v>500</v>
      </c>
      <c r="P82" s="191">
        <f t="shared" si="53"/>
        <v>600</v>
      </c>
      <c r="Q82" s="191">
        <f t="shared" si="53"/>
        <v>700</v>
      </c>
      <c r="R82" s="191">
        <f t="shared" si="53"/>
        <v>800</v>
      </c>
      <c r="S82" s="191">
        <f t="shared" si="53"/>
        <v>1000</v>
      </c>
      <c r="T82" s="191">
        <f t="shared" si="53"/>
        <v>1500</v>
      </c>
      <c r="U82" s="191">
        <f t="shared" si="53"/>
        <v>2000</v>
      </c>
      <c r="V82" s="191">
        <f t="shared" si="53"/>
        <v>2500</v>
      </c>
      <c r="W82" s="191">
        <f t="shared" si="53"/>
        <v>3000</v>
      </c>
      <c r="X82" s="191">
        <f t="shared" si="53"/>
        <v>4000</v>
      </c>
      <c r="Y82" s="191">
        <f t="shared" si="53"/>
        <v>5000</v>
      </c>
      <c r="Z82" s="181"/>
      <c r="AA82" s="68"/>
      <c r="AB82" s="180"/>
      <c r="AC82" s="180"/>
      <c r="AD82" s="180"/>
      <c r="AE82" s="180"/>
      <c r="AF82" s="180"/>
      <c r="AG82" s="180"/>
      <c r="AH82" s="180"/>
      <c r="AI82" s="180"/>
    </row>
    <row r="83">
      <c r="A83" s="196" t="str">
        <f t="shared" ref="A83:E83" si="54">A31</f>
        <v>EUR</v>
      </c>
      <c r="B83" s="196" t="str">
        <f t="shared" si="54"/>
        <v>€</v>
      </c>
      <c r="C83" s="196" t="str">
        <f t="shared" si="54"/>
        <v>歐元</v>
      </c>
      <c r="D83" s="196" t="str">
        <f t="shared" si="54"/>
        <v/>
      </c>
      <c r="E83" s="197">
        <f t="shared" si="54"/>
        <v>0.001</v>
      </c>
      <c r="F83" s="197">
        <f t="shared" ref="F83:Y83" si="55">HLOOKUP(F31,$F$1:$AI$2,2) * $D$1 * $E83</f>
        <v>0.01</v>
      </c>
      <c r="G83" s="197">
        <f t="shared" si="55"/>
        <v>0.05</v>
      </c>
      <c r="H83" s="197">
        <f t="shared" si="55"/>
        <v>0.1</v>
      </c>
      <c r="I83" s="197">
        <f t="shared" si="55"/>
        <v>0.12</v>
      </c>
      <c r="J83" s="197">
        <f t="shared" si="55"/>
        <v>0.15</v>
      </c>
      <c r="K83" s="197">
        <f t="shared" si="55"/>
        <v>0.18</v>
      </c>
      <c r="L83" s="197">
        <f t="shared" si="55"/>
        <v>0.2</v>
      </c>
      <c r="M83" s="197">
        <f t="shared" si="55"/>
        <v>0.25</v>
      </c>
      <c r="N83" s="197">
        <f t="shared" si="55"/>
        <v>0.3</v>
      </c>
      <c r="O83" s="197">
        <f t="shared" si="55"/>
        <v>0.35</v>
      </c>
      <c r="P83" s="197">
        <f t="shared" si="55"/>
        <v>0.4</v>
      </c>
      <c r="Q83" s="197">
        <f t="shared" si="55"/>
        <v>0.45</v>
      </c>
      <c r="R83" s="197">
        <f t="shared" si="55"/>
        <v>0.5</v>
      </c>
      <c r="S83" s="197">
        <f t="shared" si="55"/>
        <v>0.6</v>
      </c>
      <c r="T83" s="197">
        <f t="shared" si="55"/>
        <v>0.7</v>
      </c>
      <c r="U83" s="197">
        <f t="shared" si="55"/>
        <v>0.8</v>
      </c>
      <c r="V83" s="197">
        <f t="shared" si="55"/>
        <v>0.9</v>
      </c>
      <c r="W83" s="197">
        <f t="shared" si="55"/>
        <v>1</v>
      </c>
      <c r="X83" s="197">
        <f t="shared" si="55"/>
        <v>1.25</v>
      </c>
      <c r="Y83" s="210">
        <f t="shared" si="55"/>
        <v>1.5</v>
      </c>
      <c r="Z83" s="181"/>
      <c r="AA83" s="68"/>
      <c r="AB83" s="180"/>
      <c r="AC83" s="180"/>
      <c r="AD83" s="180"/>
      <c r="AE83" s="180"/>
      <c r="AF83" s="180"/>
      <c r="AG83" s="180"/>
      <c r="AH83" s="180"/>
      <c r="AI83" s="180"/>
    </row>
    <row r="84">
      <c r="A84" s="190" t="str">
        <f t="shared" ref="A84:E84" si="56">A32</f>
        <v>ARS</v>
      </c>
      <c r="B84" s="190" t="str">
        <f t="shared" si="56"/>
        <v>$</v>
      </c>
      <c r="C84" s="190" t="str">
        <f t="shared" si="56"/>
        <v>阿根廷披索</v>
      </c>
      <c r="D84" s="190" t="str">
        <f t="shared" si="56"/>
        <v/>
      </c>
      <c r="E84" s="191">
        <f t="shared" si="56"/>
        <v>0.2</v>
      </c>
      <c r="F84" s="191">
        <f t="shared" ref="F84:Y84" si="57">HLOOKUP(F32,$F$1:$AI$2,2) * $D$1 * $E84</f>
        <v>2</v>
      </c>
      <c r="G84" s="191">
        <f t="shared" si="57"/>
        <v>10</v>
      </c>
      <c r="H84" s="191">
        <f t="shared" si="57"/>
        <v>20</v>
      </c>
      <c r="I84" s="191">
        <f t="shared" si="57"/>
        <v>30</v>
      </c>
      <c r="J84" s="191">
        <f t="shared" si="57"/>
        <v>40</v>
      </c>
      <c r="K84" s="191">
        <f t="shared" si="57"/>
        <v>50</v>
      </c>
      <c r="L84" s="191">
        <f t="shared" si="57"/>
        <v>60</v>
      </c>
      <c r="M84" s="191">
        <f t="shared" si="57"/>
        <v>70</v>
      </c>
      <c r="N84" s="191">
        <f t="shared" si="57"/>
        <v>80</v>
      </c>
      <c r="O84" s="191">
        <f t="shared" si="57"/>
        <v>100</v>
      </c>
      <c r="P84" s="191">
        <f t="shared" si="57"/>
        <v>120</v>
      </c>
      <c r="Q84" s="191">
        <f t="shared" si="57"/>
        <v>140</v>
      </c>
      <c r="R84" s="191">
        <f t="shared" si="57"/>
        <v>160</v>
      </c>
      <c r="S84" s="191">
        <f t="shared" si="57"/>
        <v>200</v>
      </c>
      <c r="T84" s="191">
        <f t="shared" si="57"/>
        <v>300</v>
      </c>
      <c r="U84" s="191">
        <f t="shared" si="57"/>
        <v>400</v>
      </c>
      <c r="V84" s="191">
        <f t="shared" si="57"/>
        <v>500</v>
      </c>
      <c r="W84" s="191">
        <f t="shared" si="57"/>
        <v>600</v>
      </c>
      <c r="X84" s="191">
        <f t="shared" si="57"/>
        <v>800</v>
      </c>
      <c r="Y84" s="191">
        <f t="shared" si="57"/>
        <v>1000</v>
      </c>
      <c r="Z84" s="181"/>
      <c r="AA84" s="68"/>
      <c r="AB84" s="180"/>
      <c r="AC84" s="180"/>
      <c r="AD84" s="180"/>
      <c r="AE84" s="180"/>
      <c r="AF84" s="180"/>
      <c r="AG84" s="180"/>
      <c r="AH84" s="180"/>
      <c r="AI84" s="180"/>
    </row>
    <row r="85">
      <c r="A85" s="190" t="str">
        <f t="shared" ref="A85:E85" si="58">A33</f>
        <v>NGN</v>
      </c>
      <c r="B85" s="190" t="str">
        <f t="shared" si="58"/>
        <v>₦</v>
      </c>
      <c r="C85" s="190" t="str">
        <f t="shared" si="58"/>
        <v>奈及利亞奈拉</v>
      </c>
      <c r="D85" s="190" t="str">
        <f t="shared" si="58"/>
        <v/>
      </c>
      <c r="E85" s="191">
        <f t="shared" si="58"/>
        <v>0.2</v>
      </c>
      <c r="F85" s="191">
        <f t="shared" ref="F85:Y85" si="59">HLOOKUP(F33,$F$1:$AI$2,2) * $D$1 * $E85</f>
        <v>2</v>
      </c>
      <c r="G85" s="191">
        <f t="shared" si="59"/>
        <v>10</v>
      </c>
      <c r="H85" s="191">
        <f t="shared" si="59"/>
        <v>20</v>
      </c>
      <c r="I85" s="191">
        <f t="shared" si="59"/>
        <v>30</v>
      </c>
      <c r="J85" s="191">
        <f t="shared" si="59"/>
        <v>40</v>
      </c>
      <c r="K85" s="191">
        <f t="shared" si="59"/>
        <v>50</v>
      </c>
      <c r="L85" s="191">
        <f t="shared" si="59"/>
        <v>60</v>
      </c>
      <c r="M85" s="191">
        <f t="shared" si="59"/>
        <v>70</v>
      </c>
      <c r="N85" s="191">
        <f t="shared" si="59"/>
        <v>80</v>
      </c>
      <c r="O85" s="191">
        <f t="shared" si="59"/>
        <v>100</v>
      </c>
      <c r="P85" s="191">
        <f t="shared" si="59"/>
        <v>120</v>
      </c>
      <c r="Q85" s="191">
        <f t="shared" si="59"/>
        <v>140</v>
      </c>
      <c r="R85" s="191">
        <f t="shared" si="59"/>
        <v>160</v>
      </c>
      <c r="S85" s="191">
        <f t="shared" si="59"/>
        <v>200</v>
      </c>
      <c r="T85" s="191">
        <f t="shared" si="59"/>
        <v>300</v>
      </c>
      <c r="U85" s="191">
        <f t="shared" si="59"/>
        <v>400</v>
      </c>
      <c r="V85" s="191">
        <f t="shared" si="59"/>
        <v>500</v>
      </c>
      <c r="W85" s="191">
        <f t="shared" si="59"/>
        <v>600</v>
      </c>
      <c r="X85" s="191">
        <f t="shared" si="59"/>
        <v>800</v>
      </c>
      <c r="Y85" s="191">
        <f t="shared" si="59"/>
        <v>1000</v>
      </c>
      <c r="Z85" s="181"/>
      <c r="AA85" s="68"/>
      <c r="AB85" s="180"/>
      <c r="AC85" s="180"/>
      <c r="AD85" s="180"/>
      <c r="AE85" s="180"/>
      <c r="AF85" s="180"/>
      <c r="AG85" s="180"/>
      <c r="AH85" s="180"/>
      <c r="AI85" s="180"/>
    </row>
    <row r="86">
      <c r="A86" s="190" t="str">
        <f t="shared" ref="A86:E86" si="60">A34</f>
        <v>KES</v>
      </c>
      <c r="B86" s="190" t="str">
        <f t="shared" si="60"/>
        <v>KSh</v>
      </c>
      <c r="C86" s="190" t="str">
        <f t="shared" si="60"/>
        <v>肯亞先令</v>
      </c>
      <c r="D86" s="190" t="str">
        <f t="shared" si="60"/>
        <v/>
      </c>
      <c r="E86" s="191">
        <f t="shared" si="60"/>
        <v>0.05</v>
      </c>
      <c r="F86" s="191">
        <f t="shared" ref="F86:Y86" si="61">HLOOKUP(F34,$F$1:$AI$2,2) * $D$1 * $E86</f>
        <v>0.5</v>
      </c>
      <c r="G86" s="191">
        <f t="shared" si="61"/>
        <v>2.5</v>
      </c>
      <c r="H86" s="191">
        <f t="shared" si="61"/>
        <v>5</v>
      </c>
      <c r="I86" s="191">
        <f t="shared" si="61"/>
        <v>7.5</v>
      </c>
      <c r="J86" s="191">
        <f t="shared" si="61"/>
        <v>10</v>
      </c>
      <c r="K86" s="191">
        <f t="shared" si="61"/>
        <v>12.5</v>
      </c>
      <c r="L86" s="191">
        <f t="shared" si="61"/>
        <v>15</v>
      </c>
      <c r="M86" s="191">
        <f t="shared" si="61"/>
        <v>17.5</v>
      </c>
      <c r="N86" s="191">
        <f t="shared" si="61"/>
        <v>20</v>
      </c>
      <c r="O86" s="191">
        <f t="shared" si="61"/>
        <v>25</v>
      </c>
      <c r="P86" s="191">
        <f t="shared" si="61"/>
        <v>30</v>
      </c>
      <c r="Q86" s="191">
        <f t="shared" si="61"/>
        <v>35</v>
      </c>
      <c r="R86" s="191">
        <f t="shared" si="61"/>
        <v>40</v>
      </c>
      <c r="S86" s="191">
        <f t="shared" si="61"/>
        <v>50</v>
      </c>
      <c r="T86" s="191">
        <f t="shared" si="61"/>
        <v>75</v>
      </c>
      <c r="U86" s="191">
        <f t="shared" si="61"/>
        <v>100</v>
      </c>
      <c r="V86" s="191">
        <f t="shared" si="61"/>
        <v>125</v>
      </c>
      <c r="W86" s="191">
        <f t="shared" si="61"/>
        <v>150</v>
      </c>
      <c r="X86" s="191">
        <f t="shared" si="61"/>
        <v>200</v>
      </c>
      <c r="Y86" s="191">
        <f t="shared" si="61"/>
        <v>250</v>
      </c>
      <c r="Z86" s="181"/>
      <c r="AA86" s="68"/>
      <c r="AB86" s="180"/>
      <c r="AC86" s="180"/>
      <c r="AD86" s="180"/>
      <c r="AE86" s="180"/>
      <c r="AF86" s="180"/>
      <c r="AG86" s="180"/>
      <c r="AH86" s="180"/>
      <c r="AI86" s="180"/>
    </row>
    <row r="87">
      <c r="A87" s="190" t="str">
        <f t="shared" ref="A87:E87" si="62">A35</f>
        <v>ZAR</v>
      </c>
      <c r="B87" s="190" t="str">
        <f t="shared" si="62"/>
        <v>R</v>
      </c>
      <c r="C87" s="190" t="str">
        <f t="shared" si="62"/>
        <v>南非鍰</v>
      </c>
      <c r="D87" s="190" t="str">
        <f t="shared" si="62"/>
        <v/>
      </c>
      <c r="E87" s="191">
        <f t="shared" si="62"/>
        <v>0.005</v>
      </c>
      <c r="F87" s="191">
        <f t="shared" ref="F87:Y87" si="63">HLOOKUP(F35,$F$1:$AI$2,2) * $D$1 * $E87</f>
        <v>0.05</v>
      </c>
      <c r="G87" s="191">
        <f t="shared" si="63"/>
        <v>0.25</v>
      </c>
      <c r="H87" s="191">
        <f t="shared" si="63"/>
        <v>0.5</v>
      </c>
      <c r="I87" s="191">
        <f t="shared" si="63"/>
        <v>0.75</v>
      </c>
      <c r="J87" s="191">
        <f t="shared" si="63"/>
        <v>1</v>
      </c>
      <c r="K87" s="191">
        <f t="shared" si="63"/>
        <v>1.25</v>
      </c>
      <c r="L87" s="191">
        <f t="shared" si="63"/>
        <v>1.5</v>
      </c>
      <c r="M87" s="191">
        <f t="shared" si="63"/>
        <v>1.75</v>
      </c>
      <c r="N87" s="191">
        <f t="shared" si="63"/>
        <v>2</v>
      </c>
      <c r="O87" s="191">
        <f t="shared" si="63"/>
        <v>2.5</v>
      </c>
      <c r="P87" s="191">
        <f t="shared" si="63"/>
        <v>3</v>
      </c>
      <c r="Q87" s="191">
        <f t="shared" si="63"/>
        <v>3.5</v>
      </c>
      <c r="R87" s="191">
        <f t="shared" si="63"/>
        <v>4</v>
      </c>
      <c r="S87" s="191">
        <f t="shared" si="63"/>
        <v>5</v>
      </c>
      <c r="T87" s="191">
        <f t="shared" si="63"/>
        <v>7.5</v>
      </c>
      <c r="U87" s="191">
        <f t="shared" si="63"/>
        <v>10</v>
      </c>
      <c r="V87" s="191">
        <f t="shared" si="63"/>
        <v>12.5</v>
      </c>
      <c r="W87" s="191">
        <f t="shared" si="63"/>
        <v>15</v>
      </c>
      <c r="X87" s="191">
        <f t="shared" si="63"/>
        <v>20</v>
      </c>
      <c r="Y87" s="191">
        <f t="shared" si="63"/>
        <v>25</v>
      </c>
      <c r="Z87" s="181"/>
      <c r="AA87" s="68"/>
      <c r="AB87" s="180"/>
      <c r="AC87" s="180"/>
      <c r="AD87" s="180"/>
      <c r="AE87" s="180"/>
      <c r="AF87" s="180"/>
      <c r="AG87" s="180"/>
      <c r="AH87" s="180"/>
      <c r="AI87" s="180"/>
    </row>
    <row r="88">
      <c r="A88" s="199" t="str">
        <f t="shared" ref="A88:E88" si="64">A36</f>
        <v>TRY</v>
      </c>
      <c r="B88" s="199" t="str">
        <f t="shared" si="64"/>
        <v>₺</v>
      </c>
      <c r="C88" s="199" t="str">
        <f t="shared" si="64"/>
        <v>土耳其里拉</v>
      </c>
      <c r="D88" s="199" t="str">
        <f t="shared" si="64"/>
        <v/>
      </c>
      <c r="E88" s="200">
        <f t="shared" si="64"/>
        <v>0.005</v>
      </c>
      <c r="F88" s="200">
        <f t="shared" ref="F88:Y88" si="65">HLOOKUP(F36,$F$1:$AI$2,2) * $D$1 * $E88</f>
        <v>0.05</v>
      </c>
      <c r="G88" s="200">
        <f t="shared" si="65"/>
        <v>0.25</v>
      </c>
      <c r="H88" s="200">
        <f t="shared" si="65"/>
        <v>0.5</v>
      </c>
      <c r="I88" s="200">
        <f t="shared" si="65"/>
        <v>1</v>
      </c>
      <c r="J88" s="200">
        <f t="shared" si="65"/>
        <v>1.5</v>
      </c>
      <c r="K88" s="200">
        <f t="shared" si="65"/>
        <v>2</v>
      </c>
      <c r="L88" s="200">
        <f t="shared" si="65"/>
        <v>2.5</v>
      </c>
      <c r="M88" s="200">
        <f t="shared" si="65"/>
        <v>3</v>
      </c>
      <c r="N88" s="200">
        <f t="shared" si="65"/>
        <v>3.5</v>
      </c>
      <c r="O88" s="200">
        <f t="shared" si="65"/>
        <v>4</v>
      </c>
      <c r="P88" s="200">
        <f t="shared" si="65"/>
        <v>5</v>
      </c>
      <c r="Q88" s="200">
        <f t="shared" si="65"/>
        <v>7.5</v>
      </c>
      <c r="R88" s="200">
        <f t="shared" si="65"/>
        <v>10</v>
      </c>
      <c r="S88" s="200">
        <f t="shared" si="65"/>
        <v>12.5</v>
      </c>
      <c r="T88" s="200">
        <f t="shared" si="65"/>
        <v>15</v>
      </c>
      <c r="U88" s="200">
        <f t="shared" si="65"/>
        <v>20</v>
      </c>
      <c r="V88" s="200">
        <f t="shared" si="65"/>
        <v>25</v>
      </c>
      <c r="W88" s="200">
        <f t="shared" si="65"/>
        <v>30</v>
      </c>
      <c r="X88" s="200">
        <f t="shared" si="65"/>
        <v>40</v>
      </c>
      <c r="Y88" s="211">
        <f t="shared" si="65"/>
        <v>50</v>
      </c>
      <c r="Z88" s="181"/>
      <c r="AA88" s="68"/>
      <c r="AB88" s="180"/>
      <c r="AC88" s="180"/>
      <c r="AD88" s="180"/>
      <c r="AE88" s="180"/>
      <c r="AF88" s="180"/>
      <c r="AG88" s="180"/>
      <c r="AH88" s="180"/>
      <c r="AI88" s="180"/>
    </row>
    <row r="89">
      <c r="A89" s="196" t="str">
        <f t="shared" ref="A89:E89" si="66">A37</f>
        <v>GBP</v>
      </c>
      <c r="B89" s="196" t="str">
        <f t="shared" si="66"/>
        <v>£</v>
      </c>
      <c r="C89" s="196" t="str">
        <f t="shared" si="66"/>
        <v>英鎊</v>
      </c>
      <c r="D89" s="196" t="str">
        <f t="shared" si="66"/>
        <v/>
      </c>
      <c r="E89" s="197">
        <f t="shared" si="66"/>
        <v>0.001</v>
      </c>
      <c r="F89" s="197">
        <f t="shared" ref="F89:Y89" si="67">HLOOKUP(F37,$F$1:$AI$2,2) * $D$1 * $E89</f>
        <v>0.01</v>
      </c>
      <c r="G89" s="197">
        <f t="shared" si="67"/>
        <v>0.05</v>
      </c>
      <c r="H89" s="197">
        <f t="shared" si="67"/>
        <v>0.1</v>
      </c>
      <c r="I89" s="197">
        <f t="shared" si="67"/>
        <v>0.12</v>
      </c>
      <c r="J89" s="197">
        <f t="shared" si="67"/>
        <v>0.15</v>
      </c>
      <c r="K89" s="197">
        <f t="shared" si="67"/>
        <v>0.18</v>
      </c>
      <c r="L89" s="197">
        <f t="shared" si="67"/>
        <v>0.2</v>
      </c>
      <c r="M89" s="197">
        <f t="shared" si="67"/>
        <v>0.25</v>
      </c>
      <c r="N89" s="197">
        <f t="shared" si="67"/>
        <v>0.3</v>
      </c>
      <c r="O89" s="197">
        <f t="shared" si="67"/>
        <v>0.35</v>
      </c>
      <c r="P89" s="197">
        <f t="shared" si="67"/>
        <v>0.4</v>
      </c>
      <c r="Q89" s="197">
        <f t="shared" si="67"/>
        <v>0.45</v>
      </c>
      <c r="R89" s="197">
        <f t="shared" si="67"/>
        <v>0.5</v>
      </c>
      <c r="S89" s="197">
        <f t="shared" si="67"/>
        <v>0.6</v>
      </c>
      <c r="T89" s="197">
        <f t="shared" si="67"/>
        <v>0.7</v>
      </c>
      <c r="U89" s="197">
        <f t="shared" si="67"/>
        <v>0.8</v>
      </c>
      <c r="V89" s="197">
        <f t="shared" si="67"/>
        <v>0.9</v>
      </c>
      <c r="W89" s="197">
        <f t="shared" si="67"/>
        <v>1</v>
      </c>
      <c r="X89" s="197">
        <f t="shared" si="67"/>
        <v>1.25</v>
      </c>
      <c r="Y89" s="210">
        <f t="shared" si="67"/>
        <v>1.5</v>
      </c>
      <c r="Z89" s="181"/>
      <c r="AA89" s="68"/>
      <c r="AB89" s="180"/>
      <c r="AC89" s="180"/>
      <c r="AD89" s="180"/>
      <c r="AE89" s="180"/>
      <c r="AF89" s="180"/>
      <c r="AG89" s="180"/>
      <c r="AH89" s="180"/>
      <c r="AI89" s="180"/>
    </row>
    <row r="90">
      <c r="A90" s="199" t="str">
        <f t="shared" ref="A90:E90" si="68">A38</f>
        <v>NPR</v>
      </c>
      <c r="B90" s="199" t="str">
        <f t="shared" si="68"/>
        <v>रू</v>
      </c>
      <c r="C90" s="199" t="str">
        <f t="shared" si="68"/>
        <v>尼泊爾盧比</v>
      </c>
      <c r="D90" s="199" t="str">
        <f t="shared" si="68"/>
        <v/>
      </c>
      <c r="E90" s="200">
        <f t="shared" si="68"/>
        <v>0.02</v>
      </c>
      <c r="F90" s="200">
        <f t="shared" ref="F90:Y90" si="69">HLOOKUP(F38,$F$1:$AI$2,2) * $D$1 * $E90</f>
        <v>0.2</v>
      </c>
      <c r="G90" s="200">
        <f t="shared" si="69"/>
        <v>1</v>
      </c>
      <c r="H90" s="200">
        <f t="shared" si="69"/>
        <v>2</v>
      </c>
      <c r="I90" s="200">
        <f t="shared" si="69"/>
        <v>4</v>
      </c>
      <c r="J90" s="200">
        <f t="shared" si="69"/>
        <v>6</v>
      </c>
      <c r="K90" s="200">
        <f t="shared" si="69"/>
        <v>8</v>
      </c>
      <c r="L90" s="200">
        <f t="shared" si="69"/>
        <v>10</v>
      </c>
      <c r="M90" s="200">
        <f t="shared" si="69"/>
        <v>12</v>
      </c>
      <c r="N90" s="200">
        <f t="shared" si="69"/>
        <v>14</v>
      </c>
      <c r="O90" s="200">
        <f t="shared" si="69"/>
        <v>16</v>
      </c>
      <c r="P90" s="200">
        <f t="shared" si="69"/>
        <v>20</v>
      </c>
      <c r="Q90" s="200">
        <f t="shared" si="69"/>
        <v>30</v>
      </c>
      <c r="R90" s="200">
        <f t="shared" si="69"/>
        <v>40</v>
      </c>
      <c r="S90" s="200">
        <f t="shared" si="69"/>
        <v>50</v>
      </c>
      <c r="T90" s="200">
        <f t="shared" si="69"/>
        <v>60</v>
      </c>
      <c r="U90" s="200">
        <f t="shared" si="69"/>
        <v>80</v>
      </c>
      <c r="V90" s="200">
        <f t="shared" si="69"/>
        <v>100</v>
      </c>
      <c r="W90" s="200">
        <f t="shared" si="69"/>
        <v>120</v>
      </c>
      <c r="X90" s="200">
        <f t="shared" si="69"/>
        <v>160</v>
      </c>
      <c r="Y90" s="211">
        <f t="shared" si="69"/>
        <v>200</v>
      </c>
      <c r="Z90" s="181"/>
      <c r="AA90" s="68"/>
      <c r="AB90" s="180"/>
      <c r="AC90" s="180"/>
      <c r="AD90" s="180"/>
      <c r="AE90" s="180"/>
      <c r="AF90" s="180"/>
      <c r="AG90" s="180"/>
      <c r="AH90" s="180"/>
      <c r="AI90" s="180"/>
    </row>
    <row r="91">
      <c r="A91" s="196" t="str">
        <f t="shared" ref="A91:E91" si="70">A39</f>
        <v>CHF</v>
      </c>
      <c r="B91" s="196" t="str">
        <f t="shared" si="70"/>
        <v>CHF</v>
      </c>
      <c r="C91" s="196" t="str">
        <f t="shared" si="70"/>
        <v>瑞士法郎</v>
      </c>
      <c r="D91" s="196" t="str">
        <f t="shared" si="70"/>
        <v/>
      </c>
      <c r="E91" s="197">
        <f t="shared" si="70"/>
        <v>0.001</v>
      </c>
      <c r="F91" s="197">
        <f t="shared" ref="F91:Y91" si="71">HLOOKUP(F39,$F$1:$AI$2,2) * $D$1 * $E91</f>
        <v>0.01</v>
      </c>
      <c r="G91" s="197">
        <f t="shared" si="71"/>
        <v>0.05</v>
      </c>
      <c r="H91" s="197">
        <f t="shared" si="71"/>
        <v>0.1</v>
      </c>
      <c r="I91" s="197">
        <f t="shared" si="71"/>
        <v>0.12</v>
      </c>
      <c r="J91" s="197">
        <f t="shared" si="71"/>
        <v>0.15</v>
      </c>
      <c r="K91" s="197">
        <f t="shared" si="71"/>
        <v>0.18</v>
      </c>
      <c r="L91" s="197">
        <f t="shared" si="71"/>
        <v>0.2</v>
      </c>
      <c r="M91" s="197">
        <f t="shared" si="71"/>
        <v>0.25</v>
      </c>
      <c r="N91" s="197">
        <f t="shared" si="71"/>
        <v>0.3</v>
      </c>
      <c r="O91" s="197">
        <f t="shared" si="71"/>
        <v>0.35</v>
      </c>
      <c r="P91" s="197">
        <f t="shared" si="71"/>
        <v>0.4</v>
      </c>
      <c r="Q91" s="197">
        <f t="shared" si="71"/>
        <v>0.45</v>
      </c>
      <c r="R91" s="197">
        <f t="shared" si="71"/>
        <v>0.5</v>
      </c>
      <c r="S91" s="197">
        <f t="shared" si="71"/>
        <v>0.6</v>
      </c>
      <c r="T91" s="197">
        <f t="shared" si="71"/>
        <v>0.7</v>
      </c>
      <c r="U91" s="197">
        <f t="shared" si="71"/>
        <v>0.8</v>
      </c>
      <c r="V91" s="197">
        <f t="shared" si="71"/>
        <v>0.9</v>
      </c>
      <c r="W91" s="197">
        <f t="shared" si="71"/>
        <v>1</v>
      </c>
      <c r="X91" s="197">
        <f t="shared" si="71"/>
        <v>1.25</v>
      </c>
      <c r="Y91" s="210">
        <f t="shared" si="71"/>
        <v>1.5</v>
      </c>
      <c r="Z91" s="181"/>
      <c r="AA91" s="68"/>
      <c r="AB91" s="180"/>
      <c r="AC91" s="180"/>
      <c r="AD91" s="180"/>
      <c r="AE91" s="180"/>
      <c r="AF91" s="180"/>
      <c r="AG91" s="180"/>
      <c r="AH91" s="180"/>
      <c r="AI91" s="180"/>
    </row>
    <row r="92">
      <c r="A92" s="196" t="str">
        <f t="shared" ref="A92:E92" si="72">A40</f>
        <v>CAD</v>
      </c>
      <c r="B92" s="196" t="str">
        <f t="shared" si="72"/>
        <v>$</v>
      </c>
      <c r="C92" s="196" t="str">
        <f t="shared" si="72"/>
        <v>加幣</v>
      </c>
      <c r="D92" s="196" t="str">
        <f t="shared" si="72"/>
        <v/>
      </c>
      <c r="E92" s="197">
        <f t="shared" si="72"/>
        <v>0.001</v>
      </c>
      <c r="F92" s="197">
        <f t="shared" ref="F92:Y92" si="73">HLOOKUP(F40,$F$1:$AI$2,2) * $D$1 * $E92</f>
        <v>0.01</v>
      </c>
      <c r="G92" s="197">
        <f t="shared" si="73"/>
        <v>0.05</v>
      </c>
      <c r="H92" s="197">
        <f t="shared" si="73"/>
        <v>0.1</v>
      </c>
      <c r="I92" s="197">
        <f t="shared" si="73"/>
        <v>0.12</v>
      </c>
      <c r="J92" s="197">
        <f t="shared" si="73"/>
        <v>0.15</v>
      </c>
      <c r="K92" s="197">
        <f t="shared" si="73"/>
        <v>0.18</v>
      </c>
      <c r="L92" s="197">
        <f t="shared" si="73"/>
        <v>0.2</v>
      </c>
      <c r="M92" s="197">
        <f t="shared" si="73"/>
        <v>0.25</v>
      </c>
      <c r="N92" s="197">
        <f t="shared" si="73"/>
        <v>0.3</v>
      </c>
      <c r="O92" s="197">
        <f t="shared" si="73"/>
        <v>0.35</v>
      </c>
      <c r="P92" s="197">
        <f t="shared" si="73"/>
        <v>0.4</v>
      </c>
      <c r="Q92" s="197">
        <f t="shared" si="73"/>
        <v>0.45</v>
      </c>
      <c r="R92" s="197">
        <f t="shared" si="73"/>
        <v>0.5</v>
      </c>
      <c r="S92" s="197">
        <f t="shared" si="73"/>
        <v>0.6</v>
      </c>
      <c r="T92" s="197">
        <f t="shared" si="73"/>
        <v>0.7</v>
      </c>
      <c r="U92" s="197">
        <f t="shared" si="73"/>
        <v>0.8</v>
      </c>
      <c r="V92" s="197">
        <f t="shared" si="73"/>
        <v>0.9</v>
      </c>
      <c r="W92" s="197">
        <f t="shared" si="73"/>
        <v>1</v>
      </c>
      <c r="X92" s="197">
        <f t="shared" si="73"/>
        <v>1.25</v>
      </c>
      <c r="Y92" s="210">
        <f t="shared" si="73"/>
        <v>1.5</v>
      </c>
      <c r="Z92" s="181"/>
      <c r="AA92" s="68"/>
      <c r="AB92" s="180"/>
      <c r="AC92" s="180"/>
      <c r="AD92" s="180"/>
      <c r="AE92" s="180"/>
      <c r="AF92" s="180"/>
      <c r="AG92" s="180"/>
      <c r="AH92" s="180"/>
      <c r="AI92" s="180"/>
    </row>
    <row r="93">
      <c r="A93" s="190" t="str">
        <f t="shared" ref="A93:E93" si="74">A41</f>
        <v>PEN</v>
      </c>
      <c r="B93" s="190" t="str">
        <f t="shared" si="74"/>
        <v>PEN</v>
      </c>
      <c r="C93" s="190" t="str">
        <f t="shared" si="74"/>
        <v>秘魯新索爾</v>
      </c>
      <c r="D93" s="190" t="str">
        <f t="shared" si="74"/>
        <v/>
      </c>
      <c r="E93" s="191">
        <f t="shared" si="74"/>
        <v>0.001</v>
      </c>
      <c r="F93" s="191">
        <f t="shared" ref="F93:Y93" si="75">HLOOKUP(F41,$F$1:$AI$2,2) * $D$1 * $E93</f>
        <v>0.01</v>
      </c>
      <c r="G93" s="191">
        <f t="shared" si="75"/>
        <v>0.05</v>
      </c>
      <c r="H93" s="191">
        <f t="shared" si="75"/>
        <v>0.1</v>
      </c>
      <c r="I93" s="191">
        <f t="shared" si="75"/>
        <v>0.15</v>
      </c>
      <c r="J93" s="191">
        <f t="shared" si="75"/>
        <v>0.2</v>
      </c>
      <c r="K93" s="191">
        <f t="shared" si="75"/>
        <v>0.25</v>
      </c>
      <c r="L93" s="191">
        <f t="shared" si="75"/>
        <v>0.3</v>
      </c>
      <c r="M93" s="191">
        <f t="shared" si="75"/>
        <v>0.35</v>
      </c>
      <c r="N93" s="191">
        <f t="shared" si="75"/>
        <v>0.4</v>
      </c>
      <c r="O93" s="191">
        <f t="shared" si="75"/>
        <v>0.5</v>
      </c>
      <c r="P93" s="191">
        <f t="shared" si="75"/>
        <v>0.6</v>
      </c>
      <c r="Q93" s="191">
        <f t="shared" si="75"/>
        <v>0.7</v>
      </c>
      <c r="R93" s="191">
        <f t="shared" si="75"/>
        <v>0.8</v>
      </c>
      <c r="S93" s="191">
        <f t="shared" si="75"/>
        <v>1</v>
      </c>
      <c r="T93" s="191">
        <f t="shared" si="75"/>
        <v>1.5</v>
      </c>
      <c r="U93" s="191">
        <f t="shared" si="75"/>
        <v>2</v>
      </c>
      <c r="V93" s="191">
        <f t="shared" si="75"/>
        <v>2.5</v>
      </c>
      <c r="W93" s="191">
        <f t="shared" si="75"/>
        <v>3</v>
      </c>
      <c r="X93" s="191">
        <f t="shared" si="75"/>
        <v>4</v>
      </c>
      <c r="Y93" s="191">
        <f t="shared" si="75"/>
        <v>5</v>
      </c>
      <c r="Z93" s="181"/>
      <c r="AA93" s="68"/>
      <c r="AB93" s="180"/>
      <c r="AC93" s="180"/>
      <c r="AD93" s="180"/>
      <c r="AE93" s="180"/>
      <c r="AF93" s="180"/>
      <c r="AG93" s="180"/>
      <c r="AH93" s="180"/>
      <c r="AI93" s="180"/>
    </row>
    <row r="94">
      <c r="A94" s="190" t="str">
        <f t="shared" ref="A94:E94" si="76">A42</f>
        <v>AED</v>
      </c>
      <c r="B94" s="190" t="str">
        <f t="shared" si="76"/>
        <v>AED</v>
      </c>
      <c r="C94" s="190" t="str">
        <f t="shared" si="76"/>
        <v>阿聯迪拉姆</v>
      </c>
      <c r="D94" s="190" t="str">
        <f t="shared" si="76"/>
        <v/>
      </c>
      <c r="E94" s="191">
        <f t="shared" si="76"/>
        <v>0.001</v>
      </c>
      <c r="F94" s="191">
        <f t="shared" ref="F94:Y94" si="77">HLOOKUP(F42,$F$1:$AI$2,2) * $D$1 * $E94</f>
        <v>0.01</v>
      </c>
      <c r="G94" s="191">
        <f t="shared" si="77"/>
        <v>0.05</v>
      </c>
      <c r="H94" s="191">
        <f t="shared" si="77"/>
        <v>0.1</v>
      </c>
      <c r="I94" s="191">
        <f t="shared" si="77"/>
        <v>0.15</v>
      </c>
      <c r="J94" s="191">
        <f t="shared" si="77"/>
        <v>0.2</v>
      </c>
      <c r="K94" s="191">
        <f t="shared" si="77"/>
        <v>0.25</v>
      </c>
      <c r="L94" s="191">
        <f t="shared" si="77"/>
        <v>0.3</v>
      </c>
      <c r="M94" s="191">
        <f t="shared" si="77"/>
        <v>0.35</v>
      </c>
      <c r="N94" s="191">
        <f t="shared" si="77"/>
        <v>0.4</v>
      </c>
      <c r="O94" s="191">
        <f t="shared" si="77"/>
        <v>0.5</v>
      </c>
      <c r="P94" s="191">
        <f t="shared" si="77"/>
        <v>0.6</v>
      </c>
      <c r="Q94" s="191">
        <f t="shared" si="77"/>
        <v>0.7</v>
      </c>
      <c r="R94" s="191">
        <f t="shared" si="77"/>
        <v>0.8</v>
      </c>
      <c r="S94" s="191">
        <f t="shared" si="77"/>
        <v>1</v>
      </c>
      <c r="T94" s="191">
        <f t="shared" si="77"/>
        <v>1.5</v>
      </c>
      <c r="U94" s="191">
        <f t="shared" si="77"/>
        <v>2</v>
      </c>
      <c r="V94" s="191">
        <f t="shared" si="77"/>
        <v>2.5</v>
      </c>
      <c r="W94" s="191">
        <f t="shared" si="77"/>
        <v>3</v>
      </c>
      <c r="X94" s="191">
        <f t="shared" si="77"/>
        <v>4</v>
      </c>
      <c r="Y94" s="191">
        <f t="shared" si="77"/>
        <v>5</v>
      </c>
      <c r="Z94" s="181"/>
      <c r="AA94" s="68"/>
      <c r="AB94" s="180"/>
      <c r="AC94" s="180"/>
      <c r="AD94" s="180"/>
      <c r="AE94" s="180"/>
      <c r="AF94" s="180"/>
      <c r="AG94" s="180"/>
      <c r="AH94" s="180"/>
      <c r="AI94" s="180"/>
    </row>
    <row r="95">
      <c r="A95" s="196" t="str">
        <f t="shared" ref="A95:E95" si="78">A43</f>
        <v>BND</v>
      </c>
      <c r="B95" s="196" t="str">
        <f t="shared" si="78"/>
        <v>B$</v>
      </c>
      <c r="C95" s="196" t="str">
        <f t="shared" si="78"/>
        <v>汶萊幣</v>
      </c>
      <c r="D95" s="196" t="str">
        <f t="shared" si="78"/>
        <v/>
      </c>
      <c r="E95" s="197">
        <f t="shared" si="78"/>
        <v>0.001</v>
      </c>
      <c r="F95" s="197">
        <f t="shared" ref="F95:Y95" si="79">HLOOKUP(F43,$F$1:$AI$2,2) * $D$1 * $E95</f>
        <v>0.01</v>
      </c>
      <c r="G95" s="197">
        <f t="shared" si="79"/>
        <v>0.05</v>
      </c>
      <c r="H95" s="197">
        <f t="shared" si="79"/>
        <v>0.1</v>
      </c>
      <c r="I95" s="197">
        <f t="shared" si="79"/>
        <v>0.12</v>
      </c>
      <c r="J95" s="197">
        <f t="shared" si="79"/>
        <v>0.15</v>
      </c>
      <c r="K95" s="197">
        <f t="shared" si="79"/>
        <v>0.18</v>
      </c>
      <c r="L95" s="197">
        <f t="shared" si="79"/>
        <v>0.2</v>
      </c>
      <c r="M95" s="197">
        <f t="shared" si="79"/>
        <v>0.25</v>
      </c>
      <c r="N95" s="197">
        <f t="shared" si="79"/>
        <v>0.3</v>
      </c>
      <c r="O95" s="197">
        <f t="shared" si="79"/>
        <v>0.35</v>
      </c>
      <c r="P95" s="197">
        <f t="shared" si="79"/>
        <v>0.4</v>
      </c>
      <c r="Q95" s="197">
        <f t="shared" si="79"/>
        <v>0.45</v>
      </c>
      <c r="R95" s="197">
        <f t="shared" si="79"/>
        <v>0.5</v>
      </c>
      <c r="S95" s="197">
        <f t="shared" si="79"/>
        <v>0.6</v>
      </c>
      <c r="T95" s="197">
        <f t="shared" si="79"/>
        <v>0.7</v>
      </c>
      <c r="U95" s="197">
        <f t="shared" si="79"/>
        <v>0.8</v>
      </c>
      <c r="V95" s="197">
        <f t="shared" si="79"/>
        <v>0.9</v>
      </c>
      <c r="W95" s="197">
        <f t="shared" si="79"/>
        <v>1</v>
      </c>
      <c r="X95" s="197">
        <f t="shared" si="79"/>
        <v>1.25</v>
      </c>
      <c r="Y95" s="210">
        <f t="shared" si="79"/>
        <v>1.5</v>
      </c>
      <c r="Z95" s="181"/>
      <c r="AA95" s="68"/>
      <c r="AB95" s="180"/>
      <c r="AC95" s="180"/>
      <c r="AD95" s="180"/>
      <c r="AE95" s="180"/>
      <c r="AF95" s="180"/>
      <c r="AG95" s="180"/>
      <c r="AH95" s="180"/>
      <c r="AI95" s="180"/>
    </row>
    <row r="96">
      <c r="A96" s="190" t="str">
        <f t="shared" ref="A96:E96" si="80">A44</f>
        <v>COP</v>
      </c>
      <c r="B96" s="190" t="str">
        <f t="shared" si="80"/>
        <v>$</v>
      </c>
      <c r="C96" s="190" t="str">
        <f t="shared" si="80"/>
        <v>哥倫比亞披索</v>
      </c>
      <c r="D96" s="190" t="str">
        <f t="shared" si="80"/>
        <v/>
      </c>
      <c r="E96" s="191">
        <f t="shared" si="80"/>
        <v>1</v>
      </c>
      <c r="F96" s="191">
        <f t="shared" ref="F96:Y96" si="81">HLOOKUP(F44,$F$1:$AI$2,2) * $D$1 * $E96</f>
        <v>10</v>
      </c>
      <c r="G96" s="191">
        <f t="shared" si="81"/>
        <v>50</v>
      </c>
      <c r="H96" s="191">
        <f t="shared" si="81"/>
        <v>100</v>
      </c>
      <c r="I96" s="191">
        <f t="shared" si="81"/>
        <v>150</v>
      </c>
      <c r="J96" s="191">
        <f t="shared" si="81"/>
        <v>200</v>
      </c>
      <c r="K96" s="191">
        <f t="shared" si="81"/>
        <v>250</v>
      </c>
      <c r="L96" s="191">
        <f t="shared" si="81"/>
        <v>300</v>
      </c>
      <c r="M96" s="191">
        <f t="shared" si="81"/>
        <v>350</v>
      </c>
      <c r="N96" s="191">
        <f t="shared" si="81"/>
        <v>400</v>
      </c>
      <c r="O96" s="191">
        <f t="shared" si="81"/>
        <v>500</v>
      </c>
      <c r="P96" s="191">
        <f t="shared" si="81"/>
        <v>600</v>
      </c>
      <c r="Q96" s="191">
        <f t="shared" si="81"/>
        <v>700</v>
      </c>
      <c r="R96" s="191">
        <f t="shared" si="81"/>
        <v>800</v>
      </c>
      <c r="S96" s="191">
        <f t="shared" si="81"/>
        <v>1000</v>
      </c>
      <c r="T96" s="191">
        <f t="shared" si="81"/>
        <v>1500</v>
      </c>
      <c r="U96" s="191">
        <f t="shared" si="81"/>
        <v>2000</v>
      </c>
      <c r="V96" s="191">
        <f t="shared" si="81"/>
        <v>2500</v>
      </c>
      <c r="W96" s="191">
        <f t="shared" si="81"/>
        <v>3000</v>
      </c>
      <c r="X96" s="191">
        <f t="shared" si="81"/>
        <v>4000</v>
      </c>
      <c r="Y96" s="191">
        <f t="shared" si="81"/>
        <v>5000</v>
      </c>
      <c r="Z96" s="181"/>
      <c r="AA96" s="68"/>
      <c r="AB96" s="180"/>
      <c r="AC96" s="180"/>
      <c r="AD96" s="180"/>
      <c r="AE96" s="180"/>
      <c r="AF96" s="180"/>
      <c r="AG96" s="180"/>
      <c r="AH96" s="180"/>
      <c r="AI96" s="180"/>
    </row>
    <row r="97">
      <c r="A97" s="194" t="str">
        <f t="shared" ref="A97:E97" si="82">A45</f>
        <v>VNDO</v>
      </c>
      <c r="B97" s="194" t="str">
        <f t="shared" si="82"/>
        <v>₫</v>
      </c>
      <c r="C97" s="194" t="str">
        <f t="shared" si="82"/>
        <v>越南盾</v>
      </c>
      <c r="D97" s="194" t="str">
        <f t="shared" si="82"/>
        <v/>
      </c>
      <c r="E97" s="195">
        <f t="shared" si="82"/>
        <v>5</v>
      </c>
      <c r="F97" s="195">
        <f t="shared" ref="F97:Y97" si="83">HLOOKUP(F45,$F$1:$AI$2,2) * $D$1 * $E97</f>
        <v>50</v>
      </c>
      <c r="G97" s="195">
        <f t="shared" si="83"/>
        <v>250</v>
      </c>
      <c r="H97" s="195">
        <f t="shared" si="83"/>
        <v>500</v>
      </c>
      <c r="I97" s="195">
        <f t="shared" si="83"/>
        <v>750</v>
      </c>
      <c r="J97" s="195">
        <f t="shared" si="83"/>
        <v>1000</v>
      </c>
      <c r="K97" s="195">
        <f t="shared" si="83"/>
        <v>1500</v>
      </c>
      <c r="L97" s="195">
        <f t="shared" si="83"/>
        <v>2000</v>
      </c>
      <c r="M97" s="195">
        <f t="shared" si="83"/>
        <v>2500</v>
      </c>
      <c r="N97" s="195">
        <f t="shared" si="83"/>
        <v>3000</v>
      </c>
      <c r="O97" s="195">
        <f t="shared" si="83"/>
        <v>3500</v>
      </c>
      <c r="P97" s="195">
        <f t="shared" si="83"/>
        <v>4000</v>
      </c>
      <c r="Q97" s="195">
        <f t="shared" si="83"/>
        <v>5000</v>
      </c>
      <c r="R97" s="195">
        <f t="shared" si="83"/>
        <v>7500</v>
      </c>
      <c r="S97" s="195">
        <f t="shared" si="83"/>
        <v>10000</v>
      </c>
      <c r="T97" s="195">
        <f t="shared" si="83"/>
        <v>12500</v>
      </c>
      <c r="U97" s="195">
        <f t="shared" si="83"/>
        <v>15000</v>
      </c>
      <c r="V97" s="195">
        <f t="shared" si="83"/>
        <v>20000</v>
      </c>
      <c r="W97" s="195">
        <f t="shared" si="83"/>
        <v>25000</v>
      </c>
      <c r="X97" s="195">
        <f t="shared" si="83"/>
        <v>30000</v>
      </c>
      <c r="Y97" s="195">
        <f t="shared" si="83"/>
        <v>40000</v>
      </c>
      <c r="Z97" s="181"/>
      <c r="AA97" s="68"/>
      <c r="AB97" s="180"/>
      <c r="AC97" s="180"/>
      <c r="AD97" s="180"/>
      <c r="AE97" s="180"/>
      <c r="AF97" s="180"/>
      <c r="AG97" s="180"/>
      <c r="AH97" s="180"/>
      <c r="AI97" s="180"/>
    </row>
    <row r="98">
      <c r="A98" s="194" t="str">
        <f t="shared" ref="A98:E98" si="84">A46</f>
        <v>MYRC</v>
      </c>
      <c r="B98" s="194" t="str">
        <f t="shared" si="84"/>
        <v>RM</v>
      </c>
      <c r="C98" s="194" t="str">
        <f t="shared" si="84"/>
        <v>馬來西亞令吉</v>
      </c>
      <c r="D98" s="194">
        <f t="shared" si="84"/>
        <v>0.01</v>
      </c>
      <c r="E98" s="195">
        <f t="shared" si="84"/>
        <v>0.1</v>
      </c>
      <c r="F98" s="195">
        <f t="shared" ref="F98:Y98" si="85">HLOOKUP(F46,$F$1:$AI$2,2) * $D$1 * $E98</f>
        <v>1</v>
      </c>
      <c r="G98" s="195">
        <f t="shared" si="85"/>
        <v>5</v>
      </c>
      <c r="H98" s="195">
        <f t="shared" si="85"/>
        <v>10</v>
      </c>
      <c r="I98" s="195">
        <f t="shared" si="85"/>
        <v>15</v>
      </c>
      <c r="J98" s="195">
        <f t="shared" si="85"/>
        <v>20</v>
      </c>
      <c r="K98" s="195">
        <f t="shared" si="85"/>
        <v>30</v>
      </c>
      <c r="L98" s="195">
        <f t="shared" si="85"/>
        <v>40</v>
      </c>
      <c r="M98" s="195">
        <f t="shared" si="85"/>
        <v>50</v>
      </c>
      <c r="N98" s="195">
        <f t="shared" si="85"/>
        <v>60</v>
      </c>
      <c r="O98" s="195">
        <f t="shared" si="85"/>
        <v>70</v>
      </c>
      <c r="P98" s="195">
        <f t="shared" si="85"/>
        <v>80</v>
      </c>
      <c r="Q98" s="195">
        <f t="shared" si="85"/>
        <v>100</v>
      </c>
      <c r="R98" s="195">
        <f t="shared" si="85"/>
        <v>150</v>
      </c>
      <c r="S98" s="195">
        <f t="shared" si="85"/>
        <v>200</v>
      </c>
      <c r="T98" s="195">
        <f t="shared" si="85"/>
        <v>250</v>
      </c>
      <c r="U98" s="195">
        <f t="shared" si="85"/>
        <v>300</v>
      </c>
      <c r="V98" s="195">
        <f t="shared" si="85"/>
        <v>400</v>
      </c>
      <c r="W98" s="195">
        <f t="shared" si="85"/>
        <v>500</v>
      </c>
      <c r="X98" s="195">
        <f t="shared" si="85"/>
        <v>600</v>
      </c>
      <c r="Y98" s="195">
        <f t="shared" si="85"/>
        <v>800</v>
      </c>
      <c r="Z98" s="181"/>
      <c r="AA98" s="69"/>
      <c r="AB98" s="180"/>
      <c r="AC98" s="180"/>
      <c r="AD98" s="180"/>
      <c r="AE98" s="180"/>
      <c r="AF98" s="180"/>
      <c r="AG98" s="180"/>
      <c r="AH98" s="180"/>
      <c r="AI98" s="180"/>
    </row>
    <row r="99">
      <c r="A99" s="190" t="str">
        <f t="shared" ref="A99:E99" si="86">A47</f>
        <v>XSD</v>
      </c>
      <c r="B99" s="190" t="str">
        <f t="shared" si="86"/>
        <v/>
      </c>
      <c r="C99" s="190" t="str">
        <f t="shared" si="86"/>
        <v>星幣</v>
      </c>
      <c r="D99" s="190" t="str">
        <f t="shared" si="86"/>
        <v/>
      </c>
      <c r="E99" s="191">
        <f t="shared" si="86"/>
        <v>10</v>
      </c>
      <c r="F99" s="191">
        <f t="shared" ref="F99:Y99" si="87">HLOOKUP(F47,$F$1:$AI$2,2) * $D$1 * $E99</f>
        <v>100</v>
      </c>
      <c r="G99" s="191">
        <f t="shared" si="87"/>
        <v>500</v>
      </c>
      <c r="H99" s="191">
        <f t="shared" si="87"/>
        <v>1000</v>
      </c>
      <c r="I99" s="191">
        <f t="shared" si="87"/>
        <v>1500</v>
      </c>
      <c r="J99" s="191">
        <f t="shared" si="87"/>
        <v>2000</v>
      </c>
      <c r="K99" s="191">
        <f t="shared" si="87"/>
        <v>2500</v>
      </c>
      <c r="L99" s="191">
        <f t="shared" si="87"/>
        <v>3000</v>
      </c>
      <c r="M99" s="191">
        <f t="shared" si="87"/>
        <v>3500</v>
      </c>
      <c r="N99" s="191">
        <f t="shared" si="87"/>
        <v>4000</v>
      </c>
      <c r="O99" s="191">
        <f t="shared" si="87"/>
        <v>5000</v>
      </c>
      <c r="P99" s="191">
        <f t="shared" si="87"/>
        <v>6000</v>
      </c>
      <c r="Q99" s="191">
        <f t="shared" si="87"/>
        <v>7000</v>
      </c>
      <c r="R99" s="191">
        <f t="shared" si="87"/>
        <v>8000</v>
      </c>
      <c r="S99" s="191">
        <f t="shared" si="87"/>
        <v>10000</v>
      </c>
      <c r="T99" s="191">
        <f t="shared" si="87"/>
        <v>15000</v>
      </c>
      <c r="U99" s="191">
        <f t="shared" si="87"/>
        <v>20000</v>
      </c>
      <c r="V99" s="191">
        <f t="shared" si="87"/>
        <v>25000</v>
      </c>
      <c r="W99" s="191">
        <f t="shared" si="87"/>
        <v>30000</v>
      </c>
      <c r="X99" s="191">
        <f t="shared" si="87"/>
        <v>40000</v>
      </c>
      <c r="Y99" s="191">
        <f t="shared" si="87"/>
        <v>50000</v>
      </c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</row>
    <row r="100">
      <c r="A100" s="194" t="str">
        <f t="shared" ref="A100:E100" si="88">A48</f>
        <v>DZD</v>
      </c>
      <c r="B100" s="194" t="str">
        <f t="shared" si="88"/>
        <v>دج</v>
      </c>
      <c r="C100" s="194" t="str">
        <f t="shared" si="88"/>
        <v>阿爾及利亞第納爾</v>
      </c>
      <c r="D100" s="194" t="str">
        <f t="shared" si="88"/>
        <v/>
      </c>
      <c r="E100" s="195">
        <f t="shared" si="88"/>
        <v>0.02</v>
      </c>
      <c r="F100" s="195">
        <f t="shared" ref="F100:Y100" si="89">HLOOKUP(F48,$F$1:$AI$2,2) * $D$1 * $E100</f>
        <v>0.2</v>
      </c>
      <c r="G100" s="195">
        <f t="shared" si="89"/>
        <v>1</v>
      </c>
      <c r="H100" s="195">
        <f t="shared" si="89"/>
        <v>2</v>
      </c>
      <c r="I100" s="195">
        <f t="shared" si="89"/>
        <v>3</v>
      </c>
      <c r="J100" s="195">
        <f t="shared" si="89"/>
        <v>4</v>
      </c>
      <c r="K100" s="195">
        <f t="shared" si="89"/>
        <v>6</v>
      </c>
      <c r="L100" s="195">
        <f t="shared" si="89"/>
        <v>8</v>
      </c>
      <c r="M100" s="195">
        <f t="shared" si="89"/>
        <v>10</v>
      </c>
      <c r="N100" s="195">
        <f t="shared" si="89"/>
        <v>12</v>
      </c>
      <c r="O100" s="195">
        <f t="shared" si="89"/>
        <v>14</v>
      </c>
      <c r="P100" s="195">
        <f t="shared" si="89"/>
        <v>16</v>
      </c>
      <c r="Q100" s="195">
        <f t="shared" si="89"/>
        <v>20</v>
      </c>
      <c r="R100" s="195">
        <f t="shared" si="89"/>
        <v>30</v>
      </c>
      <c r="S100" s="195">
        <f t="shared" si="89"/>
        <v>40</v>
      </c>
      <c r="T100" s="195">
        <f t="shared" si="89"/>
        <v>50</v>
      </c>
      <c r="U100" s="195">
        <f t="shared" si="89"/>
        <v>60</v>
      </c>
      <c r="V100" s="195">
        <f t="shared" si="89"/>
        <v>80</v>
      </c>
      <c r="W100" s="195">
        <f t="shared" si="89"/>
        <v>100</v>
      </c>
      <c r="X100" s="195">
        <f t="shared" si="89"/>
        <v>120</v>
      </c>
      <c r="Y100" s="195">
        <f t="shared" si="89"/>
        <v>160</v>
      </c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</row>
    <row r="101">
      <c r="A101" s="190" t="str">
        <f t="shared" ref="A101:E101" si="90">A49</f>
        <v>MAD</v>
      </c>
      <c r="B101" s="190" t="str">
        <f t="shared" si="90"/>
        <v>DH</v>
      </c>
      <c r="C101" s="190" t="str">
        <f t="shared" si="90"/>
        <v>摩洛哥迪拉姆</v>
      </c>
      <c r="D101" s="190" t="str">
        <f t="shared" si="90"/>
        <v/>
      </c>
      <c r="E101" s="191">
        <f t="shared" si="90"/>
        <v>0.002</v>
      </c>
      <c r="F101" s="191">
        <f t="shared" ref="F101:Y101" si="91">HLOOKUP(F49,$F$1:$AI$2,2) * $D$1 * $E101</f>
        <v>0.02</v>
      </c>
      <c r="G101" s="191">
        <f t="shared" si="91"/>
        <v>0.1</v>
      </c>
      <c r="H101" s="191">
        <f t="shared" si="91"/>
        <v>0.2</v>
      </c>
      <c r="I101" s="191">
        <f t="shared" si="91"/>
        <v>0.3</v>
      </c>
      <c r="J101" s="191">
        <f t="shared" si="91"/>
        <v>0.4</v>
      </c>
      <c r="K101" s="191">
        <f t="shared" si="91"/>
        <v>0.5</v>
      </c>
      <c r="L101" s="191">
        <f t="shared" si="91"/>
        <v>0.6</v>
      </c>
      <c r="M101" s="191">
        <f t="shared" si="91"/>
        <v>0.7</v>
      </c>
      <c r="N101" s="191">
        <f t="shared" si="91"/>
        <v>0.8</v>
      </c>
      <c r="O101" s="191">
        <f t="shared" si="91"/>
        <v>1</v>
      </c>
      <c r="P101" s="191">
        <f t="shared" si="91"/>
        <v>1.2</v>
      </c>
      <c r="Q101" s="191">
        <f t="shared" si="91"/>
        <v>1.4</v>
      </c>
      <c r="R101" s="191">
        <f t="shared" si="91"/>
        <v>1.6</v>
      </c>
      <c r="S101" s="191">
        <f t="shared" si="91"/>
        <v>2</v>
      </c>
      <c r="T101" s="191">
        <f t="shared" si="91"/>
        <v>3</v>
      </c>
      <c r="U101" s="191">
        <f t="shared" si="91"/>
        <v>4</v>
      </c>
      <c r="V101" s="191">
        <f t="shared" si="91"/>
        <v>5</v>
      </c>
      <c r="W101" s="191">
        <f t="shared" si="91"/>
        <v>6</v>
      </c>
      <c r="X101" s="191">
        <f t="shared" si="91"/>
        <v>8</v>
      </c>
      <c r="Y101" s="191">
        <f t="shared" si="91"/>
        <v>10</v>
      </c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</row>
    <row r="102">
      <c r="A102" s="190" t="str">
        <f t="shared" ref="A102:E102" si="92">A50</f>
        <v>FRF</v>
      </c>
      <c r="B102" s="190" t="str">
        <f t="shared" si="92"/>
        <v>₣</v>
      </c>
      <c r="C102" s="190" t="str">
        <f t="shared" si="92"/>
        <v>法國法郎</v>
      </c>
      <c r="D102" s="190" t="str">
        <f t="shared" si="92"/>
        <v/>
      </c>
      <c r="E102" s="191">
        <f t="shared" si="92"/>
        <v>0.002</v>
      </c>
      <c r="F102" s="191">
        <f t="shared" ref="F102:Y102" si="93">HLOOKUP(F50,$F$1:$AI$2,2) * $D$1 * $E102</f>
        <v>0.02</v>
      </c>
      <c r="G102" s="191">
        <f t="shared" si="93"/>
        <v>0.1</v>
      </c>
      <c r="H102" s="191">
        <f t="shared" si="93"/>
        <v>0.2</v>
      </c>
      <c r="I102" s="191">
        <f t="shared" si="93"/>
        <v>0.3</v>
      </c>
      <c r="J102" s="191">
        <f t="shared" si="93"/>
        <v>0.4</v>
      </c>
      <c r="K102" s="191">
        <f t="shared" si="93"/>
        <v>0.5</v>
      </c>
      <c r="L102" s="191">
        <f t="shared" si="93"/>
        <v>0.6</v>
      </c>
      <c r="M102" s="191">
        <f t="shared" si="93"/>
        <v>0.7</v>
      </c>
      <c r="N102" s="191">
        <f t="shared" si="93"/>
        <v>0.8</v>
      </c>
      <c r="O102" s="191">
        <f t="shared" si="93"/>
        <v>1</v>
      </c>
      <c r="P102" s="191">
        <f t="shared" si="93"/>
        <v>1.2</v>
      </c>
      <c r="Q102" s="191">
        <f t="shared" si="93"/>
        <v>1.4</v>
      </c>
      <c r="R102" s="191">
        <f t="shared" si="93"/>
        <v>1.6</v>
      </c>
      <c r="S102" s="191">
        <f t="shared" si="93"/>
        <v>2</v>
      </c>
      <c r="T102" s="191">
        <f t="shared" si="93"/>
        <v>3</v>
      </c>
      <c r="U102" s="191">
        <f t="shared" si="93"/>
        <v>4</v>
      </c>
      <c r="V102" s="191">
        <f t="shared" si="93"/>
        <v>5</v>
      </c>
      <c r="W102" s="191">
        <f t="shared" si="93"/>
        <v>6</v>
      </c>
      <c r="X102" s="191">
        <f t="shared" si="93"/>
        <v>8</v>
      </c>
      <c r="Y102" s="191">
        <f t="shared" si="93"/>
        <v>10</v>
      </c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</row>
    <row r="103">
      <c r="A103" s="190" t="str">
        <f t="shared" ref="A103:E103" si="94">A51</f>
        <v>GHS</v>
      </c>
      <c r="B103" s="190" t="str">
        <f t="shared" si="94"/>
        <v>Gp</v>
      </c>
      <c r="C103" s="190" t="str">
        <f t="shared" si="94"/>
        <v>迦納塞地</v>
      </c>
      <c r="D103" s="190" t="str">
        <f t="shared" si="94"/>
        <v/>
      </c>
      <c r="E103" s="191">
        <f t="shared" si="94"/>
        <v>0.002</v>
      </c>
      <c r="F103" s="191">
        <f t="shared" ref="F103:Y103" si="95">HLOOKUP(F51,$F$1:$AI$2,2) * $D$1 * $E103</f>
        <v>0.02</v>
      </c>
      <c r="G103" s="191">
        <f t="shared" si="95"/>
        <v>0.1</v>
      </c>
      <c r="H103" s="191">
        <f t="shared" si="95"/>
        <v>0.2</v>
      </c>
      <c r="I103" s="191">
        <f t="shared" si="95"/>
        <v>0.3</v>
      </c>
      <c r="J103" s="191">
        <f t="shared" si="95"/>
        <v>0.4</v>
      </c>
      <c r="K103" s="191">
        <f t="shared" si="95"/>
        <v>0.5</v>
      </c>
      <c r="L103" s="191">
        <f t="shared" si="95"/>
        <v>0.6</v>
      </c>
      <c r="M103" s="191">
        <f t="shared" si="95"/>
        <v>0.7</v>
      </c>
      <c r="N103" s="191">
        <f t="shared" si="95"/>
        <v>0.8</v>
      </c>
      <c r="O103" s="191">
        <f t="shared" si="95"/>
        <v>1</v>
      </c>
      <c r="P103" s="191">
        <f t="shared" si="95"/>
        <v>1.2</v>
      </c>
      <c r="Q103" s="191">
        <f t="shared" si="95"/>
        <v>1.4</v>
      </c>
      <c r="R103" s="191">
        <f t="shared" si="95"/>
        <v>1.6</v>
      </c>
      <c r="S103" s="191">
        <f t="shared" si="95"/>
        <v>2</v>
      </c>
      <c r="T103" s="191">
        <f t="shared" si="95"/>
        <v>3</v>
      </c>
      <c r="U103" s="191">
        <f t="shared" si="95"/>
        <v>4</v>
      </c>
      <c r="V103" s="191">
        <f t="shared" si="95"/>
        <v>5</v>
      </c>
      <c r="W103" s="191">
        <f t="shared" si="95"/>
        <v>6</v>
      </c>
      <c r="X103" s="191">
        <f t="shared" si="95"/>
        <v>8</v>
      </c>
      <c r="Y103" s="191">
        <f t="shared" si="95"/>
        <v>10</v>
      </c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</row>
    <row r="104">
      <c r="A104" s="196" t="str">
        <f t="shared" ref="A104:E104" si="96">A52</f>
        <v>RCC</v>
      </c>
      <c r="B104" s="196" t="str">
        <f t="shared" si="96"/>
        <v/>
      </c>
      <c r="C104" s="196" t="str">
        <f t="shared" si="96"/>
        <v>RCC幣</v>
      </c>
      <c r="D104" s="196" t="str">
        <f t="shared" si="96"/>
        <v/>
      </c>
      <c r="E104" s="197">
        <f t="shared" si="96"/>
        <v>0.001</v>
      </c>
      <c r="F104" s="197">
        <f t="shared" ref="F104:Y104" si="97">HLOOKUP(F52,$F$1:$AI$2,2) * $D$1 * $E104</f>
        <v>0.01</v>
      </c>
      <c r="G104" s="197">
        <f t="shared" si="97"/>
        <v>0.05</v>
      </c>
      <c r="H104" s="197">
        <f t="shared" si="97"/>
        <v>0.1</v>
      </c>
      <c r="I104" s="197">
        <f t="shared" si="97"/>
        <v>0.12</v>
      </c>
      <c r="J104" s="197">
        <f t="shared" si="97"/>
        <v>0.15</v>
      </c>
      <c r="K104" s="197">
        <f t="shared" si="97"/>
        <v>0.18</v>
      </c>
      <c r="L104" s="197">
        <f t="shared" si="97"/>
        <v>0.2</v>
      </c>
      <c r="M104" s="197">
        <f t="shared" si="97"/>
        <v>0.25</v>
      </c>
      <c r="N104" s="197">
        <f t="shared" si="97"/>
        <v>0.3</v>
      </c>
      <c r="O104" s="197">
        <f t="shared" si="97"/>
        <v>0.35</v>
      </c>
      <c r="P104" s="197">
        <f t="shared" si="97"/>
        <v>0.4</v>
      </c>
      <c r="Q104" s="197">
        <f t="shared" si="97"/>
        <v>0.45</v>
      </c>
      <c r="R104" s="197">
        <f t="shared" si="97"/>
        <v>0.5</v>
      </c>
      <c r="S104" s="197">
        <f t="shared" si="97"/>
        <v>0.6</v>
      </c>
      <c r="T104" s="197">
        <f t="shared" si="97"/>
        <v>0.7</v>
      </c>
      <c r="U104" s="197">
        <f t="shared" si="97"/>
        <v>0.8</v>
      </c>
      <c r="V104" s="197">
        <f t="shared" si="97"/>
        <v>0.9</v>
      </c>
      <c r="W104" s="197">
        <f t="shared" si="97"/>
        <v>1</v>
      </c>
      <c r="X104" s="197">
        <f t="shared" si="97"/>
        <v>1.25</v>
      </c>
      <c r="Y104" s="210">
        <f t="shared" si="97"/>
        <v>1.5</v>
      </c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</row>
    <row r="105">
      <c r="A105" s="190" t="str">
        <f t="shared" ref="A105:E105" si="98">A53</f>
        <v>KBB</v>
      </c>
      <c r="B105" s="190" t="str">
        <f t="shared" si="98"/>
        <v/>
      </c>
      <c r="C105" s="190" t="str">
        <f t="shared" si="98"/>
        <v>爸幣</v>
      </c>
      <c r="D105" s="190" t="str">
        <f t="shared" si="98"/>
        <v/>
      </c>
      <c r="E105" s="191">
        <f t="shared" si="98"/>
        <v>1</v>
      </c>
      <c r="F105" s="191">
        <f t="shared" ref="F105:Y105" si="99">HLOOKUP(F53,$F$1:$AI$2,2) * $D$1 * $E105</f>
        <v>10</v>
      </c>
      <c r="G105" s="191">
        <f t="shared" si="99"/>
        <v>50</v>
      </c>
      <c r="H105" s="191">
        <f t="shared" si="99"/>
        <v>100</v>
      </c>
      <c r="I105" s="191">
        <f t="shared" si="99"/>
        <v>150</v>
      </c>
      <c r="J105" s="191">
        <f t="shared" si="99"/>
        <v>200</v>
      </c>
      <c r="K105" s="191">
        <f t="shared" si="99"/>
        <v>250</v>
      </c>
      <c r="L105" s="191">
        <f t="shared" si="99"/>
        <v>300</v>
      </c>
      <c r="M105" s="191">
        <f t="shared" si="99"/>
        <v>350</v>
      </c>
      <c r="N105" s="191">
        <f t="shared" si="99"/>
        <v>400</v>
      </c>
      <c r="O105" s="191">
        <f t="shared" si="99"/>
        <v>500</v>
      </c>
      <c r="P105" s="191">
        <f t="shared" si="99"/>
        <v>600</v>
      </c>
      <c r="Q105" s="191">
        <f t="shared" si="99"/>
        <v>700</v>
      </c>
      <c r="R105" s="191">
        <f t="shared" si="99"/>
        <v>800</v>
      </c>
      <c r="S105" s="191">
        <f t="shared" si="99"/>
        <v>1000</v>
      </c>
      <c r="T105" s="191">
        <f t="shared" si="99"/>
        <v>1500</v>
      </c>
      <c r="U105" s="191">
        <f t="shared" si="99"/>
        <v>2000</v>
      </c>
      <c r="V105" s="191">
        <f t="shared" si="99"/>
        <v>2500</v>
      </c>
      <c r="W105" s="191">
        <f t="shared" si="99"/>
        <v>3000</v>
      </c>
      <c r="X105" s="191">
        <f t="shared" si="99"/>
        <v>4000</v>
      </c>
      <c r="Y105" s="191">
        <f t="shared" si="99"/>
        <v>5000</v>
      </c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</row>
    <row r="106">
      <c r="A106" s="190" t="str">
        <f t="shared" ref="A106:E106" si="100">A54</f>
        <v>XSMY</v>
      </c>
      <c r="B106" s="190" t="str">
        <f t="shared" si="100"/>
        <v/>
      </c>
      <c r="C106" s="190" t="str">
        <f t="shared" si="100"/>
        <v>星城馬來西亞</v>
      </c>
      <c r="D106" s="190" t="str">
        <f t="shared" si="100"/>
        <v/>
      </c>
      <c r="E106" s="191">
        <f t="shared" si="100"/>
        <v>10</v>
      </c>
      <c r="F106" s="191">
        <f t="shared" ref="F106:Y106" si="101">HLOOKUP(F54,$F$1:$AI$2,2) * $D$1 * $E106</f>
        <v>100</v>
      </c>
      <c r="G106" s="191">
        <f t="shared" si="101"/>
        <v>500</v>
      </c>
      <c r="H106" s="191">
        <f t="shared" si="101"/>
        <v>1000</v>
      </c>
      <c r="I106" s="191">
        <f t="shared" si="101"/>
        <v>1500</v>
      </c>
      <c r="J106" s="191">
        <f t="shared" si="101"/>
        <v>2000</v>
      </c>
      <c r="K106" s="191">
        <f t="shared" si="101"/>
        <v>2500</v>
      </c>
      <c r="L106" s="191">
        <f t="shared" si="101"/>
        <v>3000</v>
      </c>
      <c r="M106" s="191">
        <f t="shared" si="101"/>
        <v>3500</v>
      </c>
      <c r="N106" s="191">
        <f t="shared" si="101"/>
        <v>4000</v>
      </c>
      <c r="O106" s="191">
        <f t="shared" si="101"/>
        <v>5000</v>
      </c>
      <c r="P106" s="191">
        <f t="shared" si="101"/>
        <v>6000</v>
      </c>
      <c r="Q106" s="191">
        <f t="shared" si="101"/>
        <v>7000</v>
      </c>
      <c r="R106" s="191">
        <f t="shared" si="101"/>
        <v>8000</v>
      </c>
      <c r="S106" s="191">
        <f t="shared" si="101"/>
        <v>10000</v>
      </c>
      <c r="T106" s="191">
        <f t="shared" si="101"/>
        <v>15000</v>
      </c>
      <c r="U106" s="191">
        <f t="shared" si="101"/>
        <v>20000</v>
      </c>
      <c r="V106" s="191">
        <f t="shared" si="101"/>
        <v>25000</v>
      </c>
      <c r="W106" s="191">
        <f t="shared" si="101"/>
        <v>30000</v>
      </c>
      <c r="X106" s="191">
        <f t="shared" si="101"/>
        <v>40000</v>
      </c>
      <c r="Y106" s="191">
        <f t="shared" si="101"/>
        <v>50000</v>
      </c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</row>
    <row r="107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</row>
    <row r="108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</row>
    <row r="109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</row>
    <row r="110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</row>
    <row r="11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</row>
    <row r="112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</row>
    <row r="113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</row>
    <row r="114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</row>
    <row r="11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</row>
    <row r="116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</row>
    <row r="117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</row>
    <row r="118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</row>
    <row r="119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</row>
    <row r="120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</row>
    <row r="12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</row>
    <row r="122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</row>
    <row r="123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</row>
    <row r="124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</row>
    <row r="12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</row>
    <row r="126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</row>
    <row r="127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</row>
    <row r="128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</row>
    <row r="129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</row>
    <row r="130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</row>
    <row r="13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</row>
    <row r="132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</row>
    <row r="133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</row>
    <row r="134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</row>
    <row r="13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</row>
    <row r="136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</row>
    <row r="137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</row>
    <row r="138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</row>
    <row r="139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</row>
    <row r="140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</row>
    <row r="14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80"/>
      <c r="AI141" s="180"/>
    </row>
    <row r="142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80"/>
      <c r="AI142" s="180"/>
    </row>
    <row r="143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80"/>
      <c r="AI143" s="180"/>
    </row>
    <row r="144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80"/>
      <c r="AI144" s="180"/>
    </row>
    <row r="14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</row>
    <row r="146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</row>
    <row r="147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  <c r="AI147" s="180"/>
    </row>
    <row r="148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</row>
    <row r="149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80"/>
      <c r="AI149" s="180"/>
    </row>
    <row r="150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  <c r="AI150" s="180"/>
    </row>
    <row r="15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80"/>
      <c r="AI151" s="180"/>
    </row>
    <row r="152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80"/>
      <c r="AI152" s="180"/>
    </row>
    <row r="153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80"/>
      <c r="AI153" s="180"/>
    </row>
    <row r="154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80"/>
      <c r="AI154" s="180"/>
    </row>
    <row r="15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80"/>
      <c r="AI155" s="180"/>
    </row>
    <row r="156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  <c r="AI156" s="180"/>
    </row>
    <row r="157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  <c r="AI157" s="180"/>
    </row>
    <row r="158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  <c r="AI158" s="180"/>
    </row>
    <row r="159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80"/>
      <c r="AI159" s="180"/>
    </row>
    <row r="160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</row>
    <row r="16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  <c r="AI161" s="180"/>
    </row>
    <row r="162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</row>
    <row r="163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</row>
    <row r="164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</row>
    <row r="16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</row>
    <row r="166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</row>
    <row r="167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</row>
    <row r="168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</row>
    <row r="169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</row>
    <row r="170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</row>
    <row r="17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</row>
    <row r="172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</row>
    <row r="173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</row>
    <row r="174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</row>
    <row r="1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</row>
    <row r="176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</row>
    <row r="177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</row>
    <row r="178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</row>
    <row r="179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</row>
    <row r="180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/>
      <c r="AI180" s="180"/>
    </row>
    <row r="18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</row>
    <row r="182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</row>
    <row r="183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</row>
    <row r="184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80"/>
      <c r="AI184" s="180"/>
    </row>
    <row r="18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80"/>
      <c r="AI185" s="180"/>
    </row>
    <row r="186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80"/>
      <c r="AI186" s="180"/>
    </row>
    <row r="187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80"/>
      <c r="AI187" s="180"/>
    </row>
    <row r="188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80"/>
      <c r="AI188" s="180"/>
    </row>
    <row r="189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</row>
    <row r="190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80"/>
      <c r="AI190" s="180"/>
    </row>
    <row r="19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80"/>
      <c r="AI191" s="180"/>
    </row>
    <row r="192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80"/>
      <c r="AI192" s="180"/>
    </row>
    <row r="193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</row>
    <row r="194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80"/>
      <c r="AI194" s="180"/>
    </row>
    <row r="19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</row>
    <row r="196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</row>
    <row r="197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</row>
    <row r="198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80"/>
      <c r="AI198" s="180"/>
    </row>
    <row r="199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</row>
    <row r="200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80"/>
      <c r="AI200" s="180"/>
    </row>
    <row r="20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  <c r="AI201" s="180"/>
    </row>
    <row r="202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80"/>
      <c r="AI202" s="180"/>
    </row>
    <row r="203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80"/>
      <c r="AI203" s="180"/>
    </row>
    <row r="204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80"/>
      <c r="AI204" s="180"/>
    </row>
    <row r="20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80"/>
      <c r="AI205" s="180"/>
    </row>
    <row r="206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80"/>
      <c r="AI206" s="180"/>
    </row>
    <row r="207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80"/>
      <c r="AI207" s="180"/>
    </row>
    <row r="208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80"/>
      <c r="AI208" s="180"/>
    </row>
    <row r="209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80"/>
      <c r="AI209" s="180"/>
    </row>
    <row r="210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80"/>
      <c r="AI210" s="180"/>
    </row>
    <row r="21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80"/>
      <c r="AI211" s="180"/>
    </row>
    <row r="212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80"/>
      <c r="AI212" s="180"/>
    </row>
    <row r="213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80"/>
      <c r="AI213" s="180"/>
    </row>
    <row r="214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80"/>
      <c r="AI214" s="180"/>
    </row>
    <row r="21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80"/>
      <c r="AI215" s="180"/>
    </row>
    <row r="216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80"/>
      <c r="AI216" s="180"/>
    </row>
    <row r="217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80"/>
      <c r="AI217" s="180"/>
    </row>
    <row r="218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80"/>
      <c r="AI218" s="180"/>
    </row>
    <row r="219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80"/>
      <c r="AI219" s="180"/>
    </row>
    <row r="220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80"/>
      <c r="AI220" s="180"/>
    </row>
    <row r="22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80"/>
      <c r="AI221" s="180"/>
    </row>
    <row r="222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80"/>
      <c r="AI222" s="180"/>
    </row>
    <row r="223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80"/>
      <c r="AI223" s="180"/>
    </row>
    <row r="224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80"/>
      <c r="AI224" s="180"/>
    </row>
    <row r="22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80"/>
      <c r="AI225" s="180"/>
    </row>
    <row r="226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80"/>
      <c r="AI226" s="180"/>
    </row>
    <row r="227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80"/>
      <c r="AI227" s="180"/>
    </row>
    <row r="228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</row>
    <row r="229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80"/>
      <c r="AI229" s="180"/>
    </row>
    <row r="230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80"/>
      <c r="AI230" s="180"/>
    </row>
    <row r="23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80"/>
      <c r="AI231" s="180"/>
    </row>
    <row r="232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80"/>
      <c r="AI232" s="180"/>
    </row>
    <row r="233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80"/>
      <c r="AI233" s="180"/>
    </row>
    <row r="234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80"/>
      <c r="AI234" s="180"/>
    </row>
    <row r="23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80"/>
      <c r="AI235" s="180"/>
    </row>
    <row r="236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80"/>
      <c r="AI236" s="180"/>
    </row>
    <row r="237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80"/>
      <c r="AI237" s="180"/>
    </row>
    <row r="238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80"/>
      <c r="AI238" s="180"/>
    </row>
    <row r="239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80"/>
      <c r="AI239" s="180"/>
    </row>
    <row r="240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80"/>
      <c r="AI240" s="180"/>
    </row>
    <row r="24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80"/>
      <c r="AI241" s="180"/>
    </row>
    <row r="242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80"/>
      <c r="AI242" s="180"/>
    </row>
    <row r="243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80"/>
      <c r="AI243" s="180"/>
    </row>
    <row r="244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80"/>
      <c r="AI244" s="180"/>
    </row>
    <row r="24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  <c r="AI245" s="180"/>
    </row>
    <row r="246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80"/>
      <c r="AI246" s="180"/>
    </row>
    <row r="247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80"/>
      <c r="AI247" s="180"/>
    </row>
    <row r="248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80"/>
      <c r="AI248" s="180"/>
    </row>
    <row r="249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80"/>
      <c r="AI249" s="180"/>
    </row>
    <row r="250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80"/>
      <c r="AI250" s="180"/>
    </row>
    <row r="25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80"/>
      <c r="AI251" s="180"/>
    </row>
    <row r="252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80"/>
      <c r="AI252" s="180"/>
    </row>
    <row r="253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80"/>
      <c r="AI253" s="180"/>
    </row>
    <row r="254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80"/>
      <c r="AI254" s="180"/>
    </row>
    <row r="25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80"/>
      <c r="AI255" s="180"/>
    </row>
    <row r="256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80"/>
      <c r="AI256" s="180"/>
    </row>
    <row r="257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80"/>
      <c r="AI257" s="180"/>
    </row>
    <row r="258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80"/>
      <c r="AI258" s="180"/>
    </row>
    <row r="259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80"/>
      <c r="AI259" s="180"/>
    </row>
    <row r="260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80"/>
      <c r="AI260" s="180"/>
    </row>
    <row r="26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80"/>
      <c r="AI261" s="180"/>
    </row>
    <row r="262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80"/>
      <c r="AI262" s="180"/>
    </row>
    <row r="263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  <c r="AI263" s="180"/>
    </row>
    <row r="264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80"/>
      <c r="AI264" s="180"/>
    </row>
    <row r="26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80"/>
      <c r="AI265" s="180"/>
    </row>
    <row r="266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80"/>
      <c r="AI266" s="180"/>
    </row>
    <row r="267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80"/>
      <c r="AI267" s="180"/>
    </row>
    <row r="268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80"/>
      <c r="AI268" s="180"/>
    </row>
    <row r="269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80"/>
      <c r="AI269" s="180"/>
    </row>
    <row r="270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80"/>
      <c r="AI270" s="180"/>
    </row>
    <row r="27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80"/>
      <c r="AI271" s="180"/>
    </row>
    <row r="272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80"/>
      <c r="AI272" s="180"/>
    </row>
    <row r="273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80"/>
      <c r="AI273" s="180"/>
    </row>
    <row r="274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80"/>
      <c r="AI274" s="180"/>
    </row>
    <row r="2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80"/>
      <c r="AI275" s="180"/>
    </row>
    <row r="276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80"/>
      <c r="AI276" s="180"/>
    </row>
    <row r="277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80"/>
      <c r="AI277" s="180"/>
    </row>
    <row r="278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80"/>
      <c r="AI278" s="180"/>
    </row>
    <row r="279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80"/>
      <c r="AI279" s="180"/>
    </row>
    <row r="280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80"/>
      <c r="AI280" s="180"/>
    </row>
    <row r="28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80"/>
      <c r="AI281" s="180"/>
    </row>
    <row r="282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80"/>
      <c r="AI282" s="180"/>
    </row>
    <row r="283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80"/>
      <c r="AI283" s="180"/>
    </row>
    <row r="284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80"/>
      <c r="AI284" s="180"/>
    </row>
    <row r="28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80"/>
      <c r="AI285" s="180"/>
    </row>
    <row r="286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80"/>
      <c r="AI286" s="180"/>
    </row>
    <row r="287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80"/>
      <c r="AI287" s="180"/>
    </row>
    <row r="288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80"/>
      <c r="AI288" s="180"/>
    </row>
    <row r="289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80"/>
      <c r="AI289" s="180"/>
    </row>
    <row r="290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80"/>
      <c r="AI290" s="180"/>
    </row>
    <row r="29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80"/>
      <c r="AI291" s="180"/>
    </row>
    <row r="292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80"/>
      <c r="AI292" s="180"/>
    </row>
    <row r="293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80"/>
      <c r="AI293" s="180"/>
    </row>
    <row r="294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/>
      <c r="AI294" s="180"/>
    </row>
    <row r="29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80"/>
      <c r="AI295" s="180"/>
    </row>
    <row r="296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80"/>
      <c r="AI296" s="180"/>
    </row>
    <row r="297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80"/>
      <c r="AI297" s="180"/>
    </row>
    <row r="298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80"/>
      <c r="AI298" s="180"/>
    </row>
    <row r="299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80"/>
      <c r="AI299" s="180"/>
    </row>
    <row r="300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80"/>
      <c r="AI300" s="180"/>
    </row>
    <row r="30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80"/>
      <c r="AI301" s="180"/>
    </row>
    <row r="302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80"/>
      <c r="AI302" s="180"/>
    </row>
    <row r="303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80"/>
      <c r="AI303" s="180"/>
    </row>
    <row r="304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80"/>
      <c r="AI304" s="180"/>
    </row>
    <row r="30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80"/>
      <c r="AI305" s="180"/>
    </row>
    <row r="306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80"/>
      <c r="AI306" s="180"/>
    </row>
    <row r="307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80"/>
      <c r="AI307" s="180"/>
    </row>
    <row r="308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80"/>
      <c r="AI308" s="180"/>
    </row>
    <row r="309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80"/>
      <c r="AI309" s="180"/>
    </row>
    <row r="310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80"/>
      <c r="AI310" s="180"/>
    </row>
    <row r="31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80"/>
      <c r="AI311" s="180"/>
    </row>
    <row r="312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80"/>
      <c r="AI312" s="180"/>
    </row>
    <row r="313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80"/>
      <c r="AI313" s="180"/>
    </row>
    <row r="314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80"/>
      <c r="AI314" s="180"/>
    </row>
    <row r="31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80"/>
      <c r="AI315" s="180"/>
    </row>
    <row r="316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80"/>
      <c r="AI316" s="180"/>
    </row>
    <row r="317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80"/>
    </row>
    <row r="318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80"/>
      <c r="AI318" s="180"/>
    </row>
    <row r="319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80"/>
      <c r="AI319" s="180"/>
    </row>
    <row r="320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80"/>
      <c r="AI320" s="180"/>
    </row>
    <row r="32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80"/>
      <c r="AI321" s="180"/>
    </row>
    <row r="322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80"/>
      <c r="AI322" s="180"/>
    </row>
    <row r="323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80"/>
      <c r="AI323" s="180"/>
    </row>
    <row r="324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80"/>
      <c r="AI324" s="180"/>
    </row>
    <row r="32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80"/>
      <c r="AI325" s="180"/>
    </row>
    <row r="326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80"/>
      <c r="AI326" s="180"/>
    </row>
    <row r="327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80"/>
      <c r="AI327" s="180"/>
    </row>
    <row r="328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80"/>
      <c r="AI328" s="180"/>
    </row>
    <row r="329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80"/>
      <c r="AI329" s="180"/>
    </row>
    <row r="330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80"/>
      <c r="AI330" s="180"/>
    </row>
    <row r="33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80"/>
      <c r="AI331" s="180"/>
    </row>
    <row r="332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80"/>
      <c r="AI332" s="180"/>
    </row>
    <row r="333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80"/>
      <c r="AI333" s="180"/>
    </row>
    <row r="334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80"/>
      <c r="AI334" s="180"/>
    </row>
    <row r="33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  <c r="AI335" s="180"/>
    </row>
    <row r="336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  <c r="AI336" s="180"/>
    </row>
    <row r="337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80"/>
      <c r="AI337" s="180"/>
    </row>
    <row r="338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80"/>
      <c r="AI338" s="180"/>
    </row>
    <row r="339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80"/>
      <c r="AI339" s="180"/>
    </row>
    <row r="340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80"/>
      <c r="AI340" s="180"/>
    </row>
    <row r="34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80"/>
      <c r="AI341" s="180"/>
    </row>
    <row r="342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80"/>
      <c r="AI342" s="180"/>
    </row>
    <row r="343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80"/>
      <c r="AI343" s="180"/>
    </row>
    <row r="344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80"/>
      <c r="AI344" s="180"/>
    </row>
    <row r="34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80"/>
      <c r="AI345" s="180"/>
    </row>
    <row r="346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80"/>
      <c r="AI346" s="180"/>
    </row>
    <row r="347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80"/>
      <c r="AI347" s="180"/>
    </row>
    <row r="348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80"/>
      <c r="AI348" s="180"/>
    </row>
    <row r="349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80"/>
      <c r="AI349" s="180"/>
    </row>
    <row r="350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80"/>
      <c r="AI350" s="180"/>
    </row>
    <row r="35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80"/>
      <c r="AI351" s="180"/>
    </row>
    <row r="352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80"/>
      <c r="AI352" s="180"/>
    </row>
    <row r="353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80"/>
      <c r="AI353" s="180"/>
    </row>
    <row r="354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80"/>
      <c r="AI354" s="180"/>
    </row>
    <row r="35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80"/>
      <c r="AI355" s="180"/>
    </row>
    <row r="356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80"/>
      <c r="AI356" s="180"/>
    </row>
    <row r="357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80"/>
      <c r="AI357" s="180"/>
    </row>
    <row r="358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80"/>
      <c r="AI358" s="180"/>
    </row>
    <row r="359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80"/>
      <c r="AI359" s="180"/>
    </row>
    <row r="360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80"/>
      <c r="AI360" s="180"/>
    </row>
    <row r="36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80"/>
      <c r="AI361" s="180"/>
    </row>
    <row r="362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80"/>
      <c r="AI362" s="180"/>
    </row>
    <row r="363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80"/>
      <c r="AI363" s="180"/>
    </row>
    <row r="364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80"/>
      <c r="AI364" s="180"/>
    </row>
    <row r="36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80"/>
      <c r="AI365" s="180"/>
    </row>
    <row r="366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80"/>
      <c r="AI366" s="180"/>
    </row>
    <row r="367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80"/>
      <c r="AI367" s="180"/>
    </row>
    <row r="368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80"/>
      <c r="AI368" s="180"/>
    </row>
    <row r="369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80"/>
      <c r="AI369" s="180"/>
    </row>
    <row r="370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80"/>
      <c r="AI370" s="180"/>
    </row>
    <row r="37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80"/>
      <c r="AI371" s="180"/>
    </row>
    <row r="372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80"/>
      <c r="AI372" s="180"/>
    </row>
    <row r="373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80"/>
      <c r="AI373" s="180"/>
    </row>
    <row r="374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80"/>
      <c r="AI374" s="180"/>
    </row>
    <row r="3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80"/>
      <c r="AI375" s="180"/>
    </row>
    <row r="376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80"/>
      <c r="AI376" s="180"/>
    </row>
    <row r="377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80"/>
      <c r="AI377" s="180"/>
    </row>
    <row r="378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80"/>
      <c r="AI378" s="180"/>
    </row>
    <row r="379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80"/>
      <c r="AI379" s="180"/>
    </row>
    <row r="380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80"/>
      <c r="AI380" s="180"/>
    </row>
    <row r="38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80"/>
      <c r="AI381" s="180"/>
    </row>
    <row r="382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80"/>
      <c r="AI382" s="180"/>
    </row>
    <row r="383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80"/>
      <c r="AI383" s="180"/>
    </row>
    <row r="384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80"/>
      <c r="AI384" s="180"/>
    </row>
    <row r="38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</row>
    <row r="386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80"/>
      <c r="AI386" s="180"/>
    </row>
    <row r="387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80"/>
      <c r="AI387" s="180"/>
    </row>
    <row r="388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80"/>
      <c r="AI388" s="180"/>
    </row>
    <row r="389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80"/>
      <c r="AI389" s="180"/>
    </row>
    <row r="390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80"/>
      <c r="AI390" s="180"/>
    </row>
    <row r="39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80"/>
      <c r="AI391" s="180"/>
    </row>
    <row r="392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80"/>
      <c r="AI392" s="180"/>
    </row>
    <row r="393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80"/>
      <c r="AI393" s="180"/>
    </row>
    <row r="394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  <c r="AI394" s="180"/>
    </row>
    <row r="39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80"/>
      <c r="AI395" s="180"/>
    </row>
    <row r="396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80"/>
      <c r="AI396" s="180"/>
    </row>
    <row r="397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80"/>
      <c r="AI397" s="180"/>
    </row>
    <row r="398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80"/>
      <c r="AI398" s="180"/>
    </row>
    <row r="399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80"/>
      <c r="AI399" s="180"/>
    </row>
    <row r="400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80"/>
      <c r="AI400" s="180"/>
    </row>
    <row r="40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80"/>
      <c r="AI401" s="180"/>
    </row>
    <row r="402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80"/>
      <c r="AI402" s="180"/>
    </row>
    <row r="403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80"/>
      <c r="AI403" s="180"/>
    </row>
    <row r="404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80"/>
      <c r="AI404" s="180"/>
    </row>
    <row r="40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80"/>
      <c r="AI405" s="180"/>
    </row>
    <row r="406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80"/>
      <c r="AI406" s="180"/>
    </row>
    <row r="407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80"/>
      <c r="AI407" s="180"/>
    </row>
    <row r="408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80"/>
      <c r="AI408" s="180"/>
    </row>
    <row r="409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80"/>
      <c r="AI409" s="180"/>
    </row>
    <row r="410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80"/>
      <c r="AI410" s="180"/>
    </row>
    <row r="41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80"/>
      <c r="AI411" s="180"/>
    </row>
    <row r="412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80"/>
      <c r="AI412" s="180"/>
    </row>
    <row r="413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80"/>
      <c r="AI413" s="180"/>
    </row>
    <row r="414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80"/>
      <c r="AI414" s="180"/>
    </row>
    <row r="41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80"/>
      <c r="AI415" s="180"/>
    </row>
    <row r="416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80"/>
      <c r="AI416" s="180"/>
    </row>
    <row r="417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80"/>
      <c r="AI417" s="180"/>
    </row>
    <row r="418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80"/>
      <c r="AI418" s="180"/>
    </row>
    <row r="419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80"/>
      <c r="AI419" s="180"/>
    </row>
    <row r="420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80"/>
      <c r="AI420" s="180"/>
    </row>
    <row r="42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80"/>
      <c r="AI421" s="180"/>
    </row>
    <row r="422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80"/>
      <c r="AI422" s="180"/>
    </row>
    <row r="423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80"/>
      <c r="AI423" s="180"/>
    </row>
    <row r="424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80"/>
      <c r="AI424" s="180"/>
    </row>
    <row r="42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80"/>
      <c r="AI425" s="180"/>
    </row>
    <row r="426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80"/>
      <c r="AI426" s="180"/>
    </row>
    <row r="427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80"/>
      <c r="AI427" s="180"/>
    </row>
    <row r="428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80"/>
      <c r="AI428" s="180"/>
    </row>
    <row r="429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80"/>
      <c r="AI429" s="180"/>
    </row>
    <row r="430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80"/>
      <c r="AI430" s="180"/>
    </row>
    <row r="43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80"/>
      <c r="AI431" s="180"/>
    </row>
    <row r="432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80"/>
      <c r="AI432" s="180"/>
    </row>
    <row r="433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80"/>
      <c r="AI433" s="180"/>
    </row>
    <row r="434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80"/>
      <c r="AI434" s="180"/>
    </row>
    <row r="43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80"/>
      <c r="AI435" s="180"/>
    </row>
    <row r="436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80"/>
      <c r="AI436" s="180"/>
    </row>
    <row r="437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80"/>
      <c r="AI437" s="180"/>
    </row>
    <row r="438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80"/>
      <c r="AI438" s="180"/>
    </row>
    <row r="439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80"/>
      <c r="AI439" s="180"/>
    </row>
    <row r="440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80"/>
      <c r="AI440" s="180"/>
    </row>
    <row r="44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80"/>
      <c r="AI441" s="180"/>
    </row>
    <row r="442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80"/>
      <c r="AI442" s="180"/>
    </row>
    <row r="443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80"/>
      <c r="AI443" s="180"/>
    </row>
    <row r="444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80"/>
      <c r="AI444" s="180"/>
    </row>
    <row r="44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80"/>
      <c r="AI445" s="180"/>
    </row>
    <row r="446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80"/>
      <c r="AI446" s="180"/>
    </row>
    <row r="447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80"/>
      <c r="AI447" s="180"/>
    </row>
    <row r="448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80"/>
      <c r="AI448" s="180"/>
    </row>
    <row r="449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80"/>
      <c r="AI449" s="180"/>
    </row>
    <row r="450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80"/>
      <c r="AI450" s="180"/>
    </row>
    <row r="45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80"/>
      <c r="AI451" s="180"/>
    </row>
    <row r="452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80"/>
      <c r="AI452" s="180"/>
    </row>
    <row r="453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80"/>
      <c r="AI453" s="180"/>
    </row>
    <row r="454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80"/>
      <c r="AI454" s="180"/>
    </row>
    <row r="45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80"/>
      <c r="AI455" s="180"/>
    </row>
    <row r="456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80"/>
      <c r="AI456" s="180"/>
    </row>
    <row r="457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80"/>
      <c r="AI457" s="180"/>
    </row>
    <row r="458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80"/>
      <c r="AI458" s="180"/>
    </row>
    <row r="459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80"/>
      <c r="AI459" s="180"/>
    </row>
    <row r="460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80"/>
      <c r="AI460" s="180"/>
    </row>
    <row r="46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80"/>
      <c r="AI461" s="180"/>
    </row>
    <row r="462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80"/>
      <c r="AI462" s="180"/>
    </row>
    <row r="463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80"/>
      <c r="AI463" s="180"/>
    </row>
    <row r="464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80"/>
      <c r="AI464" s="180"/>
    </row>
    <row r="46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80"/>
      <c r="AI465" s="180"/>
    </row>
    <row r="466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80"/>
      <c r="AI466" s="180"/>
    </row>
    <row r="467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80"/>
      <c r="AI467" s="180"/>
    </row>
    <row r="468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80"/>
      <c r="AI468" s="180"/>
    </row>
    <row r="469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80"/>
      <c r="AI469" s="180"/>
    </row>
    <row r="470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80"/>
      <c r="AI470" s="180"/>
    </row>
    <row r="47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80"/>
      <c r="AI471" s="180"/>
    </row>
    <row r="472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80"/>
      <c r="AI472" s="180"/>
    </row>
    <row r="473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80"/>
      <c r="AI473" s="180"/>
    </row>
    <row r="474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80"/>
      <c r="AI474" s="180"/>
    </row>
    <row r="4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80"/>
      <c r="AI475" s="180"/>
    </row>
    <row r="476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80"/>
      <c r="AI476" s="180"/>
    </row>
    <row r="477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80"/>
      <c r="AI477" s="180"/>
    </row>
    <row r="478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80"/>
      <c r="AI478" s="180"/>
    </row>
    <row r="479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80"/>
      <c r="AI479" s="180"/>
    </row>
    <row r="480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80"/>
      <c r="AI480" s="180"/>
    </row>
    <row r="48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80"/>
      <c r="AI481" s="180"/>
    </row>
    <row r="482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80"/>
      <c r="AI482" s="180"/>
    </row>
    <row r="483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80"/>
      <c r="AI483" s="180"/>
    </row>
    <row r="484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80"/>
      <c r="AI484" s="180"/>
    </row>
    <row r="48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80"/>
      <c r="AI485" s="180"/>
    </row>
    <row r="486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80"/>
      <c r="AI486" s="180"/>
    </row>
    <row r="487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80"/>
      <c r="AI487" s="180"/>
    </row>
    <row r="488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80"/>
      <c r="AI488" s="180"/>
    </row>
    <row r="489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80"/>
      <c r="AI489" s="180"/>
    </row>
    <row r="490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80"/>
      <c r="AI490" s="180"/>
    </row>
    <row r="49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80"/>
      <c r="AI491" s="180"/>
    </row>
    <row r="492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80"/>
      <c r="AI492" s="180"/>
    </row>
    <row r="493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80"/>
      <c r="AI493" s="180"/>
    </row>
    <row r="494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80"/>
      <c r="AI494" s="180"/>
    </row>
    <row r="49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80"/>
      <c r="AI495" s="180"/>
    </row>
    <row r="496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80"/>
      <c r="AI496" s="180"/>
    </row>
    <row r="497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80"/>
      <c r="AI497" s="180"/>
    </row>
    <row r="498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80"/>
      <c r="AI498" s="180"/>
    </row>
    <row r="499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80"/>
      <c r="AI499" s="180"/>
    </row>
    <row r="500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80"/>
      <c r="AI500" s="180"/>
    </row>
    <row r="50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80"/>
      <c r="AI501" s="180"/>
    </row>
    <row r="502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80"/>
      <c r="AI502" s="180"/>
    </row>
    <row r="503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80"/>
      <c r="AI503" s="180"/>
    </row>
    <row r="504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80"/>
      <c r="AI504" s="180"/>
    </row>
    <row r="50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80"/>
      <c r="AI505" s="180"/>
    </row>
    <row r="506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80"/>
      <c r="AI506" s="180"/>
    </row>
    <row r="507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80"/>
      <c r="AI507" s="180"/>
    </row>
    <row r="508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80"/>
      <c r="AI508" s="180"/>
    </row>
    <row r="509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80"/>
      <c r="AI509" s="180"/>
    </row>
    <row r="510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80"/>
      <c r="AI510" s="180"/>
    </row>
    <row r="51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80"/>
      <c r="AI511" s="180"/>
    </row>
    <row r="512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80"/>
      <c r="AI512" s="180"/>
    </row>
    <row r="513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80"/>
      <c r="AI513" s="180"/>
    </row>
    <row r="514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80"/>
      <c r="AI514" s="180"/>
    </row>
    <row r="51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80"/>
      <c r="AI515" s="180"/>
    </row>
    <row r="516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80"/>
      <c r="AI516" s="180"/>
    </row>
    <row r="517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80"/>
      <c r="AI517" s="180"/>
    </row>
    <row r="518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80"/>
      <c r="AI518" s="180"/>
    </row>
    <row r="519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80"/>
      <c r="AI519" s="180"/>
    </row>
    <row r="520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80"/>
      <c r="AI520" s="180"/>
    </row>
    <row r="52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80"/>
      <c r="AI521" s="180"/>
    </row>
    <row r="522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80"/>
      <c r="AI522" s="180"/>
    </row>
    <row r="523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80"/>
      <c r="AI523" s="180"/>
    </row>
    <row r="524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80"/>
      <c r="AI524" s="180"/>
    </row>
    <row r="52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80"/>
      <c r="AI525" s="180"/>
    </row>
    <row r="526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80"/>
      <c r="AI526" s="180"/>
    </row>
    <row r="527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80"/>
      <c r="AI527" s="180"/>
    </row>
    <row r="528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80"/>
      <c r="AI528" s="180"/>
    </row>
    <row r="529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80"/>
      <c r="AI529" s="180"/>
    </row>
    <row r="530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80"/>
      <c r="AI530" s="180"/>
    </row>
    <row r="53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80"/>
      <c r="AI531" s="180"/>
    </row>
    <row r="532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80"/>
      <c r="AI532" s="180"/>
    </row>
    <row r="533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80"/>
      <c r="AI533" s="180"/>
    </row>
    <row r="534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80"/>
      <c r="AI534" s="180"/>
    </row>
    <row r="53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80"/>
      <c r="AI535" s="180"/>
    </row>
    <row r="536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80"/>
      <c r="AI536" s="180"/>
    </row>
    <row r="537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80"/>
      <c r="AI537" s="180"/>
    </row>
    <row r="538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80"/>
      <c r="AI538" s="180"/>
    </row>
    <row r="539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80"/>
      <c r="AI539" s="180"/>
    </row>
    <row r="540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80"/>
      <c r="AI540" s="180"/>
    </row>
    <row r="54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80"/>
      <c r="AI541" s="180"/>
    </row>
    <row r="542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80"/>
      <c r="AI542" s="180"/>
    </row>
    <row r="543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80"/>
      <c r="AI543" s="180"/>
    </row>
    <row r="544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80"/>
      <c r="AI544" s="180"/>
    </row>
    <row r="54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80"/>
      <c r="AI545" s="180"/>
    </row>
    <row r="546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80"/>
      <c r="AI546" s="180"/>
    </row>
    <row r="547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80"/>
      <c r="AI547" s="180"/>
    </row>
    <row r="548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80"/>
      <c r="AI548" s="180"/>
    </row>
    <row r="549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80"/>
      <c r="AI549" s="180"/>
    </row>
    <row r="550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80"/>
      <c r="AI550" s="180"/>
    </row>
    <row r="55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80"/>
      <c r="AI551" s="180"/>
    </row>
    <row r="552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80"/>
      <c r="AI552" s="180"/>
    </row>
    <row r="553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80"/>
      <c r="AI553" s="180"/>
    </row>
    <row r="554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80"/>
      <c r="AI554" s="180"/>
    </row>
    <row r="55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80"/>
      <c r="AI555" s="180"/>
    </row>
    <row r="556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80"/>
      <c r="AI556" s="180"/>
    </row>
    <row r="557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80"/>
      <c r="AI557" s="180"/>
    </row>
    <row r="558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80"/>
      <c r="AI558" s="180"/>
    </row>
    <row r="559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80"/>
      <c r="AI559" s="180"/>
    </row>
    <row r="560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80"/>
      <c r="AI560" s="180"/>
    </row>
    <row r="56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80"/>
      <c r="AI561" s="180"/>
    </row>
    <row r="562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80"/>
      <c r="AI562" s="180"/>
    </row>
    <row r="563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80"/>
      <c r="AI563" s="180"/>
    </row>
    <row r="564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80"/>
      <c r="AI564" s="180"/>
    </row>
    <row r="56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80"/>
      <c r="AI565" s="180"/>
    </row>
    <row r="566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80"/>
      <c r="AI566" s="180"/>
    </row>
    <row r="567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80"/>
      <c r="AI567" s="180"/>
    </row>
    <row r="568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80"/>
      <c r="AI568" s="180"/>
    </row>
    <row r="569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80"/>
      <c r="AI569" s="180"/>
    </row>
    <row r="570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80"/>
      <c r="AI570" s="180"/>
    </row>
    <row r="57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80"/>
      <c r="AI571" s="180"/>
    </row>
    <row r="572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80"/>
      <c r="AI572" s="180"/>
    </row>
    <row r="573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80"/>
      <c r="AI573" s="180"/>
    </row>
    <row r="574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80"/>
      <c r="AI574" s="180"/>
    </row>
    <row r="5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80"/>
      <c r="AI575" s="180"/>
    </row>
    <row r="576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80"/>
      <c r="AI576" s="180"/>
    </row>
    <row r="577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80"/>
      <c r="AI577" s="180"/>
    </row>
    <row r="578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80"/>
      <c r="AI578" s="180"/>
    </row>
    <row r="579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80"/>
      <c r="AI579" s="180"/>
    </row>
    <row r="580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80"/>
      <c r="AI580" s="180"/>
    </row>
    <row r="58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80"/>
      <c r="AI581" s="180"/>
    </row>
    <row r="582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80"/>
      <c r="AI582" s="180"/>
    </row>
    <row r="583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80"/>
      <c r="AI583" s="180"/>
    </row>
    <row r="584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80"/>
      <c r="AI584" s="180"/>
    </row>
    <row r="58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80"/>
      <c r="AI585" s="180"/>
    </row>
    <row r="586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80"/>
      <c r="AI586" s="180"/>
    </row>
    <row r="587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80"/>
      <c r="AI587" s="180"/>
    </row>
    <row r="588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80"/>
      <c r="AI588" s="180"/>
    </row>
    <row r="589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80"/>
      <c r="AI589" s="180"/>
    </row>
    <row r="590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80"/>
      <c r="AI590" s="180"/>
    </row>
    <row r="59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80"/>
      <c r="AI591" s="180"/>
    </row>
    <row r="592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80"/>
      <c r="AI592" s="180"/>
    </row>
    <row r="593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80"/>
      <c r="AI593" s="180"/>
    </row>
    <row r="594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80"/>
      <c r="AI594" s="180"/>
    </row>
    <row r="59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80"/>
      <c r="AI595" s="180"/>
    </row>
    <row r="596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80"/>
      <c r="AI596" s="180"/>
    </row>
    <row r="597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80"/>
      <c r="AI597" s="180"/>
    </row>
    <row r="598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80"/>
      <c r="AI598" s="180"/>
    </row>
    <row r="599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80"/>
      <c r="AI599" s="180"/>
    </row>
    <row r="600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80"/>
      <c r="AI600" s="180"/>
    </row>
    <row r="60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80"/>
      <c r="AI601" s="180"/>
    </row>
    <row r="602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80"/>
      <c r="AI602" s="180"/>
    </row>
    <row r="603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80"/>
      <c r="AI603" s="180"/>
    </row>
    <row r="604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80"/>
      <c r="AI604" s="180"/>
    </row>
    <row r="60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80"/>
      <c r="AI605" s="180"/>
    </row>
    <row r="606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80"/>
      <c r="AI606" s="180"/>
    </row>
    <row r="607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80"/>
      <c r="AI607" s="180"/>
    </row>
    <row r="608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80"/>
      <c r="AI608" s="180"/>
    </row>
    <row r="609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80"/>
      <c r="AI609" s="180"/>
    </row>
    <row r="610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80"/>
      <c r="AI610" s="180"/>
    </row>
    <row r="61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80"/>
      <c r="AI611" s="180"/>
    </row>
    <row r="612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80"/>
      <c r="AI612" s="180"/>
    </row>
    <row r="613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80"/>
      <c r="AI613" s="180"/>
    </row>
    <row r="614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80"/>
      <c r="AI614" s="180"/>
    </row>
    <row r="61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80"/>
      <c r="AI615" s="180"/>
    </row>
    <row r="616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80"/>
      <c r="AI616" s="180"/>
    </row>
    <row r="617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80"/>
      <c r="AI617" s="180"/>
    </row>
    <row r="618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80"/>
      <c r="AI618" s="180"/>
    </row>
    <row r="619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80"/>
      <c r="AI619" s="180"/>
    </row>
    <row r="620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80"/>
      <c r="AI620" s="180"/>
    </row>
    <row r="62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80"/>
      <c r="AI621" s="180"/>
    </row>
    <row r="622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80"/>
      <c r="AI622" s="180"/>
    </row>
    <row r="623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80"/>
      <c r="AI623" s="180"/>
    </row>
    <row r="624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80"/>
      <c r="AI624" s="180"/>
    </row>
    <row r="62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80"/>
      <c r="AI625" s="180"/>
    </row>
    <row r="626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80"/>
      <c r="AI626" s="180"/>
    </row>
    <row r="627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80"/>
      <c r="AI627" s="180"/>
    </row>
    <row r="628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80"/>
      <c r="AI628" s="180"/>
    </row>
    <row r="629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80"/>
      <c r="AI629" s="180"/>
    </row>
    <row r="630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80"/>
      <c r="AI630" s="180"/>
    </row>
    <row r="63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80"/>
      <c r="AI631" s="180"/>
    </row>
    <row r="632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80"/>
      <c r="AI632" s="180"/>
    </row>
    <row r="633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80"/>
      <c r="AI633" s="180"/>
    </row>
    <row r="634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80"/>
      <c r="AI634" s="180"/>
    </row>
    <row r="63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80"/>
      <c r="AI635" s="180"/>
    </row>
    <row r="636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80"/>
      <c r="AI636" s="180"/>
    </row>
    <row r="637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80"/>
      <c r="AI637" s="180"/>
    </row>
    <row r="638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80"/>
      <c r="AI638" s="180"/>
    </row>
    <row r="639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80"/>
      <c r="AI639" s="180"/>
    </row>
    <row r="640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80"/>
      <c r="AI640" s="180"/>
    </row>
    <row r="64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80"/>
      <c r="AI641" s="180"/>
    </row>
    <row r="642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80"/>
      <c r="AI642" s="180"/>
    </row>
    <row r="643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80"/>
      <c r="AI643" s="180"/>
    </row>
    <row r="644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80"/>
      <c r="AI644" s="180"/>
    </row>
    <row r="64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80"/>
      <c r="AI645" s="180"/>
    </row>
    <row r="646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80"/>
      <c r="AI646" s="180"/>
    </row>
    <row r="647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80"/>
      <c r="AI647" s="180"/>
    </row>
    <row r="648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80"/>
      <c r="AI648" s="180"/>
    </row>
    <row r="649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80"/>
      <c r="AI649" s="180"/>
    </row>
    <row r="650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80"/>
      <c r="AI650" s="180"/>
    </row>
    <row r="65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80"/>
      <c r="AI651" s="180"/>
    </row>
    <row r="652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80"/>
      <c r="AI652" s="180"/>
    </row>
    <row r="653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80"/>
      <c r="AI653" s="180"/>
    </row>
    <row r="654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80"/>
      <c r="AI654" s="180"/>
    </row>
    <row r="65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80"/>
      <c r="AI655" s="180"/>
    </row>
    <row r="656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80"/>
      <c r="AI656" s="180"/>
    </row>
    <row r="657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80"/>
      <c r="AI657" s="180"/>
    </row>
    <row r="658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80"/>
      <c r="AI658" s="180"/>
    </row>
    <row r="659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80"/>
      <c r="AI659" s="180"/>
    </row>
    <row r="660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80"/>
      <c r="AI660" s="180"/>
    </row>
    <row r="66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80"/>
      <c r="AI661" s="180"/>
    </row>
    <row r="662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80"/>
      <c r="AI662" s="180"/>
    </row>
    <row r="663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80"/>
      <c r="AI663" s="180"/>
    </row>
    <row r="664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80"/>
      <c r="AI664" s="180"/>
    </row>
    <row r="66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80"/>
      <c r="AI665" s="180"/>
    </row>
    <row r="666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80"/>
      <c r="AI666" s="180"/>
    </row>
    <row r="667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80"/>
      <c r="AI667" s="180"/>
    </row>
    <row r="668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80"/>
      <c r="AI668" s="180"/>
    </row>
    <row r="669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80"/>
      <c r="AI669" s="180"/>
    </row>
    <row r="670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80"/>
      <c r="AI670" s="180"/>
    </row>
    <row r="67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80"/>
      <c r="AI671" s="180"/>
    </row>
    <row r="672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80"/>
      <c r="AI672" s="180"/>
    </row>
    <row r="673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80"/>
      <c r="AI673" s="180"/>
    </row>
    <row r="674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80"/>
      <c r="AI674" s="180"/>
    </row>
    <row r="6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80"/>
      <c r="AI675" s="180"/>
    </row>
    <row r="676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80"/>
      <c r="AI676" s="180"/>
    </row>
    <row r="677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80"/>
      <c r="AI677" s="180"/>
    </row>
    <row r="678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80"/>
      <c r="AI678" s="180"/>
    </row>
    <row r="679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80"/>
      <c r="AI679" s="180"/>
    </row>
    <row r="680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80"/>
      <c r="AI680" s="180"/>
    </row>
    <row r="68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80"/>
      <c r="AI681" s="180"/>
    </row>
    <row r="682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80"/>
      <c r="AI682" s="180"/>
    </row>
    <row r="683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80"/>
      <c r="AI683" s="180"/>
    </row>
    <row r="684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80"/>
      <c r="AI684" s="180"/>
    </row>
    <row r="68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80"/>
      <c r="AI685" s="180"/>
    </row>
    <row r="686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80"/>
      <c r="AI686" s="180"/>
    </row>
    <row r="687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80"/>
      <c r="AI687" s="180"/>
    </row>
    <row r="688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80"/>
      <c r="AI688" s="180"/>
    </row>
    <row r="689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80"/>
      <c r="AI689" s="180"/>
    </row>
    <row r="690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80"/>
      <c r="AI690" s="180"/>
    </row>
    <row r="69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80"/>
      <c r="AI691" s="180"/>
    </row>
    <row r="692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80"/>
      <c r="AI692" s="180"/>
    </row>
    <row r="693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80"/>
      <c r="AI693" s="180"/>
    </row>
    <row r="694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80"/>
      <c r="AI694" s="180"/>
    </row>
    <row r="69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80"/>
      <c r="AI695" s="180"/>
    </row>
    <row r="696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80"/>
      <c r="AI696" s="180"/>
    </row>
    <row r="697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80"/>
      <c r="AI697" s="180"/>
    </row>
    <row r="698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80"/>
      <c r="AI698" s="180"/>
    </row>
    <row r="699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80"/>
      <c r="AI699" s="180"/>
    </row>
    <row r="700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80"/>
      <c r="AI700" s="180"/>
    </row>
    <row r="70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80"/>
      <c r="AI701" s="180"/>
    </row>
    <row r="702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80"/>
      <c r="AI702" s="180"/>
    </row>
    <row r="703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80"/>
      <c r="AI703" s="180"/>
    </row>
    <row r="704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80"/>
      <c r="AI704" s="180"/>
    </row>
    <row r="70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80"/>
      <c r="AI705" s="180"/>
    </row>
    <row r="706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80"/>
      <c r="AI706" s="180"/>
    </row>
    <row r="707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80"/>
      <c r="AI707" s="180"/>
    </row>
    <row r="708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80"/>
      <c r="AI708" s="180"/>
    </row>
    <row r="709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80"/>
      <c r="AI709" s="180"/>
    </row>
    <row r="710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80"/>
      <c r="AI710" s="180"/>
    </row>
    <row r="71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80"/>
      <c r="AI711" s="180"/>
    </row>
    <row r="712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80"/>
      <c r="AI712" s="180"/>
    </row>
    <row r="713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80"/>
      <c r="AI713" s="180"/>
    </row>
    <row r="714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80"/>
      <c r="AI714" s="180"/>
    </row>
    <row r="71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80"/>
      <c r="AI715" s="180"/>
    </row>
    <row r="716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80"/>
      <c r="AI716" s="180"/>
    </row>
    <row r="717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80"/>
      <c r="AI717" s="180"/>
    </row>
    <row r="718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80"/>
      <c r="AI718" s="180"/>
    </row>
    <row r="719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80"/>
      <c r="AI719" s="180"/>
    </row>
    <row r="720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80"/>
      <c r="AI720" s="180"/>
    </row>
    <row r="72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80"/>
      <c r="AI721" s="180"/>
    </row>
    <row r="722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80"/>
      <c r="AI722" s="180"/>
    </row>
    <row r="723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80"/>
      <c r="AI723" s="180"/>
    </row>
    <row r="724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80"/>
      <c r="AI724" s="180"/>
    </row>
    <row r="72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80"/>
      <c r="AI725" s="180"/>
    </row>
    <row r="726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80"/>
      <c r="AI726" s="180"/>
    </row>
    <row r="727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80"/>
      <c r="AI727" s="180"/>
    </row>
    <row r="728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80"/>
      <c r="AI728" s="180"/>
    </row>
    <row r="729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80"/>
      <c r="AI729" s="180"/>
    </row>
    <row r="730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80"/>
      <c r="AI730" s="180"/>
    </row>
    <row r="73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80"/>
      <c r="AI731" s="180"/>
    </row>
    <row r="732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80"/>
      <c r="AI732" s="180"/>
    </row>
    <row r="733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80"/>
      <c r="AI733" s="180"/>
    </row>
    <row r="734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80"/>
      <c r="AI734" s="180"/>
    </row>
    <row r="73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80"/>
      <c r="AI735" s="180"/>
    </row>
    <row r="736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80"/>
      <c r="AI736" s="180"/>
    </row>
    <row r="737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80"/>
      <c r="AI737" s="180"/>
    </row>
    <row r="738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80"/>
      <c r="AI738" s="180"/>
    </row>
    <row r="739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80"/>
      <c r="AI739" s="180"/>
    </row>
    <row r="740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80"/>
      <c r="AI740" s="180"/>
    </row>
    <row r="74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80"/>
      <c r="AI741" s="180"/>
    </row>
    <row r="742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80"/>
      <c r="AI742" s="180"/>
    </row>
    <row r="743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80"/>
      <c r="AI743" s="180"/>
    </row>
    <row r="744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80"/>
      <c r="AI744" s="180"/>
    </row>
    <row r="74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80"/>
      <c r="AI745" s="180"/>
    </row>
    <row r="746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80"/>
      <c r="AI746" s="180"/>
    </row>
    <row r="747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80"/>
      <c r="AI747" s="180"/>
    </row>
    <row r="748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80"/>
      <c r="AI748" s="180"/>
    </row>
    <row r="749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80"/>
      <c r="AI749" s="180"/>
    </row>
    <row r="750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80"/>
      <c r="AI750" s="180"/>
    </row>
    <row r="75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80"/>
      <c r="AI751" s="180"/>
    </row>
    <row r="752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80"/>
      <c r="AI752" s="180"/>
    </row>
    <row r="753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80"/>
      <c r="AI753" s="180"/>
    </row>
    <row r="754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80"/>
      <c r="AI754" s="180"/>
    </row>
    <row r="75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80"/>
      <c r="AI755" s="180"/>
    </row>
    <row r="756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80"/>
      <c r="AI756" s="180"/>
    </row>
    <row r="757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80"/>
      <c r="AI757" s="180"/>
    </row>
    <row r="758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80"/>
      <c r="AI758" s="180"/>
    </row>
    <row r="759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80"/>
      <c r="AI759" s="180"/>
    </row>
    <row r="760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80"/>
      <c r="AI760" s="180"/>
    </row>
    <row r="76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80"/>
      <c r="AI761" s="180"/>
    </row>
    <row r="762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80"/>
      <c r="AI762" s="180"/>
    </row>
    <row r="763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80"/>
      <c r="AI763" s="180"/>
    </row>
    <row r="764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80"/>
      <c r="AI764" s="180"/>
    </row>
    <row r="76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80"/>
      <c r="AI765" s="180"/>
    </row>
    <row r="766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80"/>
      <c r="AI766" s="180"/>
    </row>
    <row r="767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80"/>
      <c r="AI767" s="180"/>
    </row>
    <row r="768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80"/>
      <c r="AI768" s="180"/>
    </row>
    <row r="769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80"/>
      <c r="AI769" s="180"/>
    </row>
    <row r="770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80"/>
      <c r="AI770" s="180"/>
    </row>
    <row r="77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80"/>
      <c r="AI771" s="180"/>
    </row>
    <row r="772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80"/>
      <c r="AI772" s="180"/>
    </row>
    <row r="773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80"/>
      <c r="AI773" s="180"/>
    </row>
    <row r="774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80"/>
      <c r="AI774" s="180"/>
    </row>
    <row r="7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80"/>
      <c r="AI775" s="180"/>
    </row>
    <row r="776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80"/>
      <c r="AI776" s="180"/>
    </row>
    <row r="777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80"/>
      <c r="AI777" s="180"/>
    </row>
    <row r="778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80"/>
      <c r="AI778" s="180"/>
    </row>
    <row r="779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80"/>
      <c r="AI779" s="180"/>
    </row>
    <row r="780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80"/>
      <c r="AI780" s="180"/>
    </row>
    <row r="78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80"/>
      <c r="AI781" s="180"/>
    </row>
    <row r="782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80"/>
      <c r="AI782" s="180"/>
    </row>
    <row r="783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80"/>
      <c r="AI783" s="180"/>
    </row>
    <row r="784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80"/>
      <c r="AI784" s="180"/>
    </row>
    <row r="78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80"/>
      <c r="AI785" s="180"/>
    </row>
    <row r="786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80"/>
      <c r="AI786" s="180"/>
    </row>
    <row r="787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80"/>
      <c r="AI787" s="180"/>
    </row>
    <row r="788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80"/>
      <c r="AI788" s="180"/>
    </row>
    <row r="789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80"/>
      <c r="AI789" s="180"/>
    </row>
    <row r="790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80"/>
      <c r="AI790" s="180"/>
    </row>
    <row r="79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80"/>
      <c r="AI791" s="180"/>
    </row>
    <row r="792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80"/>
      <c r="AI792" s="180"/>
    </row>
    <row r="793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80"/>
      <c r="AI793" s="180"/>
    </row>
    <row r="794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80"/>
      <c r="AI794" s="180"/>
    </row>
    <row r="79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80"/>
      <c r="AI795" s="180"/>
    </row>
    <row r="796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80"/>
      <c r="AI796" s="180"/>
    </row>
    <row r="797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80"/>
      <c r="AI797" s="180"/>
    </row>
    <row r="798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80"/>
      <c r="AI798" s="180"/>
    </row>
    <row r="799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80"/>
      <c r="AI799" s="180"/>
    </row>
    <row r="800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80"/>
      <c r="AI800" s="180"/>
    </row>
    <row r="80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80"/>
      <c r="AI801" s="180"/>
    </row>
    <row r="802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80"/>
      <c r="AI802" s="180"/>
    </row>
    <row r="803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80"/>
      <c r="AI803" s="180"/>
    </row>
    <row r="804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80"/>
      <c r="AI804" s="180"/>
    </row>
    <row r="80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80"/>
      <c r="AI805" s="180"/>
    </row>
    <row r="806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80"/>
      <c r="AI806" s="180"/>
    </row>
    <row r="807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80"/>
      <c r="AI807" s="180"/>
    </row>
    <row r="808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80"/>
      <c r="AI808" s="180"/>
    </row>
    <row r="809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80"/>
      <c r="AI809" s="180"/>
    </row>
    <row r="810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80"/>
      <c r="AI810" s="180"/>
    </row>
    <row r="81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80"/>
      <c r="AI811" s="180"/>
    </row>
    <row r="812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80"/>
      <c r="AI812" s="180"/>
    </row>
    <row r="813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80"/>
      <c r="AI813" s="180"/>
    </row>
    <row r="814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80"/>
      <c r="AI814" s="180"/>
    </row>
    <row r="81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80"/>
      <c r="AI815" s="180"/>
    </row>
    <row r="816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80"/>
      <c r="AI816" s="180"/>
    </row>
    <row r="817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80"/>
      <c r="AI817" s="180"/>
    </row>
    <row r="818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80"/>
      <c r="AI818" s="180"/>
    </row>
    <row r="819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80"/>
      <c r="AI819" s="180"/>
    </row>
    <row r="820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80"/>
      <c r="AI820" s="180"/>
    </row>
    <row r="82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80"/>
      <c r="AI821" s="180"/>
    </row>
    <row r="822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80"/>
      <c r="AI822" s="180"/>
    </row>
    <row r="823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80"/>
      <c r="AI823" s="180"/>
    </row>
    <row r="824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80"/>
      <c r="AI824" s="180"/>
    </row>
    <row r="82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80"/>
      <c r="AI825" s="180"/>
    </row>
    <row r="826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80"/>
      <c r="AI826" s="180"/>
    </row>
    <row r="827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80"/>
      <c r="AI827" s="180"/>
    </row>
    <row r="828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80"/>
      <c r="AI828" s="180"/>
    </row>
    <row r="829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80"/>
      <c r="AI829" s="180"/>
    </row>
    <row r="830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80"/>
      <c r="AI830" s="180"/>
    </row>
    <row r="83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80"/>
      <c r="AI831" s="180"/>
    </row>
    <row r="832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80"/>
      <c r="AI832" s="180"/>
    </row>
    <row r="833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80"/>
      <c r="AI833" s="180"/>
    </row>
    <row r="834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80"/>
      <c r="AI834" s="180"/>
    </row>
    <row r="83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80"/>
      <c r="AI835" s="180"/>
    </row>
    <row r="836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80"/>
      <c r="AI836" s="180"/>
    </row>
    <row r="837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80"/>
      <c r="AI837" s="180"/>
    </row>
    <row r="838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80"/>
      <c r="AI838" s="180"/>
    </row>
    <row r="839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80"/>
      <c r="AI839" s="180"/>
    </row>
    <row r="840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80"/>
      <c r="AI840" s="180"/>
    </row>
    <row r="84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80"/>
      <c r="AI841" s="180"/>
    </row>
    <row r="842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80"/>
      <c r="AI842" s="180"/>
    </row>
    <row r="843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80"/>
      <c r="AI843" s="180"/>
    </row>
    <row r="844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80"/>
      <c r="AI844" s="180"/>
    </row>
    <row r="84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80"/>
      <c r="AI845" s="180"/>
    </row>
    <row r="846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80"/>
      <c r="AI846" s="180"/>
    </row>
    <row r="847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80"/>
      <c r="AI847" s="180"/>
    </row>
    <row r="848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80"/>
      <c r="AI848" s="180"/>
    </row>
    <row r="849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80"/>
      <c r="AI849" s="180"/>
    </row>
    <row r="850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80"/>
      <c r="AI850" s="180"/>
    </row>
    <row r="85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80"/>
      <c r="AI851" s="180"/>
    </row>
    <row r="852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80"/>
      <c r="AI852" s="180"/>
    </row>
    <row r="853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80"/>
      <c r="AI853" s="180"/>
    </row>
    <row r="854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80"/>
      <c r="AI854" s="180"/>
    </row>
    <row r="85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80"/>
      <c r="AI855" s="180"/>
    </row>
    <row r="856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80"/>
      <c r="AI856" s="180"/>
    </row>
    <row r="857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80"/>
      <c r="AI857" s="180"/>
    </row>
    <row r="858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80"/>
      <c r="AI858" s="180"/>
    </row>
    <row r="859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80"/>
      <c r="AI859" s="180"/>
    </row>
    <row r="860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80"/>
      <c r="AI860" s="180"/>
    </row>
    <row r="86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80"/>
      <c r="AI861" s="180"/>
    </row>
    <row r="862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80"/>
      <c r="AI862" s="180"/>
    </row>
    <row r="863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80"/>
      <c r="AI863" s="180"/>
    </row>
    <row r="864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80"/>
      <c r="AI864" s="180"/>
    </row>
    <row r="86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80"/>
      <c r="AI865" s="180"/>
    </row>
    <row r="866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80"/>
      <c r="AI866" s="180"/>
    </row>
    <row r="867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80"/>
      <c r="AI867" s="180"/>
    </row>
    <row r="868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80"/>
      <c r="AI868" s="180"/>
    </row>
    <row r="869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80"/>
      <c r="AI869" s="180"/>
    </row>
    <row r="870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80"/>
      <c r="AI870" s="180"/>
    </row>
    <row r="87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80"/>
      <c r="AI871" s="180"/>
    </row>
    <row r="872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80"/>
      <c r="AI872" s="180"/>
    </row>
    <row r="873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80"/>
      <c r="AI873" s="180"/>
    </row>
    <row r="874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80"/>
      <c r="AI874" s="180"/>
    </row>
    <row r="8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80"/>
      <c r="AI875" s="180"/>
    </row>
    <row r="876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80"/>
      <c r="AI876" s="180"/>
    </row>
    <row r="877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80"/>
      <c r="AI877" s="180"/>
    </row>
    <row r="878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80"/>
      <c r="AI878" s="180"/>
    </row>
    <row r="879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80"/>
      <c r="AI879" s="180"/>
    </row>
    <row r="880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80"/>
      <c r="AI880" s="180"/>
    </row>
    <row r="88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80"/>
      <c r="AI881" s="180"/>
    </row>
    <row r="882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80"/>
      <c r="AI882" s="180"/>
    </row>
    <row r="883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80"/>
      <c r="AI883" s="180"/>
    </row>
    <row r="884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80"/>
      <c r="AI884" s="180"/>
    </row>
    <row r="88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80"/>
      <c r="AI885" s="180"/>
    </row>
    <row r="886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80"/>
      <c r="AI886" s="180"/>
    </row>
    <row r="887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80"/>
      <c r="AI887" s="180"/>
    </row>
    <row r="888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80"/>
      <c r="AI888" s="180"/>
    </row>
    <row r="889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80"/>
      <c r="AI889" s="180"/>
    </row>
    <row r="890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80"/>
      <c r="AI890" s="180"/>
    </row>
    <row r="89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80"/>
      <c r="AI891" s="180"/>
    </row>
    <row r="892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80"/>
      <c r="AI892" s="180"/>
    </row>
    <row r="893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80"/>
      <c r="AI893" s="180"/>
    </row>
    <row r="894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80"/>
      <c r="AI894" s="180"/>
    </row>
    <row r="89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80"/>
      <c r="AI895" s="180"/>
    </row>
    <row r="896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80"/>
      <c r="AI896" s="180"/>
    </row>
    <row r="897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80"/>
      <c r="AI897" s="180"/>
    </row>
    <row r="898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80"/>
      <c r="AI898" s="180"/>
    </row>
    <row r="899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80"/>
      <c r="AI899" s="180"/>
    </row>
    <row r="900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80"/>
      <c r="AI900" s="180"/>
    </row>
    <row r="90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80"/>
      <c r="AI901" s="180"/>
    </row>
    <row r="902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80"/>
      <c r="AI902" s="180"/>
    </row>
    <row r="903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80"/>
      <c r="AI903" s="180"/>
    </row>
    <row r="904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80"/>
      <c r="AI904" s="180"/>
    </row>
    <row r="90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80"/>
      <c r="AI905" s="180"/>
    </row>
    <row r="906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80"/>
      <c r="AI906" s="180"/>
    </row>
    <row r="907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80"/>
      <c r="AI907" s="180"/>
    </row>
    <row r="908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80"/>
      <c r="AI908" s="180"/>
    </row>
    <row r="909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80"/>
      <c r="AI909" s="180"/>
    </row>
    <row r="910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80"/>
      <c r="AI910" s="180"/>
    </row>
    <row r="91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80"/>
      <c r="AI911" s="180"/>
    </row>
    <row r="912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80"/>
      <c r="AI912" s="180"/>
    </row>
    <row r="913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80"/>
      <c r="AI913" s="180"/>
    </row>
    <row r="914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80"/>
      <c r="AI914" s="180"/>
    </row>
    <row r="91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80"/>
      <c r="AI915" s="180"/>
    </row>
    <row r="916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80"/>
      <c r="AI916" s="180"/>
    </row>
    <row r="917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80"/>
      <c r="AI917" s="180"/>
    </row>
    <row r="918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80"/>
      <c r="AI918" s="180"/>
    </row>
    <row r="919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80"/>
      <c r="AI919" s="180"/>
    </row>
    <row r="920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  <c r="AG920" s="180"/>
      <c r="AH920" s="180"/>
      <c r="AI920" s="180"/>
    </row>
    <row r="92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  <c r="AG921" s="180"/>
      <c r="AH921" s="180"/>
      <c r="AI921" s="180"/>
    </row>
    <row r="922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  <c r="AG922" s="180"/>
      <c r="AH922" s="180"/>
      <c r="AI922" s="180"/>
    </row>
    <row r="923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  <c r="AG923" s="180"/>
      <c r="AH923" s="180"/>
      <c r="AI923" s="180"/>
    </row>
    <row r="924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  <c r="AF924" s="180"/>
      <c r="AG924" s="180"/>
      <c r="AH924" s="180"/>
      <c r="AI924" s="180"/>
    </row>
    <row r="92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  <c r="AF925" s="180"/>
      <c r="AG925" s="180"/>
      <c r="AH925" s="180"/>
      <c r="AI925" s="180"/>
    </row>
    <row r="926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  <c r="AF926" s="180"/>
      <c r="AG926" s="180"/>
      <c r="AH926" s="180"/>
      <c r="AI926" s="180"/>
    </row>
    <row r="927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  <c r="AF927" s="180"/>
      <c r="AG927" s="180"/>
      <c r="AH927" s="180"/>
      <c r="AI927" s="180"/>
    </row>
    <row r="928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  <c r="AF928" s="180"/>
      <c r="AG928" s="180"/>
      <c r="AH928" s="180"/>
      <c r="AI928" s="180"/>
    </row>
    <row r="929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  <c r="AF929" s="180"/>
      <c r="AG929" s="180"/>
      <c r="AH929" s="180"/>
      <c r="AI929" s="180"/>
    </row>
    <row r="930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  <c r="AF930" s="180"/>
      <c r="AG930" s="180"/>
      <c r="AH930" s="180"/>
      <c r="AI930" s="180"/>
    </row>
    <row r="93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  <c r="AF931" s="180"/>
      <c r="AG931" s="180"/>
      <c r="AH931" s="180"/>
      <c r="AI931" s="180"/>
    </row>
    <row r="932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  <c r="AF932" s="180"/>
      <c r="AG932" s="180"/>
      <c r="AH932" s="180"/>
      <c r="AI932" s="180"/>
    </row>
    <row r="933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  <c r="AF933" s="180"/>
      <c r="AG933" s="180"/>
      <c r="AH933" s="180"/>
      <c r="AI933" s="180"/>
    </row>
    <row r="934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  <c r="AF934" s="180"/>
      <c r="AG934" s="180"/>
      <c r="AH934" s="180"/>
      <c r="AI934" s="180"/>
    </row>
    <row r="93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  <c r="AF935" s="180"/>
      <c r="AG935" s="180"/>
      <c r="AH935" s="180"/>
      <c r="AI935" s="180"/>
    </row>
    <row r="936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  <c r="AF936" s="180"/>
      <c r="AG936" s="180"/>
      <c r="AH936" s="180"/>
      <c r="AI936" s="180"/>
    </row>
    <row r="937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  <c r="AG937" s="180"/>
      <c r="AH937" s="180"/>
      <c r="AI937" s="180"/>
    </row>
    <row r="938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  <c r="AF938" s="180"/>
      <c r="AG938" s="180"/>
      <c r="AH938" s="180"/>
      <c r="AI938" s="180"/>
    </row>
    <row r="939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  <c r="AF939" s="180"/>
      <c r="AG939" s="180"/>
      <c r="AH939" s="180"/>
      <c r="AI939" s="180"/>
    </row>
    <row r="940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  <c r="AF940" s="180"/>
      <c r="AG940" s="180"/>
      <c r="AH940" s="180"/>
      <c r="AI940" s="180"/>
    </row>
    <row r="94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  <c r="AF941" s="180"/>
      <c r="AG941" s="180"/>
      <c r="AH941" s="180"/>
      <c r="AI941" s="180"/>
    </row>
    <row r="942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  <c r="AF942" s="180"/>
      <c r="AG942" s="180"/>
      <c r="AH942" s="180"/>
      <c r="AI942" s="180"/>
    </row>
    <row r="943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  <c r="AF943" s="180"/>
      <c r="AG943" s="180"/>
      <c r="AH943" s="180"/>
      <c r="AI943" s="180"/>
    </row>
    <row r="944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  <c r="AF944" s="180"/>
      <c r="AG944" s="180"/>
      <c r="AH944" s="180"/>
      <c r="AI944" s="180"/>
    </row>
    <row r="94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  <c r="AF945" s="180"/>
      <c r="AG945" s="180"/>
      <c r="AH945" s="180"/>
      <c r="AI945" s="180"/>
    </row>
    <row r="946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  <c r="AF946" s="180"/>
      <c r="AG946" s="180"/>
      <c r="AH946" s="180"/>
      <c r="AI946" s="180"/>
    </row>
    <row r="947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  <c r="AF947" s="180"/>
      <c r="AG947" s="180"/>
      <c r="AH947" s="180"/>
      <c r="AI947" s="180"/>
    </row>
    <row r="948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  <c r="AF948" s="180"/>
      <c r="AG948" s="180"/>
      <c r="AH948" s="180"/>
      <c r="AI948" s="180"/>
    </row>
    <row r="949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  <c r="AF949" s="180"/>
      <c r="AG949" s="180"/>
      <c r="AH949" s="180"/>
      <c r="AI949" s="180"/>
    </row>
    <row r="950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  <c r="AD950" s="180"/>
      <c r="AE950" s="180"/>
      <c r="AF950" s="180"/>
      <c r="AG950" s="180"/>
      <c r="AH950" s="180"/>
      <c r="AI950" s="180"/>
    </row>
    <row r="95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  <c r="AD951" s="180"/>
      <c r="AE951" s="180"/>
      <c r="AF951" s="180"/>
      <c r="AG951" s="180"/>
      <c r="AH951" s="180"/>
      <c r="AI951" s="180"/>
    </row>
    <row r="952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  <c r="AD952" s="180"/>
      <c r="AE952" s="180"/>
      <c r="AF952" s="180"/>
      <c r="AG952" s="180"/>
      <c r="AH952" s="180"/>
      <c r="AI952" s="180"/>
    </row>
    <row r="953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  <c r="AD953" s="180"/>
      <c r="AE953" s="180"/>
      <c r="AF953" s="180"/>
      <c r="AG953" s="180"/>
      <c r="AH953" s="180"/>
      <c r="AI953" s="180"/>
    </row>
    <row r="954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  <c r="AD954" s="180"/>
      <c r="AE954" s="180"/>
      <c r="AF954" s="180"/>
      <c r="AG954" s="180"/>
      <c r="AH954" s="180"/>
      <c r="AI954" s="180"/>
    </row>
    <row r="95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  <c r="AD955" s="180"/>
      <c r="AE955" s="180"/>
      <c r="AF955" s="180"/>
      <c r="AG955" s="180"/>
      <c r="AH955" s="180"/>
      <c r="AI955" s="180"/>
    </row>
    <row r="956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  <c r="AD956" s="180"/>
      <c r="AE956" s="180"/>
      <c r="AF956" s="180"/>
      <c r="AG956" s="180"/>
      <c r="AH956" s="180"/>
      <c r="AI956" s="180"/>
    </row>
    <row r="957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  <c r="AD957" s="180"/>
      <c r="AE957" s="180"/>
      <c r="AF957" s="180"/>
      <c r="AG957" s="180"/>
      <c r="AH957" s="180"/>
      <c r="AI957" s="180"/>
    </row>
    <row r="958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  <c r="AD958" s="180"/>
      <c r="AE958" s="180"/>
      <c r="AF958" s="180"/>
      <c r="AG958" s="180"/>
      <c r="AH958" s="180"/>
      <c r="AI958" s="180"/>
    </row>
    <row r="959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  <c r="AD959" s="180"/>
      <c r="AE959" s="180"/>
      <c r="AF959" s="180"/>
      <c r="AG959" s="180"/>
      <c r="AH959" s="180"/>
      <c r="AI959" s="180"/>
    </row>
    <row r="960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  <c r="AD960" s="180"/>
      <c r="AE960" s="180"/>
      <c r="AF960" s="180"/>
      <c r="AG960" s="180"/>
      <c r="AH960" s="180"/>
      <c r="AI960" s="180"/>
    </row>
    <row r="96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  <c r="AD961" s="180"/>
      <c r="AE961" s="180"/>
      <c r="AF961" s="180"/>
      <c r="AG961" s="180"/>
      <c r="AH961" s="180"/>
      <c r="AI961" s="180"/>
    </row>
    <row r="962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  <c r="AD962" s="180"/>
      <c r="AE962" s="180"/>
      <c r="AF962" s="180"/>
      <c r="AG962" s="180"/>
      <c r="AH962" s="180"/>
      <c r="AI962" s="180"/>
    </row>
    <row r="963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  <c r="AD963" s="180"/>
      <c r="AE963" s="180"/>
      <c r="AF963" s="180"/>
      <c r="AG963" s="180"/>
      <c r="AH963" s="180"/>
      <c r="AI963" s="180"/>
    </row>
    <row r="964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  <c r="AD964" s="180"/>
      <c r="AE964" s="180"/>
      <c r="AF964" s="180"/>
      <c r="AG964" s="180"/>
      <c r="AH964" s="180"/>
      <c r="AI964" s="180"/>
    </row>
    <row r="96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  <c r="AD965" s="180"/>
      <c r="AE965" s="180"/>
      <c r="AF965" s="180"/>
      <c r="AG965" s="180"/>
      <c r="AH965" s="180"/>
      <c r="AI965" s="180"/>
    </row>
    <row r="966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  <c r="AD966" s="180"/>
      <c r="AE966" s="180"/>
      <c r="AF966" s="180"/>
      <c r="AG966" s="180"/>
      <c r="AH966" s="180"/>
      <c r="AI966" s="180"/>
    </row>
    <row r="967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  <c r="AD967" s="180"/>
      <c r="AE967" s="180"/>
      <c r="AF967" s="180"/>
      <c r="AG967" s="180"/>
      <c r="AH967" s="180"/>
      <c r="AI967" s="180"/>
    </row>
    <row r="968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  <c r="AD968" s="180"/>
      <c r="AE968" s="180"/>
      <c r="AF968" s="180"/>
      <c r="AG968" s="180"/>
      <c r="AH968" s="180"/>
      <c r="AI968" s="180"/>
    </row>
    <row r="969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  <c r="AD969" s="180"/>
      <c r="AE969" s="180"/>
      <c r="AF969" s="180"/>
      <c r="AG969" s="180"/>
      <c r="AH969" s="180"/>
      <c r="AI969" s="180"/>
    </row>
    <row r="970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  <c r="AD970" s="180"/>
      <c r="AE970" s="180"/>
      <c r="AF970" s="180"/>
      <c r="AG970" s="180"/>
      <c r="AH970" s="180"/>
      <c r="AI970" s="180"/>
    </row>
    <row r="97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  <c r="AD971" s="180"/>
      <c r="AE971" s="180"/>
      <c r="AF971" s="180"/>
      <c r="AG971" s="180"/>
      <c r="AH971" s="180"/>
      <c r="AI971" s="180"/>
    </row>
    <row r="972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  <c r="AD972" s="180"/>
      <c r="AE972" s="180"/>
      <c r="AF972" s="180"/>
      <c r="AG972" s="180"/>
      <c r="AH972" s="180"/>
      <c r="AI972" s="180"/>
    </row>
    <row r="973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  <c r="AD973" s="180"/>
      <c r="AE973" s="180"/>
      <c r="AF973" s="180"/>
      <c r="AG973" s="180"/>
      <c r="AH973" s="180"/>
      <c r="AI973" s="180"/>
    </row>
    <row r="974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  <c r="AD974" s="180"/>
      <c r="AE974" s="180"/>
      <c r="AF974" s="180"/>
      <c r="AG974" s="180"/>
      <c r="AH974" s="180"/>
      <c r="AI974" s="180"/>
    </row>
    <row r="9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  <c r="AD975" s="180"/>
      <c r="AE975" s="180"/>
      <c r="AF975" s="180"/>
      <c r="AG975" s="180"/>
      <c r="AH975" s="180"/>
      <c r="AI975" s="180"/>
    </row>
    <row r="976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  <c r="AD976" s="180"/>
      <c r="AE976" s="180"/>
      <c r="AF976" s="180"/>
      <c r="AG976" s="180"/>
      <c r="AH976" s="180"/>
      <c r="AI976" s="180"/>
    </row>
    <row r="977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  <c r="AD977" s="180"/>
      <c r="AE977" s="180"/>
      <c r="AF977" s="180"/>
      <c r="AG977" s="180"/>
      <c r="AH977" s="180"/>
      <c r="AI977" s="180"/>
    </row>
    <row r="978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  <c r="AD978" s="180"/>
      <c r="AE978" s="180"/>
      <c r="AF978" s="180"/>
      <c r="AG978" s="180"/>
      <c r="AH978" s="180"/>
      <c r="AI978" s="180"/>
    </row>
    <row r="979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  <c r="AD979" s="180"/>
      <c r="AE979" s="180"/>
      <c r="AF979" s="180"/>
      <c r="AG979" s="180"/>
      <c r="AH979" s="180"/>
      <c r="AI979" s="180"/>
    </row>
    <row r="980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  <c r="AD980" s="180"/>
      <c r="AE980" s="180"/>
      <c r="AF980" s="180"/>
      <c r="AG980" s="180"/>
      <c r="AH980" s="180"/>
      <c r="AI980" s="180"/>
    </row>
    <row r="98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  <c r="AD981" s="180"/>
      <c r="AE981" s="180"/>
      <c r="AF981" s="180"/>
      <c r="AG981" s="180"/>
      <c r="AH981" s="180"/>
      <c r="AI981" s="180"/>
    </row>
    <row r="982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  <c r="AD982" s="180"/>
      <c r="AE982" s="180"/>
      <c r="AF982" s="180"/>
      <c r="AG982" s="180"/>
      <c r="AH982" s="180"/>
      <c r="AI982" s="180"/>
    </row>
    <row r="983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  <c r="AD983" s="180"/>
      <c r="AE983" s="180"/>
      <c r="AF983" s="180"/>
      <c r="AG983" s="180"/>
      <c r="AH983" s="180"/>
      <c r="AI983" s="180"/>
    </row>
    <row r="984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  <c r="AD984" s="180"/>
      <c r="AE984" s="180"/>
      <c r="AF984" s="180"/>
      <c r="AG984" s="180"/>
      <c r="AH984" s="180"/>
      <c r="AI984" s="180"/>
    </row>
    <row r="98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  <c r="AD985" s="180"/>
      <c r="AE985" s="180"/>
      <c r="AF985" s="180"/>
      <c r="AG985" s="180"/>
      <c r="AH985" s="180"/>
      <c r="AI985" s="180"/>
    </row>
    <row r="986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  <c r="AD986" s="180"/>
      <c r="AE986" s="180"/>
      <c r="AF986" s="180"/>
      <c r="AG986" s="180"/>
      <c r="AH986" s="180"/>
      <c r="AI986" s="180"/>
    </row>
    <row r="987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  <c r="AD987" s="180"/>
      <c r="AE987" s="180"/>
      <c r="AF987" s="180"/>
      <c r="AG987" s="180"/>
      <c r="AH987" s="180"/>
      <c r="AI987" s="180"/>
    </row>
    <row r="988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  <c r="AD988" s="180"/>
      <c r="AE988" s="180"/>
      <c r="AF988" s="180"/>
      <c r="AG988" s="180"/>
      <c r="AH988" s="180"/>
      <c r="AI988" s="180"/>
    </row>
    <row r="989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  <c r="AD989" s="180"/>
      <c r="AE989" s="180"/>
      <c r="AF989" s="180"/>
      <c r="AG989" s="180"/>
      <c r="AH989" s="180"/>
      <c r="AI989" s="180"/>
    </row>
    <row r="990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  <c r="AC990" s="180"/>
      <c r="AD990" s="180"/>
      <c r="AE990" s="180"/>
      <c r="AF990" s="180"/>
      <c r="AG990" s="180"/>
      <c r="AH990" s="180"/>
      <c r="AI990" s="180"/>
    </row>
    <row r="99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  <c r="AC991" s="180"/>
      <c r="AD991" s="180"/>
      <c r="AE991" s="180"/>
      <c r="AF991" s="180"/>
      <c r="AG991" s="180"/>
      <c r="AH991" s="180"/>
      <c r="AI991" s="180"/>
    </row>
    <row r="992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  <c r="AC992" s="180"/>
      <c r="AD992" s="180"/>
      <c r="AE992" s="180"/>
      <c r="AF992" s="180"/>
      <c r="AG992" s="180"/>
      <c r="AH992" s="180"/>
      <c r="AI992" s="180"/>
    </row>
    <row r="993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  <c r="AC993" s="180"/>
      <c r="AD993" s="180"/>
      <c r="AE993" s="180"/>
      <c r="AF993" s="180"/>
      <c r="AG993" s="180"/>
      <c r="AH993" s="180"/>
      <c r="AI993" s="180"/>
    </row>
    <row r="994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  <c r="AC994" s="180"/>
      <c r="AD994" s="180"/>
      <c r="AE994" s="180"/>
      <c r="AF994" s="180"/>
      <c r="AG994" s="180"/>
      <c r="AH994" s="180"/>
      <c r="AI994" s="180"/>
    </row>
    <row r="99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  <c r="AC995" s="180"/>
      <c r="AD995" s="180"/>
      <c r="AE995" s="180"/>
      <c r="AF995" s="180"/>
      <c r="AG995" s="180"/>
      <c r="AH995" s="180"/>
      <c r="AI995" s="180"/>
    </row>
    <row r="996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  <c r="AC996" s="180"/>
      <c r="AD996" s="180"/>
      <c r="AE996" s="180"/>
      <c r="AF996" s="180"/>
      <c r="AG996" s="180"/>
      <c r="AH996" s="180"/>
      <c r="AI996" s="180"/>
    </row>
    <row r="997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  <c r="AB997" s="180"/>
      <c r="AC997" s="180"/>
      <c r="AD997" s="180"/>
      <c r="AE997" s="180"/>
      <c r="AF997" s="180"/>
      <c r="AG997" s="180"/>
      <c r="AH997" s="180"/>
      <c r="AI997" s="180"/>
    </row>
    <row r="998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  <c r="AA998" s="180"/>
      <c r="AB998" s="180"/>
      <c r="AC998" s="180"/>
      <c r="AD998" s="180"/>
      <c r="AE998" s="180"/>
      <c r="AF998" s="180"/>
      <c r="AG998" s="180"/>
      <c r="AH998" s="180"/>
      <c r="AI998" s="180"/>
    </row>
    <row r="999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  <c r="AA999" s="180"/>
      <c r="AB999" s="180"/>
      <c r="AC999" s="180"/>
      <c r="AD999" s="180"/>
      <c r="AE999" s="180"/>
      <c r="AF999" s="180"/>
      <c r="AG999" s="180"/>
      <c r="AH999" s="180"/>
      <c r="AI999" s="180"/>
    </row>
    <row r="1000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  <c r="AA1000" s="180"/>
      <c r="AB1000" s="180"/>
      <c r="AC1000" s="180"/>
      <c r="AD1000" s="180"/>
      <c r="AE1000" s="180"/>
      <c r="AF1000" s="180"/>
      <c r="AG1000" s="180"/>
      <c r="AH1000" s="180"/>
      <c r="AI1000" s="180"/>
    </row>
    <row r="1001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  <c r="AA1001" s="180"/>
      <c r="AB1001" s="180"/>
      <c r="AC1001" s="180"/>
      <c r="AD1001" s="180"/>
      <c r="AE1001" s="180"/>
      <c r="AF1001" s="180"/>
      <c r="AG1001" s="180"/>
      <c r="AH1001" s="180"/>
      <c r="AI1001" s="180"/>
    </row>
    <row r="1002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  <c r="AA1002" s="180"/>
      <c r="AB1002" s="180"/>
      <c r="AC1002" s="180"/>
      <c r="AD1002" s="180"/>
      <c r="AE1002" s="180"/>
      <c r="AF1002" s="180"/>
      <c r="AG1002" s="180"/>
      <c r="AH1002" s="180"/>
      <c r="AI1002" s="180"/>
    </row>
    <row r="1003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  <c r="AA1003" s="180"/>
      <c r="AB1003" s="180"/>
      <c r="AC1003" s="180"/>
      <c r="AD1003" s="180"/>
      <c r="AE1003" s="180"/>
      <c r="AF1003" s="180"/>
      <c r="AG1003" s="180"/>
      <c r="AH1003" s="180"/>
      <c r="AI1003" s="180"/>
    </row>
    <row r="1004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  <c r="AA1004" s="180"/>
      <c r="AB1004" s="180"/>
      <c r="AC1004" s="180"/>
      <c r="AD1004" s="180"/>
      <c r="AE1004" s="180"/>
      <c r="AF1004" s="180"/>
      <c r="AG1004" s="180"/>
      <c r="AH1004" s="180"/>
      <c r="AI1004" s="180"/>
    </row>
    <row r="1005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  <c r="AA1005" s="180"/>
      <c r="AB1005" s="180"/>
      <c r="AC1005" s="180"/>
      <c r="AD1005" s="180"/>
      <c r="AE1005" s="180"/>
      <c r="AF1005" s="180"/>
      <c r="AG1005" s="180"/>
      <c r="AH1005" s="180"/>
      <c r="AI1005" s="180"/>
    </row>
    <row r="1006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  <c r="AA1006" s="180"/>
      <c r="AB1006" s="180"/>
      <c r="AC1006" s="180"/>
      <c r="AD1006" s="180"/>
      <c r="AE1006" s="180"/>
      <c r="AF1006" s="180"/>
      <c r="AG1006" s="180"/>
      <c r="AH1006" s="180"/>
      <c r="AI1006" s="180"/>
    </row>
    <row r="1007">
      <c r="A1007" s="180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  <c r="AA1007" s="180"/>
      <c r="AB1007" s="180"/>
      <c r="AC1007" s="180"/>
      <c r="AD1007" s="180"/>
      <c r="AE1007" s="180"/>
      <c r="AF1007" s="180"/>
      <c r="AG1007" s="180"/>
      <c r="AH1007" s="180"/>
      <c r="AI1007" s="180"/>
    </row>
  </sheetData>
  <mergeCells count="5">
    <mergeCell ref="C1:C2"/>
    <mergeCell ref="D1:D2"/>
    <mergeCell ref="E1:E2"/>
    <mergeCell ref="AA4:AA35"/>
    <mergeCell ref="AA56:AA9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8" width="6.33"/>
    <col customWidth="1" min="9" max="12" width="7.22"/>
    <col customWidth="1" min="13" max="17" width="8.0"/>
    <col customWidth="1" min="18" max="26" width="6.44"/>
    <col customWidth="1" min="27" max="27" width="9.33"/>
    <col customWidth="1" min="28" max="35" width="6.44"/>
  </cols>
  <sheetData>
    <row r="1" ht="16.5" customHeight="1">
      <c r="C1" s="32" t="s">
        <v>43</v>
      </c>
      <c r="D1" s="33">
        <v>1.0</v>
      </c>
      <c r="E1" s="32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</row>
    <row r="2" ht="16.5" customHeight="1">
      <c r="C2" s="36"/>
      <c r="D2" s="36"/>
      <c r="E2" s="36"/>
      <c r="F2" s="126">
        <v>5.0</v>
      </c>
      <c r="G2" s="126">
        <v>10.0</v>
      </c>
      <c r="H2" s="126">
        <v>15.0</v>
      </c>
      <c r="I2" s="126">
        <v>20.0</v>
      </c>
      <c r="J2" s="126">
        <v>25.0</v>
      </c>
      <c r="K2" s="126">
        <v>30.0</v>
      </c>
      <c r="L2" s="126">
        <v>50.0</v>
      </c>
      <c r="M2" s="126">
        <v>100.0</v>
      </c>
      <c r="N2" s="126">
        <v>200.0</v>
      </c>
      <c r="O2" s="126">
        <v>250.0</v>
      </c>
      <c r="P2" s="126">
        <v>300.0</v>
      </c>
      <c r="Q2" s="126">
        <v>500.0</v>
      </c>
      <c r="R2" s="126">
        <v>700.0</v>
      </c>
      <c r="S2" s="126">
        <v>750.0</v>
      </c>
      <c r="T2" s="126">
        <v>1000.0</v>
      </c>
      <c r="U2" s="213">
        <v>1500.0</v>
      </c>
      <c r="V2" s="213">
        <v>1600.0</v>
      </c>
      <c r="W2" s="213">
        <v>2000.0</v>
      </c>
      <c r="X2" s="213"/>
      <c r="Y2" s="213"/>
      <c r="Z2" s="214"/>
      <c r="AA2" s="213"/>
      <c r="AB2" s="213"/>
      <c r="AC2" s="213"/>
      <c r="AD2" s="214"/>
      <c r="AE2" s="213"/>
      <c r="AF2" s="213"/>
      <c r="AG2" s="213"/>
      <c r="AH2" s="213"/>
      <c r="AI2" s="214"/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215"/>
    </row>
    <row r="5" ht="16.5" customHeight="1">
      <c r="A5" s="216" t="s">
        <v>45</v>
      </c>
      <c r="B5" s="56" t="s">
        <v>46</v>
      </c>
      <c r="C5" s="56" t="s">
        <v>47</v>
      </c>
      <c r="D5" s="56" t="s">
        <v>48</v>
      </c>
      <c r="E5" s="217" t="s">
        <v>49</v>
      </c>
      <c r="F5" s="56" t="s">
        <v>251</v>
      </c>
      <c r="G5" s="56" t="s">
        <v>252</v>
      </c>
      <c r="H5" s="56" t="s">
        <v>253</v>
      </c>
      <c r="I5" s="56" t="s">
        <v>254</v>
      </c>
      <c r="J5" s="56" t="s">
        <v>255</v>
      </c>
      <c r="K5" s="56" t="s">
        <v>256</v>
      </c>
      <c r="L5" s="56" t="s">
        <v>257</v>
      </c>
      <c r="M5" s="56" t="s">
        <v>258</v>
      </c>
      <c r="N5" s="56" t="s">
        <v>259</v>
      </c>
      <c r="O5" s="56" t="s">
        <v>260</v>
      </c>
      <c r="P5" s="56" t="s">
        <v>261</v>
      </c>
      <c r="Q5" s="56" t="s">
        <v>262</v>
      </c>
      <c r="AA5" s="159" t="s">
        <v>70</v>
      </c>
    </row>
    <row r="6" ht="16.5" customHeight="1">
      <c r="A6" s="218" t="str">
        <f>'試算-SLOT'!A6</f>
        <v>THB</v>
      </c>
      <c r="B6" s="218" t="str">
        <f>'試算-SLOT'!B6</f>
        <v>฿</v>
      </c>
      <c r="C6" s="218" t="str">
        <f>'試算-SLOT'!C6</f>
        <v>泰銖</v>
      </c>
      <c r="D6" s="218" t="str">
        <f>IF('試算-SLOT'!D6=1,"",'試算-SLOT'!D6)</f>
        <v/>
      </c>
      <c r="E6" s="219">
        <v>1.0</v>
      </c>
      <c r="F6" s="218">
        <v>2.0</v>
      </c>
      <c r="G6" s="218">
        <v>4.0</v>
      </c>
      <c r="H6" s="218">
        <v>6.0</v>
      </c>
      <c r="I6" s="218">
        <v>7.0</v>
      </c>
      <c r="J6" s="218">
        <v>8.0</v>
      </c>
      <c r="K6" s="218">
        <v>9.0</v>
      </c>
      <c r="L6" s="218">
        <v>10.0</v>
      </c>
      <c r="M6" s="218">
        <v>12.0</v>
      </c>
      <c r="N6" s="218">
        <v>14.0</v>
      </c>
      <c r="O6" s="218">
        <v>15.0</v>
      </c>
      <c r="P6" s="218">
        <v>16.0</v>
      </c>
      <c r="Q6" s="218">
        <v>18.0</v>
      </c>
      <c r="AA6" s="52"/>
    </row>
    <row r="7" ht="16.5" customHeight="1">
      <c r="A7" s="220" t="str">
        <f>'試算-SLOT'!A7</f>
        <v>HKD</v>
      </c>
      <c r="B7" s="220" t="str">
        <f>'試算-SLOT'!B7</f>
        <v>HK$</v>
      </c>
      <c r="C7" s="220" t="str">
        <f>'試算-SLOT'!C7</f>
        <v>港幣</v>
      </c>
      <c r="D7" s="220" t="str">
        <f>IF('試算-SLOT'!D7=1,"",'試算-SLOT'!D7)</f>
        <v/>
      </c>
      <c r="E7" s="221">
        <v>0.2</v>
      </c>
      <c r="F7" s="220">
        <v>1.0</v>
      </c>
      <c r="G7" s="220">
        <v>3.0</v>
      </c>
      <c r="H7" s="220">
        <v>5.0</v>
      </c>
      <c r="I7" s="220">
        <v>7.0</v>
      </c>
      <c r="J7" s="220">
        <v>8.0</v>
      </c>
      <c r="K7" s="220">
        <v>9.0</v>
      </c>
      <c r="L7" s="220">
        <v>10.0</v>
      </c>
      <c r="M7" s="220">
        <v>12.0</v>
      </c>
      <c r="N7" s="220">
        <v>14.0</v>
      </c>
      <c r="O7" s="220">
        <v>15.0</v>
      </c>
      <c r="P7" s="220">
        <v>16.0</v>
      </c>
      <c r="Q7" s="220">
        <v>18.0</v>
      </c>
      <c r="AA7" s="52"/>
    </row>
    <row r="8" ht="16.5" customHeight="1">
      <c r="A8" s="218" t="str">
        <f>'試算-SLOT'!A8</f>
        <v>INR</v>
      </c>
      <c r="B8" s="218" t="str">
        <f>'試算-SLOT'!B8</f>
        <v>₹</v>
      </c>
      <c r="C8" s="218" t="str">
        <f>'試算-SLOT'!C8</f>
        <v>印度盧比</v>
      </c>
      <c r="D8" s="218" t="str">
        <f>IF('試算-SLOT'!D8=1,"",'試算-SLOT'!D8)</f>
        <v/>
      </c>
      <c r="E8" s="219">
        <v>1.0</v>
      </c>
      <c r="F8" s="218">
        <v>2.0</v>
      </c>
      <c r="G8" s="218">
        <v>4.0</v>
      </c>
      <c r="H8" s="218">
        <v>6.0</v>
      </c>
      <c r="I8" s="218">
        <v>7.0</v>
      </c>
      <c r="J8" s="218">
        <v>8.0</v>
      </c>
      <c r="K8" s="218">
        <v>9.0</v>
      </c>
      <c r="L8" s="218">
        <v>10.0</v>
      </c>
      <c r="M8" s="218">
        <v>12.0</v>
      </c>
      <c r="N8" s="218">
        <v>14.0</v>
      </c>
      <c r="O8" s="218">
        <v>15.0</v>
      </c>
      <c r="P8" s="218">
        <v>16.0</v>
      </c>
      <c r="Q8" s="218">
        <v>18.0</v>
      </c>
      <c r="AA8" s="52"/>
    </row>
    <row r="9" ht="16.5" customHeight="1">
      <c r="A9" s="56" t="str">
        <f>'試算-SLOT'!A9</f>
        <v>IDR</v>
      </c>
      <c r="B9" s="56" t="str">
        <f>'試算-SLOT'!B9</f>
        <v>Rp</v>
      </c>
      <c r="C9" s="56" t="str">
        <f>'試算-SLOT'!C9</f>
        <v>印尼盧比(K)</v>
      </c>
      <c r="D9" s="56">
        <f>IF('試算-SLOT'!D9=1,"",'試算-SLOT'!D9)</f>
        <v>1000</v>
      </c>
      <c r="E9" s="222">
        <v>0.5</v>
      </c>
      <c r="F9" s="56">
        <v>2.0</v>
      </c>
      <c r="G9" s="56">
        <v>4.0</v>
      </c>
      <c r="H9" s="56">
        <v>6.0</v>
      </c>
      <c r="I9" s="56">
        <v>7.0</v>
      </c>
      <c r="J9" s="56">
        <v>8.0</v>
      </c>
      <c r="K9" s="56">
        <v>9.0</v>
      </c>
      <c r="L9" s="56">
        <v>10.0</v>
      </c>
      <c r="M9" s="56">
        <v>12.0</v>
      </c>
      <c r="N9" s="56">
        <v>13.0</v>
      </c>
      <c r="O9" s="56">
        <v>15.0</v>
      </c>
      <c r="P9" s="56">
        <v>16.0</v>
      </c>
      <c r="Q9" s="56">
        <v>17.0</v>
      </c>
      <c r="AA9" s="52"/>
    </row>
    <row r="10" ht="16.5" customHeight="1">
      <c r="A10" s="56" t="str">
        <f>'試算-SLOT'!A10</f>
        <v>VND</v>
      </c>
      <c r="B10" s="56" t="str">
        <f>'試算-SLOT'!B10</f>
        <v>₫</v>
      </c>
      <c r="C10" s="56" t="str">
        <f>'試算-SLOT'!C10</f>
        <v>越南盾(K)</v>
      </c>
      <c r="D10" s="56">
        <f>IF('試算-SLOT'!D10=1,"",'試算-SLOT'!D10)</f>
        <v>1000</v>
      </c>
      <c r="E10" s="222">
        <v>0.5</v>
      </c>
      <c r="F10" s="56">
        <v>2.0</v>
      </c>
      <c r="G10" s="56">
        <v>4.0</v>
      </c>
      <c r="H10" s="56">
        <v>6.0</v>
      </c>
      <c r="I10" s="56">
        <v>7.0</v>
      </c>
      <c r="J10" s="56">
        <v>8.0</v>
      </c>
      <c r="K10" s="56">
        <v>9.0</v>
      </c>
      <c r="L10" s="56">
        <v>10.0</v>
      </c>
      <c r="M10" s="56">
        <v>12.0</v>
      </c>
      <c r="N10" s="56">
        <v>13.0</v>
      </c>
      <c r="O10" s="56">
        <v>15.0</v>
      </c>
      <c r="P10" s="56">
        <v>16.0</v>
      </c>
      <c r="Q10" s="56">
        <v>17.0</v>
      </c>
      <c r="AA10" s="52"/>
    </row>
    <row r="11" ht="16.5" customHeight="1">
      <c r="A11" s="220" t="str">
        <f>'試算-SLOT'!A11</f>
        <v>MYR</v>
      </c>
      <c r="B11" s="220" t="str">
        <f>'試算-SLOT'!B11</f>
        <v>RM</v>
      </c>
      <c r="C11" s="220" t="str">
        <f>'試算-SLOT'!C11</f>
        <v>馬來西亞令吉</v>
      </c>
      <c r="D11" s="220" t="str">
        <f>IF('試算-SLOT'!D11=1,"",'試算-SLOT'!D11)</f>
        <v/>
      </c>
      <c r="E11" s="221">
        <v>0.2</v>
      </c>
      <c r="F11" s="220">
        <v>1.0</v>
      </c>
      <c r="G11" s="220">
        <v>3.0</v>
      </c>
      <c r="H11" s="220">
        <v>5.0</v>
      </c>
      <c r="I11" s="220">
        <v>7.0</v>
      </c>
      <c r="J11" s="220">
        <v>8.0</v>
      </c>
      <c r="K11" s="220">
        <v>9.0</v>
      </c>
      <c r="L11" s="220">
        <v>10.0</v>
      </c>
      <c r="M11" s="220">
        <v>12.0</v>
      </c>
      <c r="N11" s="220">
        <v>14.0</v>
      </c>
      <c r="O11" s="220">
        <v>15.0</v>
      </c>
      <c r="P11" s="220">
        <v>16.0</v>
      </c>
      <c r="Q11" s="220">
        <v>18.0</v>
      </c>
      <c r="AA11" s="52"/>
    </row>
    <row r="12" ht="16.5" customHeight="1">
      <c r="A12" s="223" t="str">
        <f>'試算-SLOT'!A12</f>
        <v>SGD</v>
      </c>
      <c r="B12" s="223" t="str">
        <f>'試算-SLOT'!B12</f>
        <v>S$</v>
      </c>
      <c r="C12" s="223" t="str">
        <f>'試算-SLOT'!C12</f>
        <v>新加坡幣</v>
      </c>
      <c r="D12" s="223" t="str">
        <f>IF('試算-SLOT'!D12=1,"",'試算-SLOT'!D12)</f>
        <v/>
      </c>
      <c r="E12" s="224">
        <v>0.05</v>
      </c>
      <c r="F12" s="223">
        <v>2.0</v>
      </c>
      <c r="G12" s="223">
        <v>4.0</v>
      </c>
      <c r="H12" s="223">
        <v>6.0</v>
      </c>
      <c r="I12" s="223">
        <v>7.0</v>
      </c>
      <c r="J12" s="223">
        <v>8.0</v>
      </c>
      <c r="K12" s="223">
        <v>9.0</v>
      </c>
      <c r="L12" s="223">
        <v>11.0</v>
      </c>
      <c r="M12" s="223">
        <v>12.0</v>
      </c>
      <c r="N12" s="223">
        <v>13.0</v>
      </c>
      <c r="O12" s="223">
        <v>15.0</v>
      </c>
      <c r="P12" s="223">
        <v>16.0</v>
      </c>
      <c r="Q12" s="223">
        <v>17.0</v>
      </c>
      <c r="AA12" s="52"/>
    </row>
    <row r="13" ht="16.5" customHeight="1">
      <c r="A13" s="225" t="str">
        <f>'試算-SLOT'!A13</f>
        <v>USD</v>
      </c>
      <c r="B13" s="225" t="str">
        <f>'試算-SLOT'!B13</f>
        <v>$</v>
      </c>
      <c r="C13" s="225" t="str">
        <f>'試算-SLOT'!C13</f>
        <v>美元</v>
      </c>
      <c r="D13" s="225" t="str">
        <f>IF('試算-SLOT'!D13=1,"",'試算-SLOT'!D13)</f>
        <v/>
      </c>
      <c r="E13" s="226">
        <v>0.05</v>
      </c>
      <c r="F13" s="225">
        <v>2.0</v>
      </c>
      <c r="G13" s="225">
        <v>4.0</v>
      </c>
      <c r="H13" s="225">
        <v>6.0</v>
      </c>
      <c r="I13" s="225">
        <v>7.0</v>
      </c>
      <c r="J13" s="225">
        <v>8.0</v>
      </c>
      <c r="K13" s="225">
        <v>9.0</v>
      </c>
      <c r="L13" s="225">
        <v>11.0</v>
      </c>
      <c r="M13" s="225">
        <v>12.0</v>
      </c>
      <c r="N13" s="225">
        <v>13.0</v>
      </c>
      <c r="O13" s="225">
        <v>15.0</v>
      </c>
      <c r="P13" s="225">
        <v>16.0</v>
      </c>
      <c r="Q13" s="225">
        <v>17.0</v>
      </c>
      <c r="AA13" s="52"/>
    </row>
    <row r="14" ht="16.5" customHeight="1">
      <c r="A14" s="218" t="str">
        <f>'試算-SLOT'!A14</f>
        <v>BDT</v>
      </c>
      <c r="B14" s="218" t="str">
        <f>'試算-SLOT'!B14</f>
        <v>৳</v>
      </c>
      <c r="C14" s="218" t="str">
        <f>'試算-SLOT'!C14</f>
        <v>孟加拉塔卡</v>
      </c>
      <c r="D14" s="218" t="str">
        <f>IF('試算-SLOT'!D14=1,"",'試算-SLOT'!D14)</f>
        <v/>
      </c>
      <c r="E14" s="219">
        <v>1.0</v>
      </c>
      <c r="F14" s="218">
        <v>2.0</v>
      </c>
      <c r="G14" s="218">
        <v>4.0</v>
      </c>
      <c r="H14" s="218">
        <v>6.0</v>
      </c>
      <c r="I14" s="218">
        <v>7.0</v>
      </c>
      <c r="J14" s="218">
        <v>8.0</v>
      </c>
      <c r="K14" s="218">
        <v>9.0</v>
      </c>
      <c r="L14" s="218">
        <v>10.0</v>
      </c>
      <c r="M14" s="218">
        <v>12.0</v>
      </c>
      <c r="N14" s="218">
        <v>14.0</v>
      </c>
      <c r="O14" s="218">
        <v>15.0</v>
      </c>
      <c r="P14" s="218">
        <v>16.0</v>
      </c>
      <c r="Q14" s="218">
        <v>18.0</v>
      </c>
      <c r="AA14" s="52"/>
    </row>
    <row r="15" ht="16.5" customHeight="1">
      <c r="A15" s="218" t="str">
        <f>'試算-SLOT'!A15</f>
        <v>PKR</v>
      </c>
      <c r="B15" s="218" t="str">
        <f>'試算-SLOT'!B15</f>
        <v>₨</v>
      </c>
      <c r="C15" s="218" t="str">
        <f>'試算-SLOT'!C15</f>
        <v>巴基斯坦盧比</v>
      </c>
      <c r="D15" s="218" t="str">
        <f>IF('試算-SLOT'!D15=1,"",'試算-SLOT'!D15)</f>
        <v/>
      </c>
      <c r="E15" s="219">
        <v>1.0</v>
      </c>
      <c r="F15" s="218">
        <v>2.0</v>
      </c>
      <c r="G15" s="218">
        <v>4.0</v>
      </c>
      <c r="H15" s="218">
        <v>6.0</v>
      </c>
      <c r="I15" s="218">
        <v>7.0</v>
      </c>
      <c r="J15" s="218">
        <v>8.0</v>
      </c>
      <c r="K15" s="218">
        <v>9.0</v>
      </c>
      <c r="L15" s="218">
        <v>10.0</v>
      </c>
      <c r="M15" s="218">
        <v>12.0</v>
      </c>
      <c r="N15" s="218">
        <v>14.0</v>
      </c>
      <c r="O15" s="218">
        <v>15.0</v>
      </c>
      <c r="P15" s="218">
        <v>16.0</v>
      </c>
      <c r="Q15" s="218">
        <v>18.0</v>
      </c>
      <c r="AA15" s="52"/>
    </row>
    <row r="16" ht="16.5" customHeight="1">
      <c r="A16" s="223" t="str">
        <f>'試算-SLOT'!A16</f>
        <v>MMK</v>
      </c>
      <c r="B16" s="223" t="str">
        <f>'試算-SLOT'!B16</f>
        <v>K</v>
      </c>
      <c r="C16" s="223" t="str">
        <f>'試算-SLOT'!C16</f>
        <v>緬甸元(K)</v>
      </c>
      <c r="D16" s="223">
        <f>IF('試算-SLOT'!D16=1,"",'試算-SLOT'!D16)</f>
        <v>1000</v>
      </c>
      <c r="E16" s="224">
        <v>0.05</v>
      </c>
      <c r="F16" s="223">
        <v>2.0</v>
      </c>
      <c r="G16" s="223">
        <v>4.0</v>
      </c>
      <c r="H16" s="223">
        <v>6.0</v>
      </c>
      <c r="I16" s="223">
        <v>7.0</v>
      </c>
      <c r="J16" s="223">
        <v>8.0</v>
      </c>
      <c r="K16" s="223">
        <v>9.0</v>
      </c>
      <c r="L16" s="223">
        <v>11.0</v>
      </c>
      <c r="M16" s="223">
        <v>12.0</v>
      </c>
      <c r="N16" s="223">
        <v>13.0</v>
      </c>
      <c r="O16" s="223">
        <v>15.0</v>
      </c>
      <c r="P16" s="223">
        <v>16.0</v>
      </c>
      <c r="Q16" s="223">
        <v>17.0</v>
      </c>
      <c r="AA16" s="52"/>
    </row>
    <row r="17" ht="16.5" customHeight="1">
      <c r="A17" s="56" t="str">
        <f>'試算-SLOT'!A17</f>
        <v>MMH</v>
      </c>
      <c r="B17" s="56" t="str">
        <f>'試算-SLOT'!B17</f>
        <v>K</v>
      </c>
      <c r="C17" s="56" t="str">
        <f>'試算-SLOT'!C17</f>
        <v>緬甸元(H)</v>
      </c>
      <c r="D17" s="56">
        <f>IF('試算-SLOT'!D17=1,"",'試算-SLOT'!D17)</f>
        <v>100</v>
      </c>
      <c r="E17" s="222">
        <v>0.5</v>
      </c>
      <c r="F17" s="56">
        <v>2.0</v>
      </c>
      <c r="G17" s="56">
        <v>4.0</v>
      </c>
      <c r="H17" s="56">
        <v>6.0</v>
      </c>
      <c r="I17" s="56">
        <v>7.0</v>
      </c>
      <c r="J17" s="56">
        <v>8.0</v>
      </c>
      <c r="K17" s="56">
        <v>9.0</v>
      </c>
      <c r="L17" s="56">
        <v>10.0</v>
      </c>
      <c r="M17" s="56">
        <v>12.0</v>
      </c>
      <c r="N17" s="56">
        <v>13.0</v>
      </c>
      <c r="O17" s="56">
        <v>15.0</v>
      </c>
      <c r="P17" s="56">
        <v>16.0</v>
      </c>
      <c r="Q17" s="56">
        <v>17.0</v>
      </c>
      <c r="AA17" s="52"/>
    </row>
    <row r="18" ht="16.5" customHeight="1">
      <c r="A18" s="218" t="str">
        <f>'試算-SLOT'!A18</f>
        <v>PHP</v>
      </c>
      <c r="B18" s="218" t="str">
        <f>'試算-SLOT'!B18</f>
        <v>₱</v>
      </c>
      <c r="C18" s="218" t="str">
        <f>'試算-SLOT'!C18</f>
        <v>菲律賓披索</v>
      </c>
      <c r="D18" s="218" t="str">
        <f>IF('試算-SLOT'!D18=1,"",'試算-SLOT'!D18)</f>
        <v/>
      </c>
      <c r="E18" s="219">
        <v>1.0</v>
      </c>
      <c r="F18" s="218">
        <v>2.0</v>
      </c>
      <c r="G18" s="218">
        <v>4.0</v>
      </c>
      <c r="H18" s="218">
        <v>6.0</v>
      </c>
      <c r="I18" s="218">
        <v>7.0</v>
      </c>
      <c r="J18" s="218">
        <v>8.0</v>
      </c>
      <c r="K18" s="218">
        <v>9.0</v>
      </c>
      <c r="L18" s="218">
        <v>10.0</v>
      </c>
      <c r="M18" s="218">
        <v>12.0</v>
      </c>
      <c r="N18" s="218">
        <v>14.0</v>
      </c>
      <c r="O18" s="218">
        <v>15.0</v>
      </c>
      <c r="P18" s="218">
        <v>16.0</v>
      </c>
      <c r="Q18" s="218">
        <v>18.0</v>
      </c>
      <c r="AA18" s="52"/>
    </row>
    <row r="19" ht="16.5" customHeight="1">
      <c r="A19" s="220" t="str">
        <f>'試算-SLOT'!A19</f>
        <v>CNY</v>
      </c>
      <c r="B19" s="220" t="str">
        <f>'試算-SLOT'!B19</f>
        <v>￥</v>
      </c>
      <c r="C19" s="220" t="str">
        <f>'試算-SLOT'!C19</f>
        <v>人民幣</v>
      </c>
      <c r="D19" s="220" t="str">
        <f>IF('試算-SLOT'!D19=1,"",'試算-SLOT'!D19)</f>
        <v/>
      </c>
      <c r="E19" s="221">
        <v>0.2</v>
      </c>
      <c r="F19" s="220">
        <v>1.0</v>
      </c>
      <c r="G19" s="220">
        <v>3.0</v>
      </c>
      <c r="H19" s="220">
        <v>5.0</v>
      </c>
      <c r="I19" s="220">
        <v>7.0</v>
      </c>
      <c r="J19" s="220">
        <v>8.0</v>
      </c>
      <c r="K19" s="220">
        <v>9.0</v>
      </c>
      <c r="L19" s="220">
        <v>10.0</v>
      </c>
      <c r="M19" s="220">
        <v>12.0</v>
      </c>
      <c r="N19" s="220">
        <v>14.0</v>
      </c>
      <c r="O19" s="220">
        <v>15.0</v>
      </c>
      <c r="P19" s="220">
        <v>16.0</v>
      </c>
      <c r="Q19" s="220">
        <v>18.0</v>
      </c>
      <c r="AA19" s="52"/>
    </row>
    <row r="20" ht="16.5" customHeight="1">
      <c r="A20" s="227" t="str">
        <f>'試算-SLOT'!A20</f>
        <v>MXN</v>
      </c>
      <c r="B20" s="227" t="str">
        <f>'試算-SLOT'!B20</f>
        <v>Mex$</v>
      </c>
      <c r="C20" s="227" t="str">
        <f>'試算-SLOT'!C20</f>
        <v>墨⻄哥披索</v>
      </c>
      <c r="D20" s="227" t="str">
        <f>IF('試算-SLOT'!D20=1,"",'試算-SLOT'!D20)</f>
        <v/>
      </c>
      <c r="E20" s="222">
        <v>0.5</v>
      </c>
      <c r="F20" s="227">
        <v>2.0</v>
      </c>
      <c r="G20" s="227">
        <v>4.0</v>
      </c>
      <c r="H20" s="227">
        <v>6.0</v>
      </c>
      <c r="I20" s="227">
        <v>7.0</v>
      </c>
      <c r="J20" s="227">
        <v>8.0</v>
      </c>
      <c r="K20" s="227">
        <v>9.0</v>
      </c>
      <c r="L20" s="227">
        <v>10.0</v>
      </c>
      <c r="M20" s="227">
        <v>12.0</v>
      </c>
      <c r="N20" s="227">
        <v>13.0</v>
      </c>
      <c r="O20" s="227">
        <v>15.0</v>
      </c>
      <c r="P20" s="227">
        <v>16.0</v>
      </c>
      <c r="Q20" s="227">
        <v>17.0</v>
      </c>
      <c r="AA20" s="52"/>
    </row>
    <row r="21" ht="16.5" customHeight="1">
      <c r="A21" s="220" t="str">
        <f>'試算-SLOT'!A21</f>
        <v>BRL</v>
      </c>
      <c r="B21" s="220" t="str">
        <f>'試算-SLOT'!B21</f>
        <v>R$</v>
      </c>
      <c r="C21" s="220" t="str">
        <f>'試算-SLOT'!C21</f>
        <v>巴西雷亞爾</v>
      </c>
      <c r="D21" s="220" t="str">
        <f>IF('試算-SLOT'!D21=1,"",'試算-SLOT'!D21)</f>
        <v/>
      </c>
      <c r="E21" s="221">
        <v>0.2</v>
      </c>
      <c r="F21" s="220">
        <v>1.0</v>
      </c>
      <c r="G21" s="220">
        <v>3.0</v>
      </c>
      <c r="H21" s="220">
        <v>5.0</v>
      </c>
      <c r="I21" s="220">
        <v>7.0</v>
      </c>
      <c r="J21" s="220">
        <v>8.0</v>
      </c>
      <c r="K21" s="220">
        <v>9.0</v>
      </c>
      <c r="L21" s="220">
        <v>10.0</v>
      </c>
      <c r="M21" s="220">
        <v>12.0</v>
      </c>
      <c r="N21" s="220">
        <v>14.0</v>
      </c>
      <c r="O21" s="220">
        <v>15.0</v>
      </c>
      <c r="P21" s="220">
        <v>16.0</v>
      </c>
      <c r="Q21" s="220">
        <v>18.0</v>
      </c>
      <c r="AA21" s="52"/>
    </row>
    <row r="22" ht="16.5" customHeight="1">
      <c r="A22" s="223" t="str">
        <f>'試算-SLOT'!A22</f>
        <v>AUD</v>
      </c>
      <c r="B22" s="223" t="str">
        <f>'試算-SLOT'!B22</f>
        <v>A$</v>
      </c>
      <c r="C22" s="223" t="str">
        <f>'試算-SLOT'!C22</f>
        <v>澳洲元</v>
      </c>
      <c r="D22" s="158" t="str">
        <f>IF('試算-SLOT'!D22=1,"",'試算-SLOT'!D22)</f>
        <v/>
      </c>
      <c r="E22" s="228">
        <v>0.05</v>
      </c>
      <c r="F22" s="158">
        <v>2.0</v>
      </c>
      <c r="G22" s="158">
        <v>4.0</v>
      </c>
      <c r="H22" s="158">
        <v>6.0</v>
      </c>
      <c r="I22" s="158">
        <v>7.0</v>
      </c>
      <c r="J22" s="158">
        <v>8.0</v>
      </c>
      <c r="K22" s="158">
        <v>9.0</v>
      </c>
      <c r="L22" s="158">
        <v>11.0</v>
      </c>
      <c r="M22" s="158">
        <v>12.0</v>
      </c>
      <c r="N22" s="158">
        <v>13.0</v>
      </c>
      <c r="O22" s="158">
        <v>15.0</v>
      </c>
      <c r="P22" s="158">
        <v>16.0</v>
      </c>
      <c r="Q22" s="158">
        <v>17.0</v>
      </c>
      <c r="AA22" s="52"/>
    </row>
    <row r="23" ht="16.5" customHeight="1">
      <c r="A23" s="218" t="str">
        <f>'試算-SLOT'!A23</f>
        <v>JPY</v>
      </c>
      <c r="B23" s="218" t="str">
        <f>'試算-SLOT'!B23</f>
        <v>￥</v>
      </c>
      <c r="C23" s="218" t="str">
        <f>'試算-SLOT'!C23</f>
        <v>日圓</v>
      </c>
      <c r="D23" s="229" t="str">
        <f>IF('試算-SLOT'!D23=1,"",'試算-SLOT'!D23)</f>
        <v/>
      </c>
      <c r="E23" s="230">
        <v>2.0</v>
      </c>
      <c r="F23" s="229">
        <v>2.0</v>
      </c>
      <c r="G23" s="229">
        <v>4.0</v>
      </c>
      <c r="H23" s="229">
        <v>6.0</v>
      </c>
      <c r="I23" s="229">
        <v>7.0</v>
      </c>
      <c r="J23" s="229">
        <v>8.0</v>
      </c>
      <c r="K23" s="229">
        <v>9.0</v>
      </c>
      <c r="L23" s="229">
        <v>10.0</v>
      </c>
      <c r="M23" s="229">
        <v>12.0</v>
      </c>
      <c r="N23" s="229">
        <v>14.0</v>
      </c>
      <c r="O23" s="229">
        <v>15.0</v>
      </c>
      <c r="P23" s="229">
        <v>16.0</v>
      </c>
      <c r="Q23" s="229">
        <v>18.0</v>
      </c>
      <c r="AA23" s="52"/>
    </row>
    <row r="24" ht="16.5" customHeight="1">
      <c r="A24" s="218" t="str">
        <f>'試算-SLOT'!A24</f>
        <v>KRW</v>
      </c>
      <c r="B24" s="218" t="str">
        <f>'試算-SLOT'!B24</f>
        <v>₩</v>
      </c>
      <c r="C24" s="218" t="str">
        <f>'試算-SLOT'!C24</f>
        <v>韓圓</v>
      </c>
      <c r="D24" s="229" t="str">
        <f>IF('試算-SLOT'!D24=1,"",'試算-SLOT'!D24)</f>
        <v/>
      </c>
      <c r="E24" s="230">
        <v>20.0</v>
      </c>
      <c r="F24" s="229">
        <v>2.0</v>
      </c>
      <c r="G24" s="229">
        <v>4.0</v>
      </c>
      <c r="H24" s="229">
        <v>6.0</v>
      </c>
      <c r="I24" s="229">
        <v>7.0</v>
      </c>
      <c r="J24" s="229">
        <v>8.0</v>
      </c>
      <c r="K24" s="229">
        <v>9.0</v>
      </c>
      <c r="L24" s="229">
        <v>10.0</v>
      </c>
      <c r="M24" s="229">
        <v>12.0</v>
      </c>
      <c r="N24" s="229">
        <v>14.0</v>
      </c>
      <c r="O24" s="229">
        <v>15.0</v>
      </c>
      <c r="P24" s="229">
        <v>16.0</v>
      </c>
      <c r="Q24" s="229">
        <v>18.0</v>
      </c>
      <c r="AA24" s="52"/>
    </row>
    <row r="25" ht="16.5" customHeight="1">
      <c r="A25" s="218" t="str">
        <f>'試算-SLOT'!A25</f>
        <v>CLP</v>
      </c>
      <c r="B25" s="218" t="str">
        <f>'試算-SLOT'!B25</f>
        <v>$</v>
      </c>
      <c r="C25" s="218" t="str">
        <f>'試算-SLOT'!C25</f>
        <v>智利披索</v>
      </c>
      <c r="D25" s="229" t="str">
        <f>IF('試算-SLOT'!D25=1,"",'試算-SLOT'!D25)</f>
        <v/>
      </c>
      <c r="E25" s="230">
        <v>20.0</v>
      </c>
      <c r="F25" s="229">
        <v>2.0</v>
      </c>
      <c r="G25" s="229">
        <v>4.0</v>
      </c>
      <c r="H25" s="229">
        <v>6.0</v>
      </c>
      <c r="I25" s="229">
        <v>7.0</v>
      </c>
      <c r="J25" s="229">
        <v>8.0</v>
      </c>
      <c r="K25" s="229">
        <v>9.0</v>
      </c>
      <c r="L25" s="229">
        <v>10.0</v>
      </c>
      <c r="M25" s="229">
        <v>12.0</v>
      </c>
      <c r="N25" s="229">
        <v>14.0</v>
      </c>
      <c r="O25" s="229">
        <v>15.0</v>
      </c>
      <c r="P25" s="229">
        <v>16.0</v>
      </c>
      <c r="Q25" s="229">
        <v>18.0</v>
      </c>
      <c r="AA25" s="52"/>
    </row>
    <row r="26" ht="16.5" customHeight="1">
      <c r="A26" s="223" t="str">
        <f>'試算-SLOT'!A26</f>
        <v>MMKO</v>
      </c>
      <c r="B26" s="223" t="str">
        <f>'試算-SLOT'!B26</f>
        <v>K</v>
      </c>
      <c r="C26" s="223" t="str">
        <f>'試算-SLOT'!C26</f>
        <v>緬甸元</v>
      </c>
      <c r="D26" s="158" t="str">
        <f>IF('試算-SLOT'!D26=1,"",'試算-SLOT'!D26)</f>
        <v/>
      </c>
      <c r="E26" s="228">
        <v>20.0</v>
      </c>
      <c r="F26" s="229">
        <v>2.0</v>
      </c>
      <c r="G26" s="229">
        <v>4.0</v>
      </c>
      <c r="H26" s="229">
        <v>6.0</v>
      </c>
      <c r="I26" s="229">
        <v>7.0</v>
      </c>
      <c r="J26" s="229">
        <v>8.0</v>
      </c>
      <c r="K26" s="229">
        <v>9.0</v>
      </c>
      <c r="L26" s="229">
        <v>10.0</v>
      </c>
      <c r="M26" s="229">
        <v>12.0</v>
      </c>
      <c r="N26" s="229">
        <v>14.0</v>
      </c>
      <c r="O26" s="229">
        <v>15.0</v>
      </c>
      <c r="P26" s="229">
        <v>16.0</v>
      </c>
      <c r="Q26" s="229">
        <v>18.0</v>
      </c>
      <c r="AA26" s="52"/>
    </row>
    <row r="27" ht="16.5" customHeight="1">
      <c r="A27" s="218" t="str">
        <f>'試算-SLOT'!A27</f>
        <v>IDRO</v>
      </c>
      <c r="B27" s="218" t="str">
        <f>'試算-SLOT'!B27</f>
        <v>Rp</v>
      </c>
      <c r="C27" s="218" t="str">
        <f>'試算-SLOT'!C27</f>
        <v>印尼盧比</v>
      </c>
      <c r="D27" s="229" t="str">
        <f>IF('試算-SLOT'!D27=1,"",'試算-SLOT'!D27)</f>
        <v/>
      </c>
      <c r="E27" s="230">
        <v>20.0</v>
      </c>
      <c r="F27" s="229">
        <v>2.0</v>
      </c>
      <c r="G27" s="229">
        <v>4.0</v>
      </c>
      <c r="H27" s="229">
        <v>6.0</v>
      </c>
      <c r="I27" s="229">
        <v>7.0</v>
      </c>
      <c r="J27" s="229">
        <v>8.0</v>
      </c>
      <c r="K27" s="229">
        <v>9.0</v>
      </c>
      <c r="L27" s="229">
        <v>10.0</v>
      </c>
      <c r="M27" s="229">
        <v>12.0</v>
      </c>
      <c r="N27" s="229">
        <v>14.0</v>
      </c>
      <c r="O27" s="229">
        <v>15.0</v>
      </c>
      <c r="P27" s="229">
        <v>16.0</v>
      </c>
      <c r="Q27" s="229">
        <v>18.0</v>
      </c>
      <c r="AA27" s="52"/>
    </row>
    <row r="28" ht="16.5" customHeight="1">
      <c r="A28" s="218" t="str">
        <f>'試算-SLOT'!A28</f>
        <v>RUB</v>
      </c>
      <c r="B28" s="218" t="str">
        <f>'試算-SLOT'!B28</f>
        <v>₽</v>
      </c>
      <c r="C28" s="218" t="str">
        <f>'試算-SLOT'!C28</f>
        <v>盧布</v>
      </c>
      <c r="D28" s="229" t="str">
        <f>IF('試算-SLOT'!D28=1,"",'試算-SLOT'!D28)</f>
        <v/>
      </c>
      <c r="E28" s="219">
        <v>1.0</v>
      </c>
      <c r="F28" s="218">
        <v>2.0</v>
      </c>
      <c r="G28" s="218">
        <v>4.0</v>
      </c>
      <c r="H28" s="218">
        <v>6.0</v>
      </c>
      <c r="I28" s="218">
        <v>7.0</v>
      </c>
      <c r="J28" s="218">
        <v>8.0</v>
      </c>
      <c r="K28" s="218">
        <v>9.0</v>
      </c>
      <c r="L28" s="218">
        <v>10.0</v>
      </c>
      <c r="M28" s="218">
        <v>12.0</v>
      </c>
      <c r="N28" s="218">
        <v>14.0</v>
      </c>
      <c r="O28" s="218">
        <v>15.0</v>
      </c>
      <c r="P28" s="218">
        <v>16.0</v>
      </c>
      <c r="Q28" s="218">
        <v>18.0</v>
      </c>
      <c r="AA28" s="52"/>
    </row>
    <row r="29" ht="16.5" customHeight="1">
      <c r="A29" s="223" t="str">
        <f>'試算-SLOT'!A29</f>
        <v>LKR</v>
      </c>
      <c r="B29" s="223" t="str">
        <f>'試算-SLOT'!B29</f>
        <v>₨</v>
      </c>
      <c r="C29" s="223" t="str">
        <f>'試算-SLOT'!C29</f>
        <v>斯里蘭卡盧比</v>
      </c>
      <c r="D29" s="158" t="str">
        <f>IF('試算-SLOT'!D29=1,"",'試算-SLOT'!D29)</f>
        <v/>
      </c>
      <c r="E29" s="219">
        <v>1.0</v>
      </c>
      <c r="F29" s="218">
        <v>2.0</v>
      </c>
      <c r="G29" s="218">
        <v>4.0</v>
      </c>
      <c r="H29" s="218">
        <v>6.0</v>
      </c>
      <c r="I29" s="218">
        <v>7.0</v>
      </c>
      <c r="J29" s="218">
        <v>8.0</v>
      </c>
      <c r="K29" s="218">
        <v>9.0</v>
      </c>
      <c r="L29" s="218">
        <v>10.0</v>
      </c>
      <c r="M29" s="218">
        <v>12.0</v>
      </c>
      <c r="N29" s="218">
        <v>14.0</v>
      </c>
      <c r="O29" s="218">
        <v>15.0</v>
      </c>
      <c r="P29" s="218">
        <v>16.0</v>
      </c>
      <c r="Q29" s="218">
        <v>18.0</v>
      </c>
      <c r="AA29" s="52"/>
    </row>
    <row r="30" ht="16.5" customHeight="1">
      <c r="A30" s="218" t="str">
        <f>'試算-SLOT'!A30</f>
        <v>ETB</v>
      </c>
      <c r="B30" s="218" t="str">
        <f>'試算-SLOT'!B30</f>
        <v>Br‎</v>
      </c>
      <c r="C30" s="218" t="str">
        <f>'試算-SLOT'!C30</f>
        <v>衣索比亞比爾</v>
      </c>
      <c r="D30" s="229" t="str">
        <f>IF('試算-SLOT'!D30=1,"",'試算-SLOT'!D30)</f>
        <v/>
      </c>
      <c r="E30" s="219">
        <v>1.0</v>
      </c>
      <c r="F30" s="218">
        <v>2.0</v>
      </c>
      <c r="G30" s="218">
        <v>4.0</v>
      </c>
      <c r="H30" s="218">
        <v>6.0</v>
      </c>
      <c r="I30" s="218">
        <v>7.0</v>
      </c>
      <c r="J30" s="218">
        <v>8.0</v>
      </c>
      <c r="K30" s="218">
        <v>9.0</v>
      </c>
      <c r="L30" s="218">
        <v>10.0</v>
      </c>
      <c r="M30" s="218">
        <v>12.0</v>
      </c>
      <c r="N30" s="218">
        <v>14.0</v>
      </c>
      <c r="O30" s="218">
        <v>15.0</v>
      </c>
      <c r="P30" s="218">
        <v>16.0</v>
      </c>
      <c r="Q30" s="218">
        <v>18.0</v>
      </c>
      <c r="AA30" s="52"/>
    </row>
    <row r="31" ht="16.5" customHeight="1">
      <c r="A31" s="218" t="str">
        <f>'試算-SLOT'!A31</f>
        <v>UGX</v>
      </c>
      <c r="B31" s="218" t="str">
        <f>'試算-SLOT'!B31</f>
        <v>USh</v>
      </c>
      <c r="C31" s="218" t="str">
        <f>'試算-SLOT'!C31</f>
        <v>烏干達先令</v>
      </c>
      <c r="D31" s="229" t="str">
        <f>IF('試算-SLOT'!D31=1,"",'試算-SLOT'!D31)</f>
        <v/>
      </c>
      <c r="E31" s="230">
        <v>20.0</v>
      </c>
      <c r="F31" s="229">
        <v>2.0</v>
      </c>
      <c r="G31" s="229">
        <v>4.0</v>
      </c>
      <c r="H31" s="229">
        <v>6.0</v>
      </c>
      <c r="I31" s="229">
        <v>7.0</v>
      </c>
      <c r="J31" s="229">
        <v>8.0</v>
      </c>
      <c r="K31" s="229">
        <v>9.0</v>
      </c>
      <c r="L31" s="229">
        <v>10.0</v>
      </c>
      <c r="M31" s="229">
        <v>12.0</v>
      </c>
      <c r="N31" s="229">
        <v>14.0</v>
      </c>
      <c r="O31" s="229">
        <v>15.0</v>
      </c>
      <c r="P31" s="229">
        <v>16.0</v>
      </c>
      <c r="Q31" s="229">
        <v>18.0</v>
      </c>
      <c r="AA31" s="52"/>
    </row>
    <row r="32" ht="16.5" customHeight="1">
      <c r="A32" s="225" t="str">
        <f>'試算-SLOT'!A32</f>
        <v>EUR</v>
      </c>
      <c r="B32" s="225" t="str">
        <f>'試算-SLOT'!B32</f>
        <v>€</v>
      </c>
      <c r="C32" s="225" t="str">
        <f>'試算-SLOT'!C32</f>
        <v>歐元</v>
      </c>
      <c r="D32" s="225" t="str">
        <f>IF('試算-SLOT'!D32=1,"",'試算-SLOT'!D32)</f>
        <v/>
      </c>
      <c r="E32" s="226">
        <v>0.05</v>
      </c>
      <c r="F32" s="225">
        <v>2.0</v>
      </c>
      <c r="G32" s="225">
        <v>4.0</v>
      </c>
      <c r="H32" s="225">
        <v>6.0</v>
      </c>
      <c r="I32" s="225">
        <v>7.0</v>
      </c>
      <c r="J32" s="225">
        <v>8.0</v>
      </c>
      <c r="K32" s="225">
        <v>9.0</v>
      </c>
      <c r="L32" s="225">
        <v>11.0</v>
      </c>
      <c r="M32" s="225">
        <v>12.0</v>
      </c>
      <c r="N32" s="225">
        <v>13.0</v>
      </c>
      <c r="O32" s="225">
        <v>15.0</v>
      </c>
      <c r="P32" s="225">
        <v>16.0</v>
      </c>
      <c r="Q32" s="225">
        <v>17.0</v>
      </c>
      <c r="AA32" s="52"/>
    </row>
    <row r="33" ht="16.5" customHeight="1">
      <c r="A33" s="218" t="str">
        <f>'試算-SLOT'!A33</f>
        <v>ARS</v>
      </c>
      <c r="B33" s="218" t="str">
        <f>'試算-SLOT'!B33</f>
        <v>$</v>
      </c>
      <c r="C33" s="218" t="str">
        <f>'試算-SLOT'!C33</f>
        <v>阿根廷披索</v>
      </c>
      <c r="D33" s="218" t="str">
        <f>IF('試算-SLOT'!D33=1,"",'試算-SLOT'!D33)</f>
        <v/>
      </c>
      <c r="E33" s="219">
        <v>1.0</v>
      </c>
      <c r="F33" s="218">
        <v>2.0</v>
      </c>
      <c r="G33" s="218">
        <v>4.0</v>
      </c>
      <c r="H33" s="218">
        <v>6.0</v>
      </c>
      <c r="I33" s="218">
        <v>7.0</v>
      </c>
      <c r="J33" s="218">
        <v>8.0</v>
      </c>
      <c r="K33" s="218">
        <v>9.0</v>
      </c>
      <c r="L33" s="218">
        <v>10.0</v>
      </c>
      <c r="M33" s="218">
        <v>12.0</v>
      </c>
      <c r="N33" s="218">
        <v>14.0</v>
      </c>
      <c r="O33" s="218">
        <v>15.0</v>
      </c>
      <c r="P33" s="218">
        <v>16.0</v>
      </c>
      <c r="Q33" s="218">
        <v>18.0</v>
      </c>
      <c r="AA33" s="52"/>
    </row>
    <row r="34" ht="16.5" customHeight="1">
      <c r="A34" s="218" t="str">
        <f>'試算-SLOT'!A34</f>
        <v>NGN</v>
      </c>
      <c r="B34" s="218" t="str">
        <f>'試算-SLOT'!B34</f>
        <v>₦</v>
      </c>
      <c r="C34" s="218" t="str">
        <f>'試算-SLOT'!C34</f>
        <v>奈及利亞奈拉</v>
      </c>
      <c r="D34" s="218" t="str">
        <f>IF('試算-SLOT'!D34=1,"",'試算-SLOT'!D34)</f>
        <v/>
      </c>
      <c r="E34" s="230">
        <v>20.0</v>
      </c>
      <c r="F34" s="229">
        <v>2.0</v>
      </c>
      <c r="G34" s="229">
        <v>4.0</v>
      </c>
      <c r="H34" s="229">
        <v>6.0</v>
      </c>
      <c r="I34" s="229">
        <v>7.0</v>
      </c>
      <c r="J34" s="229">
        <v>8.0</v>
      </c>
      <c r="K34" s="229">
        <v>9.0</v>
      </c>
      <c r="L34" s="229">
        <v>10.0</v>
      </c>
      <c r="M34" s="229">
        <v>12.0</v>
      </c>
      <c r="N34" s="229">
        <v>14.0</v>
      </c>
      <c r="O34" s="229">
        <v>15.0</v>
      </c>
      <c r="P34" s="229">
        <v>16.0</v>
      </c>
      <c r="Q34" s="229">
        <v>18.0</v>
      </c>
      <c r="AA34" s="52"/>
    </row>
    <row r="35" ht="16.5" customHeight="1">
      <c r="A35" s="218" t="str">
        <f>'試算-SLOT'!A35</f>
        <v>KES</v>
      </c>
      <c r="B35" s="218" t="str">
        <f>'試算-SLOT'!B35</f>
        <v>KSh</v>
      </c>
      <c r="C35" s="218" t="str">
        <f>'試算-SLOT'!C35</f>
        <v>肯亞先令</v>
      </c>
      <c r="D35" s="218" t="str">
        <f>IF('試算-SLOT'!D35=1,"",'試算-SLOT'!D35)</f>
        <v/>
      </c>
      <c r="E35" s="230">
        <v>2.0</v>
      </c>
      <c r="F35" s="229">
        <v>2.0</v>
      </c>
      <c r="G35" s="229">
        <v>4.0</v>
      </c>
      <c r="H35" s="229">
        <v>6.0</v>
      </c>
      <c r="I35" s="229">
        <v>7.0</v>
      </c>
      <c r="J35" s="229">
        <v>8.0</v>
      </c>
      <c r="K35" s="229">
        <v>9.0</v>
      </c>
      <c r="L35" s="229">
        <v>10.0</v>
      </c>
      <c r="M35" s="229">
        <v>12.0</v>
      </c>
      <c r="N35" s="229">
        <v>14.0</v>
      </c>
      <c r="O35" s="229">
        <v>15.0</v>
      </c>
      <c r="P35" s="229">
        <v>16.0</v>
      </c>
      <c r="Q35" s="229">
        <v>18.0</v>
      </c>
      <c r="AA35" s="52"/>
    </row>
    <row r="36" ht="16.5" customHeight="1">
      <c r="A36" s="227" t="str">
        <f>'試算-SLOT'!A36</f>
        <v>ZAR</v>
      </c>
      <c r="B36" s="227" t="str">
        <f>'試算-SLOT'!B36</f>
        <v>R</v>
      </c>
      <c r="C36" s="227" t="str">
        <f>'試算-SLOT'!C36</f>
        <v>南非鍰</v>
      </c>
      <c r="D36" s="227" t="str">
        <f>IF('試算-SLOT'!D36=1,"",'試算-SLOT'!D36)</f>
        <v/>
      </c>
      <c r="E36" s="222">
        <v>0.5</v>
      </c>
      <c r="F36" s="227">
        <v>2.0</v>
      </c>
      <c r="G36" s="227">
        <v>4.0</v>
      </c>
      <c r="H36" s="227">
        <v>6.0</v>
      </c>
      <c r="I36" s="227">
        <v>7.0</v>
      </c>
      <c r="J36" s="227">
        <v>8.0</v>
      </c>
      <c r="K36" s="227">
        <v>9.0</v>
      </c>
      <c r="L36" s="227">
        <v>10.0</v>
      </c>
      <c r="M36" s="227">
        <v>12.0</v>
      </c>
      <c r="N36" s="227">
        <v>13.0</v>
      </c>
      <c r="O36" s="227">
        <v>15.0</v>
      </c>
      <c r="P36" s="227">
        <v>16.0</v>
      </c>
      <c r="Q36" s="227">
        <v>17.0</v>
      </c>
      <c r="AA36" s="36"/>
    </row>
    <row r="37" ht="16.5" customHeight="1">
      <c r="A37" s="227" t="str">
        <f>'試算-SLOT'!A37</f>
        <v>TRY</v>
      </c>
      <c r="B37" s="227" t="str">
        <f>'試算-SLOT'!B37</f>
        <v>₺</v>
      </c>
      <c r="C37" s="227" t="str">
        <f>'試算-SLOT'!C37</f>
        <v>土耳其里拉</v>
      </c>
      <c r="D37" s="227" t="str">
        <f>IF('試算-SLOT'!D37=1,"",'試算-SLOT'!D37)</f>
        <v/>
      </c>
      <c r="E37" s="222">
        <v>0.5</v>
      </c>
      <c r="F37" s="56">
        <v>2.0</v>
      </c>
      <c r="G37" s="56">
        <v>4.0</v>
      </c>
      <c r="H37" s="56">
        <v>6.0</v>
      </c>
      <c r="I37" s="56">
        <v>7.0</v>
      </c>
      <c r="J37" s="56">
        <v>8.0</v>
      </c>
      <c r="K37" s="56">
        <v>9.0</v>
      </c>
      <c r="L37" s="56">
        <v>10.0</v>
      </c>
      <c r="M37" s="56">
        <v>12.0</v>
      </c>
      <c r="N37" s="56">
        <v>13.0</v>
      </c>
      <c r="O37" s="56">
        <v>15.0</v>
      </c>
      <c r="P37" s="56">
        <v>16.0</v>
      </c>
      <c r="Q37" s="56">
        <v>17.0</v>
      </c>
    </row>
    <row r="38" ht="16.5" customHeight="1">
      <c r="A38" s="225" t="str">
        <f>'試算-SLOT'!A38</f>
        <v>GBP</v>
      </c>
      <c r="B38" s="225" t="str">
        <f>'試算-SLOT'!B38</f>
        <v>£</v>
      </c>
      <c r="C38" s="225" t="str">
        <f>'試算-SLOT'!C38</f>
        <v>英鎊</v>
      </c>
      <c r="D38" s="225" t="str">
        <f>IF('試算-SLOT'!D38=1,"",'試算-SLOT'!D38)</f>
        <v/>
      </c>
      <c r="E38" s="226">
        <v>0.05</v>
      </c>
      <c r="F38" s="225">
        <v>2.0</v>
      </c>
      <c r="G38" s="225">
        <v>4.0</v>
      </c>
      <c r="H38" s="225">
        <v>6.0</v>
      </c>
      <c r="I38" s="225">
        <v>7.0</v>
      </c>
      <c r="J38" s="225">
        <v>8.0</v>
      </c>
      <c r="K38" s="225">
        <v>9.0</v>
      </c>
      <c r="L38" s="225">
        <v>11.0</v>
      </c>
      <c r="M38" s="225">
        <v>12.0</v>
      </c>
      <c r="N38" s="225">
        <v>13.0</v>
      </c>
      <c r="O38" s="225">
        <v>15.0</v>
      </c>
      <c r="P38" s="225">
        <v>16.0</v>
      </c>
      <c r="Q38" s="225">
        <v>17.0</v>
      </c>
    </row>
    <row r="39" ht="16.5" customHeight="1">
      <c r="A39" s="218" t="str">
        <f>'試算-SLOT'!A39</f>
        <v>NPR</v>
      </c>
      <c r="B39" s="218" t="str">
        <f>'試算-SLOT'!B39</f>
        <v>रू</v>
      </c>
      <c r="C39" s="218" t="str">
        <f>'試算-SLOT'!C39</f>
        <v>尼泊爾盧比</v>
      </c>
      <c r="D39" s="218" t="str">
        <f>IF('試算-SLOT'!D39=1,"",'試算-SLOT'!D39)</f>
        <v/>
      </c>
      <c r="E39" s="230">
        <v>2.0</v>
      </c>
      <c r="F39" s="229">
        <v>2.0</v>
      </c>
      <c r="G39" s="229">
        <v>4.0</v>
      </c>
      <c r="H39" s="229">
        <v>6.0</v>
      </c>
      <c r="I39" s="229">
        <v>7.0</v>
      </c>
      <c r="J39" s="229">
        <v>8.0</v>
      </c>
      <c r="K39" s="229">
        <v>9.0</v>
      </c>
      <c r="L39" s="229">
        <v>10.0</v>
      </c>
      <c r="M39" s="229">
        <v>12.0</v>
      </c>
      <c r="N39" s="229">
        <v>14.0</v>
      </c>
      <c r="O39" s="229">
        <v>15.0</v>
      </c>
      <c r="P39" s="229">
        <v>16.0</v>
      </c>
      <c r="Q39" s="229">
        <v>18.0</v>
      </c>
    </row>
    <row r="40" ht="16.5" customHeight="1">
      <c r="A40" s="225" t="str">
        <f>'試算-SLOT'!A40</f>
        <v>CHF</v>
      </c>
      <c r="B40" s="225" t="str">
        <f>'試算-SLOT'!B40</f>
        <v>CHF</v>
      </c>
      <c r="C40" s="225" t="str">
        <f>'試算-SLOT'!C40</f>
        <v>瑞士法郎</v>
      </c>
      <c r="D40" s="225" t="str">
        <f>IF('試算-SLOT'!D40=1,"",'試算-SLOT'!D40)</f>
        <v/>
      </c>
      <c r="E40" s="226">
        <v>0.05</v>
      </c>
      <c r="F40" s="225">
        <v>2.0</v>
      </c>
      <c r="G40" s="225">
        <v>4.0</v>
      </c>
      <c r="H40" s="225">
        <v>6.0</v>
      </c>
      <c r="I40" s="225">
        <v>7.0</v>
      </c>
      <c r="J40" s="225">
        <v>8.0</v>
      </c>
      <c r="K40" s="225">
        <v>9.0</v>
      </c>
      <c r="L40" s="225">
        <v>11.0</v>
      </c>
      <c r="M40" s="225">
        <v>12.0</v>
      </c>
      <c r="N40" s="225">
        <v>13.0</v>
      </c>
      <c r="O40" s="225">
        <v>15.0</v>
      </c>
      <c r="P40" s="225">
        <v>16.0</v>
      </c>
      <c r="Q40" s="225">
        <v>17.0</v>
      </c>
    </row>
    <row r="41" ht="16.5" customHeight="1">
      <c r="A41" s="223" t="str">
        <f>'試算-SLOT'!A41</f>
        <v>CAD</v>
      </c>
      <c r="B41" s="223" t="str">
        <f>'試算-SLOT'!B41</f>
        <v>$</v>
      </c>
      <c r="C41" s="223" t="str">
        <f>'試算-SLOT'!C41</f>
        <v>加幣</v>
      </c>
      <c r="D41" s="223" t="str">
        <f>IF('試算-SLOT'!D41=1,"",'試算-SLOT'!D41)</f>
        <v/>
      </c>
      <c r="E41" s="224">
        <v>0.05</v>
      </c>
      <c r="F41" s="223">
        <v>2.0</v>
      </c>
      <c r="G41" s="223">
        <v>4.0</v>
      </c>
      <c r="H41" s="223">
        <v>6.0</v>
      </c>
      <c r="I41" s="223">
        <v>7.0</v>
      </c>
      <c r="J41" s="223">
        <v>8.0</v>
      </c>
      <c r="K41" s="223">
        <v>9.0</v>
      </c>
      <c r="L41" s="223">
        <v>11.0</v>
      </c>
      <c r="M41" s="223">
        <v>12.0</v>
      </c>
      <c r="N41" s="223">
        <v>13.0</v>
      </c>
      <c r="O41" s="223">
        <v>15.0</v>
      </c>
      <c r="P41" s="223">
        <v>16.0</v>
      </c>
      <c r="Q41" s="223">
        <v>17.0</v>
      </c>
    </row>
    <row r="42" ht="16.5" customHeight="1">
      <c r="A42" s="220" t="str">
        <f>'試算-SLOT'!A42</f>
        <v>PEN</v>
      </c>
      <c r="B42" s="220" t="str">
        <f>'試算-SLOT'!B42</f>
        <v>PEN</v>
      </c>
      <c r="C42" s="220" t="str">
        <f>'試算-SLOT'!C42</f>
        <v>秘魯新索爾</v>
      </c>
      <c r="D42" s="220" t="str">
        <f>IF('試算-SLOT'!D42=1,"",'試算-SLOT'!D42)</f>
        <v/>
      </c>
      <c r="E42" s="221">
        <v>0.2</v>
      </c>
      <c r="F42" s="220">
        <v>1.0</v>
      </c>
      <c r="G42" s="220">
        <v>3.0</v>
      </c>
      <c r="H42" s="220">
        <v>5.0</v>
      </c>
      <c r="I42" s="220">
        <v>7.0</v>
      </c>
      <c r="J42" s="220">
        <v>8.0</v>
      </c>
      <c r="K42" s="220">
        <v>9.0</v>
      </c>
      <c r="L42" s="220">
        <v>10.0</v>
      </c>
      <c r="M42" s="220">
        <v>12.0</v>
      </c>
      <c r="N42" s="220">
        <v>14.0</v>
      </c>
      <c r="O42" s="220">
        <v>15.0</v>
      </c>
      <c r="P42" s="220">
        <v>16.0</v>
      </c>
      <c r="Q42" s="220">
        <v>18.0</v>
      </c>
    </row>
    <row r="43" ht="16.5" customHeight="1">
      <c r="A43" s="220" t="str">
        <f>'試算-SLOT'!A43</f>
        <v>AED</v>
      </c>
      <c r="B43" s="220" t="str">
        <f>'試算-SLOT'!B43</f>
        <v>AED</v>
      </c>
      <c r="C43" s="220" t="str">
        <f>'試算-SLOT'!C43</f>
        <v>阿聯迪拉姆</v>
      </c>
      <c r="D43" s="220" t="str">
        <f>IF('試算-SLOT'!D43=1,"",'試算-SLOT'!D43)</f>
        <v/>
      </c>
      <c r="E43" s="221">
        <v>0.2</v>
      </c>
      <c r="F43" s="220">
        <v>1.0</v>
      </c>
      <c r="G43" s="220">
        <v>3.0</v>
      </c>
      <c r="H43" s="220">
        <v>5.0</v>
      </c>
      <c r="I43" s="220">
        <v>7.0</v>
      </c>
      <c r="J43" s="220">
        <v>8.0</v>
      </c>
      <c r="K43" s="220">
        <v>9.0</v>
      </c>
      <c r="L43" s="220">
        <v>10.0</v>
      </c>
      <c r="M43" s="220">
        <v>12.0</v>
      </c>
      <c r="N43" s="220">
        <v>14.0</v>
      </c>
      <c r="O43" s="220">
        <v>15.0</v>
      </c>
      <c r="P43" s="220">
        <v>16.0</v>
      </c>
      <c r="Q43" s="220">
        <v>18.0</v>
      </c>
    </row>
    <row r="44" ht="16.5" customHeight="1">
      <c r="A44" s="223" t="str">
        <f>'試算-SLOT'!A44</f>
        <v>BND</v>
      </c>
      <c r="B44" s="223" t="str">
        <f>'試算-SLOT'!B44</f>
        <v>B$</v>
      </c>
      <c r="C44" s="223" t="str">
        <f>'試算-SLOT'!C44</f>
        <v>汶萊幣</v>
      </c>
      <c r="D44" s="223" t="str">
        <f>IF('試算-SLOT'!D44=1,"",'試算-SLOT'!D44)</f>
        <v/>
      </c>
      <c r="E44" s="224">
        <v>0.05</v>
      </c>
      <c r="F44" s="223">
        <v>2.0</v>
      </c>
      <c r="G44" s="223">
        <v>4.0</v>
      </c>
      <c r="H44" s="223">
        <v>6.0</v>
      </c>
      <c r="I44" s="223">
        <v>7.0</v>
      </c>
      <c r="J44" s="223">
        <v>8.0</v>
      </c>
      <c r="K44" s="223">
        <v>9.0</v>
      </c>
      <c r="L44" s="223">
        <v>11.0</v>
      </c>
      <c r="M44" s="223">
        <v>12.0</v>
      </c>
      <c r="N44" s="223">
        <v>13.0</v>
      </c>
      <c r="O44" s="223">
        <v>15.0</v>
      </c>
      <c r="P44" s="223">
        <v>16.0</v>
      </c>
      <c r="Q44" s="223">
        <v>17.0</v>
      </c>
    </row>
    <row r="45" ht="16.5" customHeight="1">
      <c r="A45" s="218" t="str">
        <f>'試算-SLOT'!A45</f>
        <v>COP</v>
      </c>
      <c r="B45" s="218" t="str">
        <f>'試算-SLOT'!B45</f>
        <v>$</v>
      </c>
      <c r="C45" s="218" t="str">
        <f>'試算-SLOT'!C45</f>
        <v>哥倫比亞披索</v>
      </c>
      <c r="D45" s="218" t="str">
        <f>IF('試算-SLOT'!D45=1,"",'試算-SLOT'!D45)</f>
        <v/>
      </c>
      <c r="E45" s="230">
        <v>20.0</v>
      </c>
      <c r="F45" s="229">
        <v>2.0</v>
      </c>
      <c r="G45" s="229">
        <v>4.0</v>
      </c>
      <c r="H45" s="229">
        <v>6.0</v>
      </c>
      <c r="I45" s="229">
        <v>7.0</v>
      </c>
      <c r="J45" s="229">
        <v>8.0</v>
      </c>
      <c r="K45" s="229">
        <v>9.0</v>
      </c>
      <c r="L45" s="229">
        <v>10.0</v>
      </c>
      <c r="M45" s="229">
        <v>12.0</v>
      </c>
      <c r="N45" s="229">
        <v>14.0</v>
      </c>
      <c r="O45" s="229">
        <v>15.0</v>
      </c>
      <c r="P45" s="229">
        <v>16.0</v>
      </c>
      <c r="Q45" s="229">
        <v>18.0</v>
      </c>
    </row>
    <row r="46" ht="16.5" customHeight="1">
      <c r="A46" s="218" t="str">
        <f>'試算-SLOT'!A46</f>
        <v>VNDO</v>
      </c>
      <c r="B46" s="218" t="str">
        <f>'試算-SLOT'!B46</f>
        <v>₫</v>
      </c>
      <c r="C46" s="218" t="str">
        <f>'試算-SLOT'!C46</f>
        <v>越南盾</v>
      </c>
      <c r="D46" s="218" t="str">
        <f>IF('試算-SLOT'!D46=1,"",'試算-SLOT'!D46)</f>
        <v/>
      </c>
      <c r="E46" s="230">
        <v>20.0</v>
      </c>
      <c r="F46" s="229">
        <v>2.0</v>
      </c>
      <c r="G46" s="229">
        <v>4.0</v>
      </c>
      <c r="H46" s="229">
        <v>6.0</v>
      </c>
      <c r="I46" s="229">
        <v>7.0</v>
      </c>
      <c r="J46" s="229">
        <v>8.0</v>
      </c>
      <c r="K46" s="229">
        <v>9.0</v>
      </c>
      <c r="L46" s="229">
        <v>10.0</v>
      </c>
      <c r="M46" s="229">
        <v>12.0</v>
      </c>
      <c r="N46" s="229">
        <v>14.0</v>
      </c>
      <c r="O46" s="229">
        <v>15.0</v>
      </c>
      <c r="P46" s="229">
        <v>16.0</v>
      </c>
      <c r="Q46" s="229">
        <v>18.0</v>
      </c>
    </row>
    <row r="47" ht="16.5" customHeight="1">
      <c r="A47" s="223" t="str">
        <f>'試算-SLOT'!A47</f>
        <v>MYRC</v>
      </c>
      <c r="B47" s="223" t="str">
        <f>'試算-SLOT'!B47</f>
        <v>RM</v>
      </c>
      <c r="C47" s="223" t="str">
        <f>'試算-SLOT'!C47</f>
        <v>馬來西亞令吉</v>
      </c>
      <c r="D47" s="158">
        <f>IF('試算-SLOT'!D47=1,"",'試算-SLOT'!D47)</f>
        <v>0.01</v>
      </c>
      <c r="E47" s="219">
        <v>10.0</v>
      </c>
      <c r="F47" s="218">
        <v>2.0</v>
      </c>
      <c r="G47" s="218">
        <v>4.0</v>
      </c>
      <c r="H47" s="218">
        <v>6.0</v>
      </c>
      <c r="I47" s="218">
        <v>7.0</v>
      </c>
      <c r="J47" s="218">
        <v>8.0</v>
      </c>
      <c r="K47" s="218">
        <v>9.0</v>
      </c>
      <c r="L47" s="218">
        <v>10.0</v>
      </c>
      <c r="M47" s="218">
        <v>12.0</v>
      </c>
      <c r="N47" s="218">
        <v>14.0</v>
      </c>
      <c r="O47" s="218">
        <v>15.0</v>
      </c>
      <c r="P47" s="218">
        <v>16.0</v>
      </c>
      <c r="Q47" s="218">
        <v>18.0</v>
      </c>
    </row>
    <row r="48" ht="16.5" customHeight="1">
      <c r="A48" s="223" t="str">
        <f>'試算-SLOT'!A48</f>
        <v>XSD</v>
      </c>
      <c r="B48" s="223" t="str">
        <f>'試算-SLOT'!B48</f>
        <v/>
      </c>
      <c r="C48" s="223" t="str">
        <f>'試算-SLOT'!C48</f>
        <v>星幣</v>
      </c>
      <c r="D48" s="158" t="str">
        <f>IF('試算-SLOT'!D48=1,"",'試算-SLOT'!D48)</f>
        <v/>
      </c>
      <c r="E48" s="219">
        <v>10.0</v>
      </c>
      <c r="F48" s="218">
        <v>2.0</v>
      </c>
      <c r="G48" s="218">
        <v>4.0</v>
      </c>
      <c r="H48" s="218">
        <v>6.0</v>
      </c>
      <c r="I48" s="218">
        <v>7.0</v>
      </c>
      <c r="J48" s="218">
        <v>8.0</v>
      </c>
      <c r="K48" s="218">
        <v>9.0</v>
      </c>
      <c r="L48" s="218">
        <v>10.0</v>
      </c>
      <c r="M48" s="218">
        <v>12.0</v>
      </c>
      <c r="N48" s="218">
        <v>14.0</v>
      </c>
      <c r="O48" s="218">
        <v>15.0</v>
      </c>
      <c r="P48" s="218">
        <v>16.0</v>
      </c>
      <c r="Q48" s="218">
        <v>18.0</v>
      </c>
    </row>
    <row r="49" ht="16.5" customHeight="1">
      <c r="A49" s="218" t="str">
        <f>'試算-SLOT'!A49</f>
        <v>DZD</v>
      </c>
      <c r="B49" s="218" t="str">
        <f>'試算-SLOT'!B49</f>
        <v>دج</v>
      </c>
      <c r="C49" s="218" t="str">
        <f>'試算-SLOT'!C49</f>
        <v>阿爾及利亞第納爾</v>
      </c>
      <c r="D49" s="218" t="str">
        <f>IF('試算-SLOT'!D49=1,"",'試算-SLOT'!D49)</f>
        <v/>
      </c>
      <c r="E49" s="219">
        <v>1.0</v>
      </c>
      <c r="F49" s="218">
        <v>2.0</v>
      </c>
      <c r="G49" s="218">
        <v>4.0</v>
      </c>
      <c r="H49" s="218">
        <v>6.0</v>
      </c>
      <c r="I49" s="218">
        <v>7.0</v>
      </c>
      <c r="J49" s="218">
        <v>8.0</v>
      </c>
      <c r="K49" s="218">
        <v>9.0</v>
      </c>
      <c r="L49" s="218">
        <v>10.0</v>
      </c>
      <c r="M49" s="218">
        <v>12.0</v>
      </c>
      <c r="N49" s="218">
        <v>14.0</v>
      </c>
      <c r="O49" s="218">
        <v>15.0</v>
      </c>
      <c r="P49" s="218">
        <v>16.0</v>
      </c>
      <c r="Q49" s="218">
        <v>18.0</v>
      </c>
    </row>
    <row r="50" ht="16.5" customHeight="1">
      <c r="A50" s="220" t="str">
        <f>'試算-SLOT'!A50</f>
        <v>MAD</v>
      </c>
      <c r="B50" s="220" t="str">
        <f>'試算-SLOT'!B50</f>
        <v>DH</v>
      </c>
      <c r="C50" s="220" t="str">
        <f>'試算-SLOT'!C50</f>
        <v>摩洛哥迪拉姆</v>
      </c>
      <c r="D50" s="220" t="str">
        <f>IF('試算-SLOT'!D50=1,"",'試算-SLOT'!D50)</f>
        <v/>
      </c>
      <c r="E50" s="221">
        <v>0.2</v>
      </c>
      <c r="F50" s="220">
        <v>1.0</v>
      </c>
      <c r="G50" s="220">
        <v>3.0</v>
      </c>
      <c r="H50" s="220">
        <v>5.0</v>
      </c>
      <c r="I50" s="220">
        <v>7.0</v>
      </c>
      <c r="J50" s="220">
        <v>8.0</v>
      </c>
      <c r="K50" s="220">
        <v>9.0</v>
      </c>
      <c r="L50" s="220">
        <v>10.0</v>
      </c>
      <c r="M50" s="220">
        <v>12.0</v>
      </c>
      <c r="N50" s="220">
        <v>14.0</v>
      </c>
      <c r="O50" s="220">
        <v>15.0</v>
      </c>
      <c r="P50" s="220">
        <v>16.0</v>
      </c>
      <c r="Q50" s="220">
        <v>18.0</v>
      </c>
    </row>
    <row r="51" ht="16.5" customHeight="1">
      <c r="A51" s="220" t="str">
        <f>'試算-SLOT'!A51</f>
        <v>FRF</v>
      </c>
      <c r="B51" s="220" t="str">
        <f>'試算-SLOT'!B51</f>
        <v>₣</v>
      </c>
      <c r="C51" s="220" t="str">
        <f>'試算-SLOT'!C51</f>
        <v>法國法郎</v>
      </c>
      <c r="D51" s="220" t="str">
        <f>IF('試算-SLOT'!D51=1,"",'試算-SLOT'!D51)</f>
        <v/>
      </c>
      <c r="E51" s="221">
        <v>0.2</v>
      </c>
      <c r="F51" s="220">
        <v>1.0</v>
      </c>
      <c r="G51" s="220">
        <v>3.0</v>
      </c>
      <c r="H51" s="220">
        <v>5.0</v>
      </c>
      <c r="I51" s="220">
        <v>7.0</v>
      </c>
      <c r="J51" s="220">
        <v>8.0</v>
      </c>
      <c r="K51" s="220">
        <v>9.0</v>
      </c>
      <c r="L51" s="220">
        <v>10.0</v>
      </c>
      <c r="M51" s="220">
        <v>12.0</v>
      </c>
      <c r="N51" s="220">
        <v>14.0</v>
      </c>
      <c r="O51" s="220">
        <v>15.0</v>
      </c>
      <c r="P51" s="220">
        <v>16.0</v>
      </c>
      <c r="Q51" s="220">
        <v>18.0</v>
      </c>
    </row>
    <row r="52" ht="16.5" customHeight="1">
      <c r="A52" s="220" t="str">
        <f>'試算-SLOT'!A52</f>
        <v>GHS</v>
      </c>
      <c r="B52" s="220" t="str">
        <f>'試算-SLOT'!B52</f>
        <v>Gp</v>
      </c>
      <c r="C52" s="220" t="str">
        <f>'試算-SLOT'!C52</f>
        <v>迦納塞地</v>
      </c>
      <c r="D52" s="220" t="str">
        <f>IF('試算-SLOT'!D52=1,"",'試算-SLOT'!D52)</f>
        <v/>
      </c>
      <c r="E52" s="221">
        <v>0.2</v>
      </c>
      <c r="F52" s="220">
        <v>1.0</v>
      </c>
      <c r="G52" s="220">
        <v>3.0</v>
      </c>
      <c r="H52" s="220">
        <v>5.0</v>
      </c>
      <c r="I52" s="220">
        <v>7.0</v>
      </c>
      <c r="J52" s="220">
        <v>8.0</v>
      </c>
      <c r="K52" s="220">
        <v>9.0</v>
      </c>
      <c r="L52" s="220">
        <v>10.0</v>
      </c>
      <c r="M52" s="220">
        <v>12.0</v>
      </c>
      <c r="N52" s="220">
        <v>14.0</v>
      </c>
      <c r="O52" s="220">
        <v>15.0</v>
      </c>
      <c r="P52" s="220">
        <v>16.0</v>
      </c>
      <c r="Q52" s="220">
        <v>18.0</v>
      </c>
    </row>
    <row r="53" ht="16.5" customHeight="1">
      <c r="A53" s="225" t="str">
        <f>'試算-SLOT'!A53</f>
        <v>RCC</v>
      </c>
      <c r="B53" s="225" t="str">
        <f>'試算-SLOT'!B53</f>
        <v/>
      </c>
      <c r="C53" s="225" t="str">
        <f>'試算-SLOT'!C53</f>
        <v>RCC幣</v>
      </c>
      <c r="D53" s="225" t="str">
        <f>IF('試算-SLOT'!D53=1,"",'試算-SLOT'!D53)</f>
        <v/>
      </c>
      <c r="E53" s="226">
        <v>0.05</v>
      </c>
      <c r="F53" s="225">
        <v>2.0</v>
      </c>
      <c r="G53" s="225">
        <v>4.0</v>
      </c>
      <c r="H53" s="225">
        <v>6.0</v>
      </c>
      <c r="I53" s="225">
        <v>7.0</v>
      </c>
      <c r="J53" s="225">
        <v>8.0</v>
      </c>
      <c r="K53" s="225">
        <v>9.0</v>
      </c>
      <c r="L53" s="225">
        <v>11.0</v>
      </c>
      <c r="M53" s="225">
        <v>12.0</v>
      </c>
      <c r="N53" s="225">
        <v>13.0</v>
      </c>
      <c r="O53" s="225">
        <v>15.0</v>
      </c>
      <c r="P53" s="225">
        <v>16.0</v>
      </c>
      <c r="Q53" s="225">
        <v>17.0</v>
      </c>
    </row>
    <row r="54" ht="16.5" customHeight="1">
      <c r="A54" s="218" t="str">
        <f>'試算-SLOT'!A54</f>
        <v>KBB</v>
      </c>
      <c r="B54" s="218" t="str">
        <f>'試算-SLOT'!B54</f>
        <v/>
      </c>
      <c r="C54" s="218" t="str">
        <f>'試算-SLOT'!C54</f>
        <v>爸幣</v>
      </c>
      <c r="D54" s="229" t="str">
        <f>IF('試算-SLOT'!D54=1,"",'試算-SLOT'!D54)</f>
        <v/>
      </c>
      <c r="E54" s="230">
        <v>0.5</v>
      </c>
      <c r="F54" s="229">
        <v>2.0</v>
      </c>
      <c r="G54" s="229">
        <v>4.0</v>
      </c>
      <c r="H54" s="229">
        <v>6.0</v>
      </c>
      <c r="I54" s="229">
        <v>7.0</v>
      </c>
      <c r="J54" s="229">
        <v>8.0</v>
      </c>
      <c r="K54" s="229">
        <v>9.0</v>
      </c>
      <c r="L54" s="229">
        <v>10.0</v>
      </c>
      <c r="M54" s="229">
        <v>12.0</v>
      </c>
      <c r="N54" s="229">
        <v>14.0</v>
      </c>
      <c r="O54" s="229">
        <v>15.0</v>
      </c>
      <c r="P54" s="229">
        <v>16.0</v>
      </c>
      <c r="Q54" s="229">
        <v>18.0</v>
      </c>
    </row>
    <row r="55" ht="16.5" customHeight="1">
      <c r="A55" s="223" t="str">
        <f>'試算-SLOT'!A55</f>
        <v>XSMY</v>
      </c>
      <c r="B55" s="223" t="str">
        <f>'試算-SLOT'!B55</f>
        <v/>
      </c>
      <c r="C55" s="223" t="str">
        <f>'試算-SLOT'!C55</f>
        <v>星城馬來西亞</v>
      </c>
      <c r="D55" s="158" t="str">
        <f>IF('試算-SLOT'!D55=1,"",'試算-SLOT'!D55)</f>
        <v/>
      </c>
      <c r="E55" s="219">
        <v>10.0</v>
      </c>
      <c r="F55" s="218">
        <v>2.0</v>
      </c>
      <c r="G55" s="218">
        <v>4.0</v>
      </c>
      <c r="H55" s="218">
        <v>6.0</v>
      </c>
      <c r="I55" s="218">
        <v>7.0</v>
      </c>
      <c r="J55" s="218">
        <v>8.0</v>
      </c>
      <c r="K55" s="218">
        <v>9.0</v>
      </c>
      <c r="L55" s="218">
        <v>10.0</v>
      </c>
      <c r="M55" s="218">
        <v>12.0</v>
      </c>
      <c r="N55" s="218">
        <v>14.0</v>
      </c>
      <c r="O55" s="218">
        <v>15.0</v>
      </c>
      <c r="P55" s="218">
        <v>16.0</v>
      </c>
      <c r="Q55" s="218">
        <v>18.0</v>
      </c>
    </row>
    <row r="56" ht="16.5" customHeight="1">
      <c r="A56" s="231"/>
      <c r="B56" s="231"/>
      <c r="C56" s="231"/>
      <c r="D56" s="232"/>
    </row>
    <row r="57" ht="16.5" customHeight="1">
      <c r="A57" s="40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</row>
    <row r="58" ht="16.5" customHeight="1">
      <c r="A58" s="216" t="str">
        <f t="shared" ref="A58:Q58" si="1">A5</f>
        <v>貨幣簡稱</v>
      </c>
      <c r="B58" s="56" t="str">
        <f t="shared" si="1"/>
        <v>貨幣符號</v>
      </c>
      <c r="C58" s="56" t="str">
        <f t="shared" si="1"/>
        <v>中文名稱</v>
      </c>
      <c r="D58" s="56" t="str">
        <f t="shared" si="1"/>
        <v>貨幣轉換</v>
      </c>
      <c r="E58" s="217" t="str">
        <f t="shared" si="1"/>
        <v>Denom</v>
      </c>
      <c r="F58" s="56" t="str">
        <f t="shared" si="1"/>
        <v>籌碼1</v>
      </c>
      <c r="G58" s="56" t="str">
        <f t="shared" si="1"/>
        <v>籌碼2</v>
      </c>
      <c r="H58" s="56" t="str">
        <f t="shared" si="1"/>
        <v>籌碼3</v>
      </c>
      <c r="I58" s="56" t="str">
        <f t="shared" si="1"/>
        <v>籌碼4</v>
      </c>
      <c r="J58" s="56" t="str">
        <f t="shared" si="1"/>
        <v>籌碼5</v>
      </c>
      <c r="K58" s="56" t="str">
        <f t="shared" si="1"/>
        <v>籌碼6</v>
      </c>
      <c r="L58" s="56" t="str">
        <f t="shared" si="1"/>
        <v>籌碼7</v>
      </c>
      <c r="M58" s="56" t="str">
        <f t="shared" si="1"/>
        <v>籌碼8</v>
      </c>
      <c r="N58" s="56" t="str">
        <f t="shared" si="1"/>
        <v>籌碼9</v>
      </c>
      <c r="O58" s="56" t="str">
        <f t="shared" si="1"/>
        <v>籌碼10</v>
      </c>
      <c r="P58" s="56" t="str">
        <f t="shared" si="1"/>
        <v>籌碼11</v>
      </c>
      <c r="Q58" s="56" t="str">
        <f t="shared" si="1"/>
        <v>籌碼12</v>
      </c>
      <c r="R58" s="57"/>
      <c r="S58" s="57"/>
      <c r="T58" s="57"/>
      <c r="U58" s="57"/>
      <c r="V58" s="57"/>
      <c r="W58" s="57"/>
      <c r="X58" s="57"/>
      <c r="Y58" s="57"/>
      <c r="Z58" s="233"/>
      <c r="AA58" s="234" t="s">
        <v>71</v>
      </c>
    </row>
    <row r="59" ht="16.5" customHeight="1">
      <c r="A59" s="218" t="str">
        <f t="shared" ref="A59:E59" si="2">A6</f>
        <v>THB</v>
      </c>
      <c r="B59" s="218" t="str">
        <f t="shared" si="2"/>
        <v>฿</v>
      </c>
      <c r="C59" s="218" t="str">
        <f t="shared" si="2"/>
        <v>泰銖</v>
      </c>
      <c r="D59" s="218" t="str">
        <f t="shared" si="2"/>
        <v/>
      </c>
      <c r="E59" s="235">
        <f t="shared" si="2"/>
        <v>1</v>
      </c>
      <c r="F59" s="236">
        <f t="shared" ref="F59:Q59" si="3">HLOOKUP(F6,$F$1:$AI$2,2) * $D$1 * $E59</f>
        <v>10</v>
      </c>
      <c r="G59" s="236">
        <f t="shared" si="3"/>
        <v>20</v>
      </c>
      <c r="H59" s="236">
        <f t="shared" si="3"/>
        <v>30</v>
      </c>
      <c r="I59" s="236">
        <f t="shared" si="3"/>
        <v>50</v>
      </c>
      <c r="J59" s="236">
        <f t="shared" si="3"/>
        <v>100</v>
      </c>
      <c r="K59" s="236">
        <f t="shared" si="3"/>
        <v>200</v>
      </c>
      <c r="L59" s="236">
        <f t="shared" si="3"/>
        <v>250</v>
      </c>
      <c r="M59" s="236">
        <f t="shared" si="3"/>
        <v>500</v>
      </c>
      <c r="N59" s="236">
        <f t="shared" si="3"/>
        <v>750</v>
      </c>
      <c r="O59" s="236">
        <f t="shared" si="3"/>
        <v>1000</v>
      </c>
      <c r="P59" s="236">
        <f t="shared" si="3"/>
        <v>1500</v>
      </c>
      <c r="Q59" s="236">
        <f t="shared" si="3"/>
        <v>2000</v>
      </c>
      <c r="R59" s="237"/>
      <c r="S59" s="237"/>
      <c r="T59" s="237"/>
      <c r="U59" s="237"/>
      <c r="V59" s="237"/>
      <c r="W59" s="237"/>
      <c r="X59" s="237"/>
      <c r="Y59" s="237"/>
      <c r="Z59" s="233"/>
      <c r="AA59" s="68"/>
    </row>
    <row r="60" ht="16.5" customHeight="1">
      <c r="A60" s="220" t="str">
        <f t="shared" ref="A60:E60" si="4">A7</f>
        <v>HKD</v>
      </c>
      <c r="B60" s="220" t="str">
        <f t="shared" si="4"/>
        <v>HK$</v>
      </c>
      <c r="C60" s="220" t="str">
        <f t="shared" si="4"/>
        <v>港幣</v>
      </c>
      <c r="D60" s="220" t="str">
        <f t="shared" si="4"/>
        <v/>
      </c>
      <c r="E60" s="238">
        <f t="shared" si="4"/>
        <v>0.2</v>
      </c>
      <c r="F60" s="239">
        <f t="shared" ref="F60:Q60" si="5">HLOOKUP(F7,$F$1:$AI$2,2) * $D$1 * $E60</f>
        <v>1</v>
      </c>
      <c r="G60" s="239">
        <f t="shared" si="5"/>
        <v>3</v>
      </c>
      <c r="H60" s="239">
        <f t="shared" si="5"/>
        <v>5</v>
      </c>
      <c r="I60" s="239">
        <f t="shared" si="5"/>
        <v>10</v>
      </c>
      <c r="J60" s="239">
        <f t="shared" si="5"/>
        <v>20</v>
      </c>
      <c r="K60" s="239">
        <f t="shared" si="5"/>
        <v>40</v>
      </c>
      <c r="L60" s="239">
        <f t="shared" si="5"/>
        <v>50</v>
      </c>
      <c r="M60" s="239">
        <f t="shared" si="5"/>
        <v>100</v>
      </c>
      <c r="N60" s="239">
        <f t="shared" si="5"/>
        <v>150</v>
      </c>
      <c r="O60" s="239">
        <f t="shared" si="5"/>
        <v>200</v>
      </c>
      <c r="P60" s="239">
        <f t="shared" si="5"/>
        <v>300</v>
      </c>
      <c r="Q60" s="239">
        <f t="shared" si="5"/>
        <v>400</v>
      </c>
      <c r="R60" s="237"/>
      <c r="S60" s="237"/>
      <c r="T60" s="237"/>
      <c r="U60" s="237"/>
      <c r="V60" s="237"/>
      <c r="W60" s="237"/>
      <c r="X60" s="237"/>
      <c r="Y60" s="237"/>
      <c r="Z60" s="233"/>
      <c r="AA60" s="68"/>
    </row>
    <row r="61" ht="16.5" customHeight="1">
      <c r="A61" s="218" t="str">
        <f t="shared" ref="A61:E61" si="6">A8</f>
        <v>INR</v>
      </c>
      <c r="B61" s="218" t="str">
        <f t="shared" si="6"/>
        <v>₹</v>
      </c>
      <c r="C61" s="218" t="str">
        <f t="shared" si="6"/>
        <v>印度盧比</v>
      </c>
      <c r="D61" s="218" t="str">
        <f t="shared" si="6"/>
        <v/>
      </c>
      <c r="E61" s="235">
        <f t="shared" si="6"/>
        <v>1</v>
      </c>
      <c r="F61" s="236">
        <f t="shared" ref="F61:Q61" si="7">HLOOKUP(F8,$F$1:$AI$2,2) * $D$1 * $E61</f>
        <v>10</v>
      </c>
      <c r="G61" s="236">
        <f t="shared" si="7"/>
        <v>20</v>
      </c>
      <c r="H61" s="236">
        <f t="shared" si="7"/>
        <v>30</v>
      </c>
      <c r="I61" s="236">
        <f t="shared" si="7"/>
        <v>50</v>
      </c>
      <c r="J61" s="236">
        <f t="shared" si="7"/>
        <v>100</v>
      </c>
      <c r="K61" s="236">
        <f t="shared" si="7"/>
        <v>200</v>
      </c>
      <c r="L61" s="236">
        <f t="shared" si="7"/>
        <v>250</v>
      </c>
      <c r="M61" s="236">
        <f t="shared" si="7"/>
        <v>500</v>
      </c>
      <c r="N61" s="236">
        <f t="shared" si="7"/>
        <v>750</v>
      </c>
      <c r="O61" s="236">
        <f t="shared" si="7"/>
        <v>1000</v>
      </c>
      <c r="P61" s="236">
        <f t="shared" si="7"/>
        <v>1500</v>
      </c>
      <c r="Q61" s="236">
        <f t="shared" si="7"/>
        <v>2000</v>
      </c>
      <c r="R61" s="237"/>
      <c r="S61" s="237"/>
      <c r="T61" s="237"/>
      <c r="U61" s="237"/>
      <c r="V61" s="237"/>
      <c r="W61" s="237"/>
      <c r="X61" s="237"/>
      <c r="Y61" s="237"/>
      <c r="Z61" s="233"/>
      <c r="AA61" s="68"/>
    </row>
    <row r="62" ht="16.5" customHeight="1">
      <c r="A62" s="56" t="str">
        <f t="shared" ref="A62:E62" si="8">A9</f>
        <v>IDR</v>
      </c>
      <c r="B62" s="56" t="str">
        <f t="shared" si="8"/>
        <v>Rp</v>
      </c>
      <c r="C62" s="56" t="str">
        <f t="shared" si="8"/>
        <v>印尼盧比(K)</v>
      </c>
      <c r="D62" s="56">
        <f t="shared" si="8"/>
        <v>1000</v>
      </c>
      <c r="E62" s="240">
        <f t="shared" si="8"/>
        <v>0.5</v>
      </c>
      <c r="F62" s="241">
        <f t="shared" ref="F62:Q62" si="9">HLOOKUP(F9,$F$1:$AI$2,2) * $D$1 * $E62</f>
        <v>5</v>
      </c>
      <c r="G62" s="241">
        <f t="shared" si="9"/>
        <v>10</v>
      </c>
      <c r="H62" s="241">
        <f t="shared" si="9"/>
        <v>15</v>
      </c>
      <c r="I62" s="241">
        <f t="shared" si="9"/>
        <v>25</v>
      </c>
      <c r="J62" s="241">
        <f t="shared" si="9"/>
        <v>50</v>
      </c>
      <c r="K62" s="241">
        <f t="shared" si="9"/>
        <v>100</v>
      </c>
      <c r="L62" s="241">
        <f t="shared" si="9"/>
        <v>125</v>
      </c>
      <c r="M62" s="241">
        <f t="shared" si="9"/>
        <v>250</v>
      </c>
      <c r="N62" s="241">
        <f t="shared" si="9"/>
        <v>350</v>
      </c>
      <c r="O62" s="241">
        <f t="shared" si="9"/>
        <v>500</v>
      </c>
      <c r="P62" s="241">
        <f t="shared" si="9"/>
        <v>750</v>
      </c>
      <c r="Q62" s="241">
        <f t="shared" si="9"/>
        <v>800</v>
      </c>
      <c r="R62" s="237"/>
      <c r="S62" s="237"/>
      <c r="T62" s="237"/>
      <c r="U62" s="237"/>
      <c r="V62" s="237"/>
      <c r="W62" s="237"/>
      <c r="X62" s="237"/>
      <c r="Y62" s="237"/>
      <c r="Z62" s="233"/>
      <c r="AA62" s="68"/>
    </row>
    <row r="63" ht="16.5" customHeight="1">
      <c r="A63" s="56" t="str">
        <f t="shared" ref="A63:E63" si="10">A10</f>
        <v>VND</v>
      </c>
      <c r="B63" s="56" t="str">
        <f t="shared" si="10"/>
        <v>₫</v>
      </c>
      <c r="C63" s="56" t="str">
        <f t="shared" si="10"/>
        <v>越南盾(K)</v>
      </c>
      <c r="D63" s="56">
        <f t="shared" si="10"/>
        <v>1000</v>
      </c>
      <c r="E63" s="240">
        <f t="shared" si="10"/>
        <v>0.5</v>
      </c>
      <c r="F63" s="241">
        <f t="shared" ref="F63:Q63" si="11">HLOOKUP(F10,$F$1:$AI$2,2) * $D$1 * $E63</f>
        <v>5</v>
      </c>
      <c r="G63" s="241">
        <f t="shared" si="11"/>
        <v>10</v>
      </c>
      <c r="H63" s="241">
        <f t="shared" si="11"/>
        <v>15</v>
      </c>
      <c r="I63" s="241">
        <f t="shared" si="11"/>
        <v>25</v>
      </c>
      <c r="J63" s="241">
        <f t="shared" si="11"/>
        <v>50</v>
      </c>
      <c r="K63" s="241">
        <f t="shared" si="11"/>
        <v>100</v>
      </c>
      <c r="L63" s="241">
        <f t="shared" si="11"/>
        <v>125</v>
      </c>
      <c r="M63" s="241">
        <f t="shared" si="11"/>
        <v>250</v>
      </c>
      <c r="N63" s="241">
        <f t="shared" si="11"/>
        <v>350</v>
      </c>
      <c r="O63" s="241">
        <f t="shared" si="11"/>
        <v>500</v>
      </c>
      <c r="P63" s="241">
        <f t="shared" si="11"/>
        <v>750</v>
      </c>
      <c r="Q63" s="241">
        <f t="shared" si="11"/>
        <v>800</v>
      </c>
      <c r="R63" s="237"/>
      <c r="S63" s="237"/>
      <c r="T63" s="237"/>
      <c r="U63" s="237"/>
      <c r="V63" s="237"/>
      <c r="W63" s="237"/>
      <c r="X63" s="237"/>
      <c r="Y63" s="237"/>
      <c r="Z63" s="233"/>
      <c r="AA63" s="68"/>
    </row>
    <row r="64" ht="16.5" customHeight="1">
      <c r="A64" s="220" t="str">
        <f t="shared" ref="A64:E64" si="12">A11</f>
        <v>MYR</v>
      </c>
      <c r="B64" s="220" t="str">
        <f t="shared" si="12"/>
        <v>RM</v>
      </c>
      <c r="C64" s="220" t="str">
        <f t="shared" si="12"/>
        <v>馬來西亞令吉</v>
      </c>
      <c r="D64" s="220" t="str">
        <f t="shared" si="12"/>
        <v/>
      </c>
      <c r="E64" s="238">
        <f t="shared" si="12"/>
        <v>0.2</v>
      </c>
      <c r="F64" s="239">
        <f t="shared" ref="F64:Q64" si="13">HLOOKUP(F11,$F$1:$AI$2,2) * $D$1 * $E64</f>
        <v>1</v>
      </c>
      <c r="G64" s="239">
        <f t="shared" si="13"/>
        <v>3</v>
      </c>
      <c r="H64" s="239">
        <f t="shared" si="13"/>
        <v>5</v>
      </c>
      <c r="I64" s="239">
        <f t="shared" si="13"/>
        <v>10</v>
      </c>
      <c r="J64" s="239">
        <f t="shared" si="13"/>
        <v>20</v>
      </c>
      <c r="K64" s="239">
        <f t="shared" si="13"/>
        <v>40</v>
      </c>
      <c r="L64" s="239">
        <f t="shared" si="13"/>
        <v>50</v>
      </c>
      <c r="M64" s="239">
        <f t="shared" si="13"/>
        <v>100</v>
      </c>
      <c r="N64" s="239">
        <f t="shared" si="13"/>
        <v>150</v>
      </c>
      <c r="O64" s="239">
        <f t="shared" si="13"/>
        <v>200</v>
      </c>
      <c r="P64" s="239">
        <f t="shared" si="13"/>
        <v>300</v>
      </c>
      <c r="Q64" s="239">
        <f t="shared" si="13"/>
        <v>400</v>
      </c>
      <c r="R64" s="237"/>
      <c r="S64" s="237"/>
      <c r="T64" s="237"/>
      <c r="U64" s="237"/>
      <c r="V64" s="237"/>
      <c r="W64" s="237"/>
      <c r="X64" s="237"/>
      <c r="Y64" s="237"/>
      <c r="Z64" s="233"/>
      <c r="AA64" s="68"/>
    </row>
    <row r="65" ht="16.5" customHeight="1">
      <c r="A65" s="223" t="str">
        <f t="shared" ref="A65:E65" si="14">A12</f>
        <v>SGD</v>
      </c>
      <c r="B65" s="223" t="str">
        <f t="shared" si="14"/>
        <v>S$</v>
      </c>
      <c r="C65" s="223" t="str">
        <f t="shared" si="14"/>
        <v>新加坡幣</v>
      </c>
      <c r="D65" s="223" t="str">
        <f t="shared" si="14"/>
        <v/>
      </c>
      <c r="E65" s="242">
        <f t="shared" si="14"/>
        <v>0.05</v>
      </c>
      <c r="F65" s="243">
        <f t="shared" ref="F65:Q65" si="15">HLOOKUP(F12,$F$1:$AI$2,2) * $D$1 * $E65</f>
        <v>0.5</v>
      </c>
      <c r="G65" s="243">
        <f t="shared" si="15"/>
        <v>1</v>
      </c>
      <c r="H65" s="243">
        <f t="shared" si="15"/>
        <v>1.5</v>
      </c>
      <c r="I65" s="243">
        <f t="shared" si="15"/>
        <v>2.5</v>
      </c>
      <c r="J65" s="243">
        <f t="shared" si="15"/>
        <v>5</v>
      </c>
      <c r="K65" s="243">
        <f t="shared" si="15"/>
        <v>10</v>
      </c>
      <c r="L65" s="243">
        <f t="shared" si="15"/>
        <v>15</v>
      </c>
      <c r="M65" s="243">
        <f t="shared" si="15"/>
        <v>25</v>
      </c>
      <c r="N65" s="243">
        <f t="shared" si="15"/>
        <v>35</v>
      </c>
      <c r="O65" s="243">
        <f t="shared" si="15"/>
        <v>50</v>
      </c>
      <c r="P65" s="243">
        <f t="shared" si="15"/>
        <v>75</v>
      </c>
      <c r="Q65" s="243">
        <f t="shared" si="15"/>
        <v>80</v>
      </c>
      <c r="R65" s="237"/>
      <c r="S65" s="237"/>
      <c r="T65" s="237"/>
      <c r="U65" s="237"/>
      <c r="V65" s="237"/>
      <c r="W65" s="237"/>
      <c r="X65" s="237"/>
      <c r="Y65" s="237"/>
      <c r="Z65" s="233"/>
      <c r="AA65" s="68"/>
    </row>
    <row r="66" ht="16.5" customHeight="1">
      <c r="A66" s="225" t="str">
        <f t="shared" ref="A66:E66" si="16">A13</f>
        <v>USD</v>
      </c>
      <c r="B66" s="225" t="str">
        <f t="shared" si="16"/>
        <v>$</v>
      </c>
      <c r="C66" s="225" t="str">
        <f t="shared" si="16"/>
        <v>美元</v>
      </c>
      <c r="D66" s="225" t="str">
        <f t="shared" si="16"/>
        <v/>
      </c>
      <c r="E66" s="244">
        <f t="shared" si="16"/>
        <v>0.05</v>
      </c>
      <c r="F66" s="245">
        <f t="shared" ref="F66:Q66" si="17">HLOOKUP(F13,$F$1:$AI$2,2) * $D$1 * $E66</f>
        <v>0.5</v>
      </c>
      <c r="G66" s="245">
        <f t="shared" si="17"/>
        <v>1</v>
      </c>
      <c r="H66" s="245">
        <f t="shared" si="17"/>
        <v>1.5</v>
      </c>
      <c r="I66" s="245">
        <f t="shared" si="17"/>
        <v>2.5</v>
      </c>
      <c r="J66" s="245">
        <f t="shared" si="17"/>
        <v>5</v>
      </c>
      <c r="K66" s="245">
        <f t="shared" si="17"/>
        <v>10</v>
      </c>
      <c r="L66" s="245">
        <f t="shared" si="17"/>
        <v>15</v>
      </c>
      <c r="M66" s="245">
        <f t="shared" si="17"/>
        <v>25</v>
      </c>
      <c r="N66" s="245">
        <f t="shared" si="17"/>
        <v>35</v>
      </c>
      <c r="O66" s="245">
        <f t="shared" si="17"/>
        <v>50</v>
      </c>
      <c r="P66" s="245">
        <f t="shared" si="17"/>
        <v>75</v>
      </c>
      <c r="Q66" s="245">
        <f t="shared" si="17"/>
        <v>80</v>
      </c>
      <c r="R66" s="237"/>
      <c r="S66" s="237"/>
      <c r="T66" s="237"/>
      <c r="U66" s="237"/>
      <c r="V66" s="237"/>
      <c r="W66" s="237"/>
      <c r="X66" s="237"/>
      <c r="Y66" s="237"/>
      <c r="Z66" s="233"/>
      <c r="AA66" s="68"/>
    </row>
    <row r="67" ht="16.5" customHeight="1">
      <c r="A67" s="218" t="str">
        <f t="shared" ref="A67:E67" si="18">A14</f>
        <v>BDT</v>
      </c>
      <c r="B67" s="218" t="str">
        <f t="shared" si="18"/>
        <v>৳</v>
      </c>
      <c r="C67" s="218" t="str">
        <f t="shared" si="18"/>
        <v>孟加拉塔卡</v>
      </c>
      <c r="D67" s="218" t="str">
        <f t="shared" si="18"/>
        <v/>
      </c>
      <c r="E67" s="235">
        <f t="shared" si="18"/>
        <v>1</v>
      </c>
      <c r="F67" s="236">
        <f t="shared" ref="F67:Q67" si="19">HLOOKUP(F14,$F$1:$AI$2,2) * $D$1 * $E67</f>
        <v>10</v>
      </c>
      <c r="G67" s="236">
        <f t="shared" si="19"/>
        <v>20</v>
      </c>
      <c r="H67" s="236">
        <f t="shared" si="19"/>
        <v>30</v>
      </c>
      <c r="I67" s="236">
        <f t="shared" si="19"/>
        <v>50</v>
      </c>
      <c r="J67" s="236">
        <f t="shared" si="19"/>
        <v>100</v>
      </c>
      <c r="K67" s="236">
        <f t="shared" si="19"/>
        <v>200</v>
      </c>
      <c r="L67" s="236">
        <f t="shared" si="19"/>
        <v>250</v>
      </c>
      <c r="M67" s="236">
        <f t="shared" si="19"/>
        <v>500</v>
      </c>
      <c r="N67" s="236">
        <f t="shared" si="19"/>
        <v>750</v>
      </c>
      <c r="O67" s="236">
        <f t="shared" si="19"/>
        <v>1000</v>
      </c>
      <c r="P67" s="236">
        <f t="shared" si="19"/>
        <v>1500</v>
      </c>
      <c r="Q67" s="236">
        <f t="shared" si="19"/>
        <v>2000</v>
      </c>
      <c r="R67" s="237"/>
      <c r="S67" s="237"/>
      <c r="T67" s="237"/>
      <c r="U67" s="237"/>
      <c r="V67" s="237"/>
      <c r="W67" s="237"/>
      <c r="X67" s="237"/>
      <c r="Y67" s="237"/>
      <c r="Z67" s="233"/>
      <c r="AA67" s="68"/>
    </row>
    <row r="68" ht="16.5" customHeight="1">
      <c r="A68" s="218" t="str">
        <f t="shared" ref="A68:E68" si="20">A15</f>
        <v>PKR</v>
      </c>
      <c r="B68" s="218" t="str">
        <f t="shared" si="20"/>
        <v>₨</v>
      </c>
      <c r="C68" s="218" t="str">
        <f t="shared" si="20"/>
        <v>巴基斯坦盧比</v>
      </c>
      <c r="D68" s="218" t="str">
        <f t="shared" si="20"/>
        <v/>
      </c>
      <c r="E68" s="235">
        <f t="shared" si="20"/>
        <v>1</v>
      </c>
      <c r="F68" s="236">
        <f t="shared" ref="F68:Q68" si="21">HLOOKUP(F15,$F$1:$AI$2,2) * $D$1 * $E68</f>
        <v>10</v>
      </c>
      <c r="G68" s="236">
        <f t="shared" si="21"/>
        <v>20</v>
      </c>
      <c r="H68" s="236">
        <f t="shared" si="21"/>
        <v>30</v>
      </c>
      <c r="I68" s="236">
        <f t="shared" si="21"/>
        <v>50</v>
      </c>
      <c r="J68" s="236">
        <f t="shared" si="21"/>
        <v>100</v>
      </c>
      <c r="K68" s="236">
        <f t="shared" si="21"/>
        <v>200</v>
      </c>
      <c r="L68" s="236">
        <f t="shared" si="21"/>
        <v>250</v>
      </c>
      <c r="M68" s="236">
        <f t="shared" si="21"/>
        <v>500</v>
      </c>
      <c r="N68" s="236">
        <f t="shared" si="21"/>
        <v>750</v>
      </c>
      <c r="O68" s="236">
        <f t="shared" si="21"/>
        <v>1000</v>
      </c>
      <c r="P68" s="236">
        <f t="shared" si="21"/>
        <v>1500</v>
      </c>
      <c r="Q68" s="236">
        <f t="shared" si="21"/>
        <v>2000</v>
      </c>
      <c r="R68" s="237"/>
      <c r="S68" s="237"/>
      <c r="T68" s="237"/>
      <c r="U68" s="237"/>
      <c r="V68" s="237"/>
      <c r="W68" s="237"/>
      <c r="X68" s="237"/>
      <c r="Y68" s="237"/>
      <c r="Z68" s="233"/>
      <c r="AA68" s="68"/>
    </row>
    <row r="69" ht="16.5" customHeight="1">
      <c r="A69" s="223" t="str">
        <f t="shared" ref="A69:E69" si="22">A16</f>
        <v>MMK</v>
      </c>
      <c r="B69" s="223" t="str">
        <f t="shared" si="22"/>
        <v>K</v>
      </c>
      <c r="C69" s="223" t="str">
        <f t="shared" si="22"/>
        <v>緬甸元(K)</v>
      </c>
      <c r="D69" s="223">
        <f t="shared" si="22"/>
        <v>1000</v>
      </c>
      <c r="E69" s="242">
        <f t="shared" si="22"/>
        <v>0.05</v>
      </c>
      <c r="F69" s="243">
        <f t="shared" ref="F69:Q69" si="23">HLOOKUP(F16,$F$1:$AI$2,2) * $D$1 * $E69</f>
        <v>0.5</v>
      </c>
      <c r="G69" s="243">
        <f t="shared" si="23"/>
        <v>1</v>
      </c>
      <c r="H69" s="243">
        <f t="shared" si="23"/>
        <v>1.5</v>
      </c>
      <c r="I69" s="243">
        <f t="shared" si="23"/>
        <v>2.5</v>
      </c>
      <c r="J69" s="243">
        <f t="shared" si="23"/>
        <v>5</v>
      </c>
      <c r="K69" s="243">
        <f t="shared" si="23"/>
        <v>10</v>
      </c>
      <c r="L69" s="243">
        <f t="shared" si="23"/>
        <v>15</v>
      </c>
      <c r="M69" s="243">
        <f t="shared" si="23"/>
        <v>25</v>
      </c>
      <c r="N69" s="243">
        <f t="shared" si="23"/>
        <v>35</v>
      </c>
      <c r="O69" s="243">
        <f t="shared" si="23"/>
        <v>50</v>
      </c>
      <c r="P69" s="243">
        <f t="shared" si="23"/>
        <v>75</v>
      </c>
      <c r="Q69" s="243">
        <f t="shared" si="23"/>
        <v>80</v>
      </c>
      <c r="R69" s="237"/>
      <c r="S69" s="237"/>
      <c r="T69" s="237"/>
      <c r="U69" s="237"/>
      <c r="V69" s="237"/>
      <c r="W69" s="237"/>
      <c r="X69" s="237"/>
      <c r="Y69" s="237"/>
      <c r="Z69" s="233"/>
      <c r="AA69" s="68"/>
    </row>
    <row r="70" ht="16.5" customHeight="1">
      <c r="A70" s="56" t="str">
        <f t="shared" ref="A70:E70" si="24">A17</f>
        <v>MMH</v>
      </c>
      <c r="B70" s="56" t="str">
        <f t="shared" si="24"/>
        <v>K</v>
      </c>
      <c r="C70" s="56" t="str">
        <f t="shared" si="24"/>
        <v>緬甸元(H)</v>
      </c>
      <c r="D70" s="56">
        <f t="shared" si="24"/>
        <v>100</v>
      </c>
      <c r="E70" s="240">
        <f t="shared" si="24"/>
        <v>0.5</v>
      </c>
      <c r="F70" s="241">
        <f t="shared" ref="F70:Q70" si="25">HLOOKUP(F17,$F$1:$AI$2,2) * $D$1 * $E70</f>
        <v>5</v>
      </c>
      <c r="G70" s="241">
        <f t="shared" si="25"/>
        <v>10</v>
      </c>
      <c r="H70" s="241">
        <f t="shared" si="25"/>
        <v>15</v>
      </c>
      <c r="I70" s="241">
        <f t="shared" si="25"/>
        <v>25</v>
      </c>
      <c r="J70" s="241">
        <f t="shared" si="25"/>
        <v>50</v>
      </c>
      <c r="K70" s="241">
        <f t="shared" si="25"/>
        <v>100</v>
      </c>
      <c r="L70" s="241">
        <f t="shared" si="25"/>
        <v>125</v>
      </c>
      <c r="M70" s="241">
        <f t="shared" si="25"/>
        <v>250</v>
      </c>
      <c r="N70" s="241">
        <f t="shared" si="25"/>
        <v>350</v>
      </c>
      <c r="O70" s="241">
        <f t="shared" si="25"/>
        <v>500</v>
      </c>
      <c r="P70" s="241">
        <f t="shared" si="25"/>
        <v>750</v>
      </c>
      <c r="Q70" s="241">
        <f t="shared" si="25"/>
        <v>800</v>
      </c>
      <c r="R70" s="237"/>
      <c r="S70" s="237"/>
      <c r="T70" s="237"/>
      <c r="U70" s="237"/>
      <c r="V70" s="237"/>
      <c r="W70" s="237"/>
      <c r="X70" s="237"/>
      <c r="Y70" s="237"/>
      <c r="Z70" s="233"/>
      <c r="AA70" s="68"/>
    </row>
    <row r="71" ht="16.5" customHeight="1">
      <c r="A71" s="218" t="str">
        <f t="shared" ref="A71:E71" si="26">A18</f>
        <v>PHP</v>
      </c>
      <c r="B71" s="218" t="str">
        <f t="shared" si="26"/>
        <v>₱</v>
      </c>
      <c r="C71" s="218" t="str">
        <f t="shared" si="26"/>
        <v>菲律賓披索</v>
      </c>
      <c r="D71" s="218" t="str">
        <f t="shared" si="26"/>
        <v/>
      </c>
      <c r="E71" s="235">
        <f t="shared" si="26"/>
        <v>1</v>
      </c>
      <c r="F71" s="236">
        <f t="shared" ref="F71:Q71" si="27">HLOOKUP(F18,$F$1:$AI$2,2) * $D$1 * $E71</f>
        <v>10</v>
      </c>
      <c r="G71" s="236">
        <f t="shared" si="27"/>
        <v>20</v>
      </c>
      <c r="H71" s="236">
        <f t="shared" si="27"/>
        <v>30</v>
      </c>
      <c r="I71" s="236">
        <f t="shared" si="27"/>
        <v>50</v>
      </c>
      <c r="J71" s="236">
        <f t="shared" si="27"/>
        <v>100</v>
      </c>
      <c r="K71" s="236">
        <f t="shared" si="27"/>
        <v>200</v>
      </c>
      <c r="L71" s="236">
        <f t="shared" si="27"/>
        <v>250</v>
      </c>
      <c r="M71" s="236">
        <f t="shared" si="27"/>
        <v>500</v>
      </c>
      <c r="N71" s="236">
        <f t="shared" si="27"/>
        <v>750</v>
      </c>
      <c r="O71" s="236">
        <f t="shared" si="27"/>
        <v>1000</v>
      </c>
      <c r="P71" s="236">
        <f t="shared" si="27"/>
        <v>1500</v>
      </c>
      <c r="Q71" s="236">
        <f t="shared" si="27"/>
        <v>2000</v>
      </c>
      <c r="R71" s="237"/>
      <c r="S71" s="237"/>
      <c r="T71" s="237"/>
      <c r="U71" s="237"/>
      <c r="V71" s="237"/>
      <c r="W71" s="237"/>
      <c r="X71" s="237"/>
      <c r="Y71" s="237"/>
      <c r="Z71" s="233"/>
      <c r="AA71" s="68"/>
    </row>
    <row r="72" ht="16.5" customHeight="1">
      <c r="A72" s="220" t="str">
        <f t="shared" ref="A72:E72" si="28">A19</f>
        <v>CNY</v>
      </c>
      <c r="B72" s="220" t="str">
        <f t="shared" si="28"/>
        <v>￥</v>
      </c>
      <c r="C72" s="220" t="str">
        <f t="shared" si="28"/>
        <v>人民幣</v>
      </c>
      <c r="D72" s="220" t="str">
        <f t="shared" si="28"/>
        <v/>
      </c>
      <c r="E72" s="238">
        <f t="shared" si="28"/>
        <v>0.2</v>
      </c>
      <c r="F72" s="239">
        <f t="shared" ref="F72:Q72" si="29">HLOOKUP(F19,$F$1:$AI$2,2) * $D$1 * $E72</f>
        <v>1</v>
      </c>
      <c r="G72" s="239">
        <f t="shared" si="29"/>
        <v>3</v>
      </c>
      <c r="H72" s="239">
        <f t="shared" si="29"/>
        <v>5</v>
      </c>
      <c r="I72" s="239">
        <f t="shared" si="29"/>
        <v>10</v>
      </c>
      <c r="J72" s="239">
        <f t="shared" si="29"/>
        <v>20</v>
      </c>
      <c r="K72" s="239">
        <f t="shared" si="29"/>
        <v>40</v>
      </c>
      <c r="L72" s="239">
        <f t="shared" si="29"/>
        <v>50</v>
      </c>
      <c r="M72" s="239">
        <f t="shared" si="29"/>
        <v>100</v>
      </c>
      <c r="N72" s="239">
        <f t="shared" si="29"/>
        <v>150</v>
      </c>
      <c r="O72" s="239">
        <f t="shared" si="29"/>
        <v>200</v>
      </c>
      <c r="P72" s="239">
        <f t="shared" si="29"/>
        <v>300</v>
      </c>
      <c r="Q72" s="239">
        <f t="shared" si="29"/>
        <v>400</v>
      </c>
      <c r="R72" s="237"/>
      <c r="S72" s="237"/>
      <c r="T72" s="237"/>
      <c r="U72" s="237"/>
      <c r="V72" s="237"/>
      <c r="W72" s="237"/>
      <c r="X72" s="237"/>
      <c r="Y72" s="237"/>
      <c r="Z72" s="233"/>
      <c r="AA72" s="68"/>
    </row>
    <row r="73" ht="16.5" customHeight="1">
      <c r="A73" s="227" t="str">
        <f t="shared" ref="A73:E73" si="30">A20</f>
        <v>MXN</v>
      </c>
      <c r="B73" s="227" t="str">
        <f t="shared" si="30"/>
        <v>Mex$</v>
      </c>
      <c r="C73" s="227" t="str">
        <f t="shared" si="30"/>
        <v>墨⻄哥披索</v>
      </c>
      <c r="D73" s="246" t="str">
        <f t="shared" si="30"/>
        <v/>
      </c>
      <c r="E73" s="240">
        <f t="shared" si="30"/>
        <v>0.5</v>
      </c>
      <c r="F73" s="247">
        <f t="shared" ref="F73:Q73" si="31">HLOOKUP(F20,$F$1:$AI$2,2) * $D$1 * $E73</f>
        <v>5</v>
      </c>
      <c r="G73" s="247">
        <f t="shared" si="31"/>
        <v>10</v>
      </c>
      <c r="H73" s="247">
        <f t="shared" si="31"/>
        <v>15</v>
      </c>
      <c r="I73" s="247">
        <f t="shared" si="31"/>
        <v>25</v>
      </c>
      <c r="J73" s="247">
        <f t="shared" si="31"/>
        <v>50</v>
      </c>
      <c r="K73" s="247">
        <f t="shared" si="31"/>
        <v>100</v>
      </c>
      <c r="L73" s="247">
        <f t="shared" si="31"/>
        <v>125</v>
      </c>
      <c r="M73" s="247">
        <f t="shared" si="31"/>
        <v>250</v>
      </c>
      <c r="N73" s="247">
        <f t="shared" si="31"/>
        <v>350</v>
      </c>
      <c r="O73" s="247">
        <f t="shared" si="31"/>
        <v>500</v>
      </c>
      <c r="P73" s="247">
        <f t="shared" si="31"/>
        <v>750</v>
      </c>
      <c r="Q73" s="247">
        <f t="shared" si="31"/>
        <v>800</v>
      </c>
      <c r="R73" s="237"/>
      <c r="S73" s="237"/>
      <c r="T73" s="237"/>
      <c r="U73" s="237"/>
      <c r="V73" s="237"/>
      <c r="W73" s="237"/>
      <c r="X73" s="237"/>
      <c r="Y73" s="237"/>
      <c r="Z73" s="248"/>
      <c r="AA73" s="68"/>
    </row>
    <row r="74" ht="16.5" customHeight="1">
      <c r="A74" s="220" t="str">
        <f t="shared" ref="A74:E74" si="32">A21</f>
        <v>BRL</v>
      </c>
      <c r="B74" s="220" t="str">
        <f t="shared" si="32"/>
        <v>R$</v>
      </c>
      <c r="C74" s="220" t="str">
        <f t="shared" si="32"/>
        <v>巴西雷亞爾</v>
      </c>
      <c r="D74" s="249" t="str">
        <f t="shared" si="32"/>
        <v/>
      </c>
      <c r="E74" s="238">
        <f t="shared" si="32"/>
        <v>0.2</v>
      </c>
      <c r="F74" s="239">
        <f t="shared" ref="F74:Q74" si="33">HLOOKUP(F21,$F$1:$AI$2,2) * $D$1 * $E74</f>
        <v>1</v>
      </c>
      <c r="G74" s="239">
        <f t="shared" si="33"/>
        <v>3</v>
      </c>
      <c r="H74" s="239">
        <f t="shared" si="33"/>
        <v>5</v>
      </c>
      <c r="I74" s="239">
        <f t="shared" si="33"/>
        <v>10</v>
      </c>
      <c r="J74" s="239">
        <f t="shared" si="33"/>
        <v>20</v>
      </c>
      <c r="K74" s="239">
        <f t="shared" si="33"/>
        <v>40</v>
      </c>
      <c r="L74" s="239">
        <f t="shared" si="33"/>
        <v>50</v>
      </c>
      <c r="M74" s="239">
        <f t="shared" si="33"/>
        <v>100</v>
      </c>
      <c r="N74" s="239">
        <f t="shared" si="33"/>
        <v>150</v>
      </c>
      <c r="O74" s="239">
        <f t="shared" si="33"/>
        <v>200</v>
      </c>
      <c r="P74" s="239">
        <f t="shared" si="33"/>
        <v>300</v>
      </c>
      <c r="Q74" s="239">
        <f t="shared" si="33"/>
        <v>400</v>
      </c>
      <c r="R74" s="237"/>
      <c r="S74" s="237"/>
      <c r="T74" s="237"/>
      <c r="U74" s="237"/>
      <c r="V74" s="237"/>
      <c r="W74" s="237"/>
      <c r="X74" s="237"/>
      <c r="Y74" s="237"/>
      <c r="Z74" s="248"/>
      <c r="AA74" s="68"/>
    </row>
    <row r="75" ht="16.5" customHeight="1">
      <c r="A75" s="223" t="str">
        <f t="shared" ref="A75:E75" si="34">A22</f>
        <v>AUD</v>
      </c>
      <c r="B75" s="223" t="str">
        <f t="shared" si="34"/>
        <v>A$</v>
      </c>
      <c r="C75" s="223" t="str">
        <f t="shared" si="34"/>
        <v>澳洲元</v>
      </c>
      <c r="D75" s="250" t="str">
        <f t="shared" si="34"/>
        <v/>
      </c>
      <c r="E75" s="251">
        <f t="shared" si="34"/>
        <v>0.05</v>
      </c>
      <c r="F75" s="252">
        <f t="shared" ref="F75:Q75" si="35">HLOOKUP(F22,$F$1:$AI$2,2) * $D$1 * $E75</f>
        <v>0.5</v>
      </c>
      <c r="G75" s="252">
        <f t="shared" si="35"/>
        <v>1</v>
      </c>
      <c r="H75" s="252">
        <f t="shared" si="35"/>
        <v>1.5</v>
      </c>
      <c r="I75" s="252">
        <f t="shared" si="35"/>
        <v>2.5</v>
      </c>
      <c r="J75" s="252">
        <f t="shared" si="35"/>
        <v>5</v>
      </c>
      <c r="K75" s="252">
        <f t="shared" si="35"/>
        <v>10</v>
      </c>
      <c r="L75" s="252">
        <f t="shared" si="35"/>
        <v>15</v>
      </c>
      <c r="M75" s="252">
        <f t="shared" si="35"/>
        <v>25</v>
      </c>
      <c r="N75" s="252">
        <f t="shared" si="35"/>
        <v>35</v>
      </c>
      <c r="O75" s="252">
        <f t="shared" si="35"/>
        <v>50</v>
      </c>
      <c r="P75" s="252">
        <f t="shared" si="35"/>
        <v>75</v>
      </c>
      <c r="Q75" s="252">
        <f t="shared" si="35"/>
        <v>80</v>
      </c>
      <c r="R75" s="237"/>
      <c r="S75" s="237"/>
      <c r="T75" s="237"/>
      <c r="U75" s="237"/>
      <c r="V75" s="237"/>
      <c r="W75" s="237"/>
      <c r="X75" s="237"/>
      <c r="Y75" s="237"/>
      <c r="Z75" s="248"/>
      <c r="AA75" s="68"/>
    </row>
    <row r="76" ht="16.5" customHeight="1">
      <c r="A76" s="218" t="str">
        <f t="shared" ref="A76:E76" si="36">A23</f>
        <v>JPY</v>
      </c>
      <c r="B76" s="218" t="str">
        <f t="shared" si="36"/>
        <v>￥</v>
      </c>
      <c r="C76" s="218" t="str">
        <f t="shared" si="36"/>
        <v>日圓</v>
      </c>
      <c r="D76" s="253" t="str">
        <f t="shared" si="36"/>
        <v/>
      </c>
      <c r="E76" s="254">
        <f t="shared" si="36"/>
        <v>2</v>
      </c>
      <c r="F76" s="255">
        <f t="shared" ref="F76:Q76" si="37">HLOOKUP(F23,$F$1:$AI$2,2) * $D$1 * $E76</f>
        <v>20</v>
      </c>
      <c r="G76" s="255">
        <f t="shared" si="37"/>
        <v>40</v>
      </c>
      <c r="H76" s="255">
        <f t="shared" si="37"/>
        <v>60</v>
      </c>
      <c r="I76" s="255">
        <f t="shared" si="37"/>
        <v>100</v>
      </c>
      <c r="J76" s="255">
        <f t="shared" si="37"/>
        <v>200</v>
      </c>
      <c r="K76" s="255">
        <f t="shared" si="37"/>
        <v>400</v>
      </c>
      <c r="L76" s="255">
        <f t="shared" si="37"/>
        <v>500</v>
      </c>
      <c r="M76" s="255">
        <f t="shared" si="37"/>
        <v>1000</v>
      </c>
      <c r="N76" s="255">
        <f t="shared" si="37"/>
        <v>1500</v>
      </c>
      <c r="O76" s="255">
        <f t="shared" si="37"/>
        <v>2000</v>
      </c>
      <c r="P76" s="255">
        <f t="shared" si="37"/>
        <v>3000</v>
      </c>
      <c r="Q76" s="255">
        <f t="shared" si="37"/>
        <v>4000</v>
      </c>
      <c r="R76" s="237"/>
      <c r="S76" s="237"/>
      <c r="T76" s="237"/>
      <c r="U76" s="237"/>
      <c r="V76" s="237"/>
      <c r="W76" s="237"/>
      <c r="X76" s="237"/>
      <c r="Y76" s="237"/>
      <c r="Z76" s="248"/>
      <c r="AA76" s="68"/>
    </row>
    <row r="77" ht="16.5" customHeight="1">
      <c r="A77" s="218" t="str">
        <f t="shared" ref="A77:E77" si="38">A24</f>
        <v>KRW</v>
      </c>
      <c r="B77" s="218" t="str">
        <f t="shared" si="38"/>
        <v>₩</v>
      </c>
      <c r="C77" s="218" t="str">
        <f t="shared" si="38"/>
        <v>韓圓</v>
      </c>
      <c r="D77" s="253" t="str">
        <f t="shared" si="38"/>
        <v/>
      </c>
      <c r="E77" s="254">
        <f t="shared" si="38"/>
        <v>20</v>
      </c>
      <c r="F77" s="255">
        <f t="shared" ref="F77:Q77" si="39">HLOOKUP(F24,$F$1:$AI$2,2) * $D$1 * $E77</f>
        <v>200</v>
      </c>
      <c r="G77" s="255">
        <f t="shared" si="39"/>
        <v>400</v>
      </c>
      <c r="H77" s="255">
        <f t="shared" si="39"/>
        <v>600</v>
      </c>
      <c r="I77" s="255">
        <f t="shared" si="39"/>
        <v>1000</v>
      </c>
      <c r="J77" s="255">
        <f t="shared" si="39"/>
        <v>2000</v>
      </c>
      <c r="K77" s="255">
        <f t="shared" si="39"/>
        <v>4000</v>
      </c>
      <c r="L77" s="255">
        <f t="shared" si="39"/>
        <v>5000</v>
      </c>
      <c r="M77" s="255">
        <f t="shared" si="39"/>
        <v>10000</v>
      </c>
      <c r="N77" s="255">
        <f t="shared" si="39"/>
        <v>15000</v>
      </c>
      <c r="O77" s="255">
        <f t="shared" si="39"/>
        <v>20000</v>
      </c>
      <c r="P77" s="255">
        <f t="shared" si="39"/>
        <v>30000</v>
      </c>
      <c r="Q77" s="255">
        <f t="shared" si="39"/>
        <v>40000</v>
      </c>
      <c r="R77" s="237"/>
      <c r="S77" s="237"/>
      <c r="T77" s="237"/>
      <c r="U77" s="237"/>
      <c r="V77" s="237"/>
      <c r="W77" s="237"/>
      <c r="X77" s="237"/>
      <c r="Y77" s="237"/>
      <c r="Z77" s="248"/>
      <c r="AA77" s="68"/>
    </row>
    <row r="78" ht="16.5" customHeight="1">
      <c r="A78" s="218" t="str">
        <f t="shared" ref="A78:E78" si="40">A25</f>
        <v>CLP</v>
      </c>
      <c r="B78" s="218" t="str">
        <f t="shared" si="40"/>
        <v>$</v>
      </c>
      <c r="C78" s="218" t="str">
        <f t="shared" si="40"/>
        <v>智利披索</v>
      </c>
      <c r="D78" s="253" t="str">
        <f t="shared" si="40"/>
        <v/>
      </c>
      <c r="E78" s="254">
        <f t="shared" si="40"/>
        <v>20</v>
      </c>
      <c r="F78" s="255">
        <f t="shared" ref="F78:Q78" si="41">HLOOKUP(F25,$F$1:$AI$2,2) * $D$1 * $E78</f>
        <v>200</v>
      </c>
      <c r="G78" s="255">
        <f t="shared" si="41"/>
        <v>400</v>
      </c>
      <c r="H78" s="255">
        <f t="shared" si="41"/>
        <v>600</v>
      </c>
      <c r="I78" s="255">
        <f t="shared" si="41"/>
        <v>1000</v>
      </c>
      <c r="J78" s="255">
        <f t="shared" si="41"/>
        <v>2000</v>
      </c>
      <c r="K78" s="255">
        <f t="shared" si="41"/>
        <v>4000</v>
      </c>
      <c r="L78" s="255">
        <f t="shared" si="41"/>
        <v>5000</v>
      </c>
      <c r="M78" s="255">
        <f t="shared" si="41"/>
        <v>10000</v>
      </c>
      <c r="N78" s="255">
        <f t="shared" si="41"/>
        <v>15000</v>
      </c>
      <c r="O78" s="255">
        <f t="shared" si="41"/>
        <v>20000</v>
      </c>
      <c r="P78" s="255">
        <f t="shared" si="41"/>
        <v>30000</v>
      </c>
      <c r="Q78" s="255">
        <f t="shared" si="41"/>
        <v>40000</v>
      </c>
      <c r="R78" s="237"/>
      <c r="S78" s="237"/>
      <c r="T78" s="237"/>
      <c r="U78" s="237"/>
      <c r="V78" s="237"/>
      <c r="W78" s="237"/>
      <c r="X78" s="237"/>
      <c r="Y78" s="237"/>
      <c r="Z78" s="248"/>
      <c r="AA78" s="68"/>
    </row>
    <row r="79" ht="16.5" customHeight="1">
      <c r="A79" s="223" t="str">
        <f t="shared" ref="A79:E79" si="42">A26</f>
        <v>MMKO</v>
      </c>
      <c r="B79" s="223" t="str">
        <f t="shared" si="42"/>
        <v>K</v>
      </c>
      <c r="C79" s="223" t="str">
        <f t="shared" si="42"/>
        <v>緬甸元</v>
      </c>
      <c r="D79" s="250" t="str">
        <f t="shared" si="42"/>
        <v/>
      </c>
      <c r="E79" s="251">
        <f t="shared" si="42"/>
        <v>20</v>
      </c>
      <c r="F79" s="255">
        <f t="shared" ref="F79:Q79" si="43">HLOOKUP(F26,$F$1:$AI$2,2) * $D$1 * $E79</f>
        <v>200</v>
      </c>
      <c r="G79" s="255">
        <f t="shared" si="43"/>
        <v>400</v>
      </c>
      <c r="H79" s="255">
        <f t="shared" si="43"/>
        <v>600</v>
      </c>
      <c r="I79" s="255">
        <f t="shared" si="43"/>
        <v>1000</v>
      </c>
      <c r="J79" s="255">
        <f t="shared" si="43"/>
        <v>2000</v>
      </c>
      <c r="K79" s="255">
        <f t="shared" si="43"/>
        <v>4000</v>
      </c>
      <c r="L79" s="255">
        <f t="shared" si="43"/>
        <v>5000</v>
      </c>
      <c r="M79" s="255">
        <f t="shared" si="43"/>
        <v>10000</v>
      </c>
      <c r="N79" s="255">
        <f t="shared" si="43"/>
        <v>15000</v>
      </c>
      <c r="O79" s="255">
        <f t="shared" si="43"/>
        <v>20000</v>
      </c>
      <c r="P79" s="255">
        <f t="shared" si="43"/>
        <v>30000</v>
      </c>
      <c r="Q79" s="255">
        <f t="shared" si="43"/>
        <v>40000</v>
      </c>
      <c r="R79" s="237"/>
      <c r="S79" s="237"/>
      <c r="T79" s="237"/>
      <c r="U79" s="237"/>
      <c r="V79" s="237"/>
      <c r="W79" s="237"/>
      <c r="X79" s="237"/>
      <c r="Y79" s="237"/>
      <c r="Z79" s="248"/>
      <c r="AA79" s="68"/>
    </row>
    <row r="80" ht="16.5" customHeight="1">
      <c r="A80" s="218" t="str">
        <f t="shared" ref="A80:E80" si="44">A27</f>
        <v>IDRO</v>
      </c>
      <c r="B80" s="218" t="str">
        <f t="shared" si="44"/>
        <v>Rp</v>
      </c>
      <c r="C80" s="218" t="str">
        <f t="shared" si="44"/>
        <v>印尼盧比</v>
      </c>
      <c r="D80" s="253" t="str">
        <f t="shared" si="44"/>
        <v/>
      </c>
      <c r="E80" s="254">
        <f t="shared" si="44"/>
        <v>20</v>
      </c>
      <c r="F80" s="255">
        <f t="shared" ref="F80:Q80" si="45">HLOOKUP(F27,$F$1:$AI$2,2) * $D$1 * $E80</f>
        <v>200</v>
      </c>
      <c r="G80" s="255">
        <f t="shared" si="45"/>
        <v>400</v>
      </c>
      <c r="H80" s="255">
        <f t="shared" si="45"/>
        <v>600</v>
      </c>
      <c r="I80" s="255">
        <f t="shared" si="45"/>
        <v>1000</v>
      </c>
      <c r="J80" s="255">
        <f t="shared" si="45"/>
        <v>2000</v>
      </c>
      <c r="K80" s="255">
        <f t="shared" si="45"/>
        <v>4000</v>
      </c>
      <c r="L80" s="255">
        <f t="shared" si="45"/>
        <v>5000</v>
      </c>
      <c r="M80" s="255">
        <f t="shared" si="45"/>
        <v>10000</v>
      </c>
      <c r="N80" s="255">
        <f t="shared" si="45"/>
        <v>15000</v>
      </c>
      <c r="O80" s="255">
        <f t="shared" si="45"/>
        <v>20000</v>
      </c>
      <c r="P80" s="255">
        <f t="shared" si="45"/>
        <v>30000</v>
      </c>
      <c r="Q80" s="255">
        <f t="shared" si="45"/>
        <v>40000</v>
      </c>
      <c r="R80" s="237"/>
      <c r="S80" s="237"/>
      <c r="T80" s="237"/>
      <c r="U80" s="237"/>
      <c r="V80" s="237"/>
      <c r="W80" s="237"/>
      <c r="X80" s="237"/>
      <c r="Y80" s="237"/>
      <c r="Z80" s="248"/>
      <c r="AA80" s="68"/>
    </row>
    <row r="81" ht="16.5" customHeight="1">
      <c r="A81" s="218" t="str">
        <f t="shared" ref="A81:E81" si="46">A28</f>
        <v>RUB</v>
      </c>
      <c r="B81" s="218" t="str">
        <f t="shared" si="46"/>
        <v>₽</v>
      </c>
      <c r="C81" s="218" t="str">
        <f t="shared" si="46"/>
        <v>盧布</v>
      </c>
      <c r="D81" s="253" t="str">
        <f t="shared" si="46"/>
        <v/>
      </c>
      <c r="E81" s="235">
        <f t="shared" si="46"/>
        <v>1</v>
      </c>
      <c r="F81" s="236">
        <f t="shared" ref="F81:Q81" si="47">HLOOKUP(F28,$F$1:$AI$2,2) * $D$1 * $E81</f>
        <v>10</v>
      </c>
      <c r="G81" s="236">
        <f t="shared" si="47"/>
        <v>20</v>
      </c>
      <c r="H81" s="236">
        <f t="shared" si="47"/>
        <v>30</v>
      </c>
      <c r="I81" s="236">
        <f t="shared" si="47"/>
        <v>50</v>
      </c>
      <c r="J81" s="236">
        <f t="shared" si="47"/>
        <v>100</v>
      </c>
      <c r="K81" s="236">
        <f t="shared" si="47"/>
        <v>200</v>
      </c>
      <c r="L81" s="236">
        <f t="shared" si="47"/>
        <v>250</v>
      </c>
      <c r="M81" s="236">
        <f t="shared" si="47"/>
        <v>500</v>
      </c>
      <c r="N81" s="236">
        <f t="shared" si="47"/>
        <v>750</v>
      </c>
      <c r="O81" s="236">
        <f t="shared" si="47"/>
        <v>1000</v>
      </c>
      <c r="P81" s="236">
        <f t="shared" si="47"/>
        <v>1500</v>
      </c>
      <c r="Q81" s="236">
        <f t="shared" si="47"/>
        <v>2000</v>
      </c>
      <c r="R81" s="237"/>
      <c r="S81" s="237"/>
      <c r="T81" s="237"/>
      <c r="U81" s="237"/>
      <c r="V81" s="237"/>
      <c r="W81" s="237"/>
      <c r="X81" s="237"/>
      <c r="Y81" s="237"/>
      <c r="Z81" s="248"/>
      <c r="AA81" s="68"/>
    </row>
    <row r="82" ht="16.5" customHeight="1">
      <c r="A82" s="223" t="str">
        <f t="shared" ref="A82:E82" si="48">A29</f>
        <v>LKR</v>
      </c>
      <c r="B82" s="223" t="str">
        <f t="shared" si="48"/>
        <v>₨</v>
      </c>
      <c r="C82" s="223" t="str">
        <f t="shared" si="48"/>
        <v>斯里蘭卡盧比</v>
      </c>
      <c r="D82" s="250" t="str">
        <f t="shared" si="48"/>
        <v/>
      </c>
      <c r="E82" s="235">
        <f t="shared" si="48"/>
        <v>1</v>
      </c>
      <c r="F82" s="236">
        <f t="shared" ref="F82:Q82" si="49">HLOOKUP(F29,$F$1:$AI$2,2) * $D$1 * $E82</f>
        <v>10</v>
      </c>
      <c r="G82" s="236">
        <f t="shared" si="49"/>
        <v>20</v>
      </c>
      <c r="H82" s="236">
        <f t="shared" si="49"/>
        <v>30</v>
      </c>
      <c r="I82" s="236">
        <f t="shared" si="49"/>
        <v>50</v>
      </c>
      <c r="J82" s="236">
        <f t="shared" si="49"/>
        <v>100</v>
      </c>
      <c r="K82" s="236">
        <f t="shared" si="49"/>
        <v>200</v>
      </c>
      <c r="L82" s="236">
        <f t="shared" si="49"/>
        <v>250</v>
      </c>
      <c r="M82" s="236">
        <f t="shared" si="49"/>
        <v>500</v>
      </c>
      <c r="N82" s="236">
        <f t="shared" si="49"/>
        <v>750</v>
      </c>
      <c r="O82" s="236">
        <f t="shared" si="49"/>
        <v>1000</v>
      </c>
      <c r="P82" s="236">
        <f t="shared" si="49"/>
        <v>1500</v>
      </c>
      <c r="Q82" s="236">
        <f t="shared" si="49"/>
        <v>2000</v>
      </c>
      <c r="R82" s="237"/>
      <c r="S82" s="237"/>
      <c r="T82" s="237"/>
      <c r="U82" s="237"/>
      <c r="V82" s="237"/>
      <c r="W82" s="237"/>
      <c r="X82" s="237"/>
      <c r="Y82" s="237"/>
      <c r="Z82" s="248"/>
      <c r="AA82" s="68"/>
    </row>
    <row r="83" ht="16.5" customHeight="1">
      <c r="A83" s="218" t="str">
        <f t="shared" ref="A83:E83" si="50">A30</f>
        <v>ETB</v>
      </c>
      <c r="B83" s="218" t="str">
        <f t="shared" si="50"/>
        <v>Br‎</v>
      </c>
      <c r="C83" s="218" t="str">
        <f t="shared" si="50"/>
        <v>衣索比亞比爾</v>
      </c>
      <c r="D83" s="253" t="str">
        <f t="shared" si="50"/>
        <v/>
      </c>
      <c r="E83" s="235">
        <f t="shared" si="50"/>
        <v>1</v>
      </c>
      <c r="F83" s="236">
        <f t="shared" ref="F83:Q83" si="51">HLOOKUP(F30,$F$1:$AI$2,2) * $D$1 * $E83</f>
        <v>10</v>
      </c>
      <c r="G83" s="236">
        <f t="shared" si="51"/>
        <v>20</v>
      </c>
      <c r="H83" s="236">
        <f t="shared" si="51"/>
        <v>30</v>
      </c>
      <c r="I83" s="236">
        <f t="shared" si="51"/>
        <v>50</v>
      </c>
      <c r="J83" s="236">
        <f t="shared" si="51"/>
        <v>100</v>
      </c>
      <c r="K83" s="236">
        <f t="shared" si="51"/>
        <v>200</v>
      </c>
      <c r="L83" s="236">
        <f t="shared" si="51"/>
        <v>250</v>
      </c>
      <c r="M83" s="236">
        <f t="shared" si="51"/>
        <v>500</v>
      </c>
      <c r="N83" s="236">
        <f t="shared" si="51"/>
        <v>750</v>
      </c>
      <c r="O83" s="236">
        <f t="shared" si="51"/>
        <v>1000</v>
      </c>
      <c r="P83" s="236">
        <f t="shared" si="51"/>
        <v>1500</v>
      </c>
      <c r="Q83" s="236">
        <f t="shared" si="51"/>
        <v>2000</v>
      </c>
      <c r="R83" s="237"/>
      <c r="S83" s="237"/>
      <c r="T83" s="237"/>
      <c r="U83" s="237"/>
      <c r="V83" s="237"/>
      <c r="W83" s="237"/>
      <c r="X83" s="237"/>
      <c r="Y83" s="237"/>
      <c r="Z83" s="248"/>
      <c r="AA83" s="68"/>
    </row>
    <row r="84" ht="16.5" customHeight="1">
      <c r="A84" s="218" t="str">
        <f t="shared" ref="A84:E84" si="52">A31</f>
        <v>UGX</v>
      </c>
      <c r="B84" s="218" t="str">
        <f t="shared" si="52"/>
        <v>USh</v>
      </c>
      <c r="C84" s="218" t="str">
        <f t="shared" si="52"/>
        <v>烏干達先令</v>
      </c>
      <c r="D84" s="253" t="str">
        <f t="shared" si="52"/>
        <v/>
      </c>
      <c r="E84" s="254">
        <f t="shared" si="52"/>
        <v>20</v>
      </c>
      <c r="F84" s="255">
        <f t="shared" ref="F84:Q84" si="53">HLOOKUP(F31,$F$1:$AI$2,2) * $D$1 * $E84</f>
        <v>200</v>
      </c>
      <c r="G84" s="255">
        <f t="shared" si="53"/>
        <v>400</v>
      </c>
      <c r="H84" s="255">
        <f t="shared" si="53"/>
        <v>600</v>
      </c>
      <c r="I84" s="255">
        <f t="shared" si="53"/>
        <v>1000</v>
      </c>
      <c r="J84" s="255">
        <f t="shared" si="53"/>
        <v>2000</v>
      </c>
      <c r="K84" s="255">
        <f t="shared" si="53"/>
        <v>4000</v>
      </c>
      <c r="L84" s="255">
        <f t="shared" si="53"/>
        <v>5000</v>
      </c>
      <c r="M84" s="255">
        <f t="shared" si="53"/>
        <v>10000</v>
      </c>
      <c r="N84" s="255">
        <f t="shared" si="53"/>
        <v>15000</v>
      </c>
      <c r="O84" s="255">
        <f t="shared" si="53"/>
        <v>20000</v>
      </c>
      <c r="P84" s="255">
        <f t="shared" si="53"/>
        <v>30000</v>
      </c>
      <c r="Q84" s="255">
        <f t="shared" si="53"/>
        <v>40000</v>
      </c>
      <c r="R84" s="237"/>
      <c r="S84" s="237"/>
      <c r="T84" s="237"/>
      <c r="U84" s="237"/>
      <c r="V84" s="237"/>
      <c r="W84" s="237"/>
      <c r="X84" s="237"/>
      <c r="Y84" s="237"/>
      <c r="Z84" s="248"/>
      <c r="AA84" s="68"/>
    </row>
    <row r="85" ht="16.5" customHeight="1">
      <c r="A85" s="225" t="str">
        <f t="shared" ref="A85:E85" si="54">A32</f>
        <v>EUR</v>
      </c>
      <c r="B85" s="225" t="str">
        <f t="shared" si="54"/>
        <v>€</v>
      </c>
      <c r="C85" s="225" t="str">
        <f t="shared" si="54"/>
        <v>歐元</v>
      </c>
      <c r="D85" s="225" t="str">
        <f t="shared" si="54"/>
        <v/>
      </c>
      <c r="E85" s="244">
        <f t="shared" si="54"/>
        <v>0.05</v>
      </c>
      <c r="F85" s="245">
        <f t="shared" ref="F85:Q85" si="55">HLOOKUP(F32,$F$1:$AI$2,2) * $D$1 * $E85</f>
        <v>0.5</v>
      </c>
      <c r="G85" s="245">
        <f t="shared" si="55"/>
        <v>1</v>
      </c>
      <c r="H85" s="245">
        <f t="shared" si="55"/>
        <v>1.5</v>
      </c>
      <c r="I85" s="245">
        <f t="shared" si="55"/>
        <v>2.5</v>
      </c>
      <c r="J85" s="245">
        <f t="shared" si="55"/>
        <v>5</v>
      </c>
      <c r="K85" s="245">
        <f t="shared" si="55"/>
        <v>10</v>
      </c>
      <c r="L85" s="245">
        <f t="shared" si="55"/>
        <v>15</v>
      </c>
      <c r="M85" s="245">
        <f t="shared" si="55"/>
        <v>25</v>
      </c>
      <c r="N85" s="245">
        <f t="shared" si="55"/>
        <v>35</v>
      </c>
      <c r="O85" s="245">
        <f t="shared" si="55"/>
        <v>50</v>
      </c>
      <c r="P85" s="245">
        <f t="shared" si="55"/>
        <v>75</v>
      </c>
      <c r="Q85" s="245">
        <f t="shared" si="55"/>
        <v>80</v>
      </c>
      <c r="R85" s="237"/>
      <c r="S85" s="237"/>
      <c r="T85" s="237"/>
      <c r="U85" s="237"/>
      <c r="V85" s="237"/>
      <c r="W85" s="237"/>
      <c r="X85" s="237"/>
      <c r="Y85" s="237"/>
      <c r="Z85" s="248"/>
      <c r="AA85" s="68"/>
    </row>
    <row r="86" ht="16.5" customHeight="1">
      <c r="A86" s="218" t="str">
        <f t="shared" ref="A86:E86" si="56">A33</f>
        <v>ARS</v>
      </c>
      <c r="B86" s="218" t="str">
        <f t="shared" si="56"/>
        <v>$</v>
      </c>
      <c r="C86" s="218" t="str">
        <f t="shared" si="56"/>
        <v>阿根廷披索</v>
      </c>
      <c r="D86" s="218" t="str">
        <f t="shared" si="56"/>
        <v/>
      </c>
      <c r="E86" s="235">
        <f t="shared" si="56"/>
        <v>1</v>
      </c>
      <c r="F86" s="236">
        <f t="shared" ref="F86:Q86" si="57">HLOOKUP(F33,$F$1:$AI$2,2) * $D$1 * $E86</f>
        <v>10</v>
      </c>
      <c r="G86" s="236">
        <f t="shared" si="57"/>
        <v>20</v>
      </c>
      <c r="H86" s="236">
        <f t="shared" si="57"/>
        <v>30</v>
      </c>
      <c r="I86" s="236">
        <f t="shared" si="57"/>
        <v>50</v>
      </c>
      <c r="J86" s="236">
        <f t="shared" si="57"/>
        <v>100</v>
      </c>
      <c r="K86" s="236">
        <f t="shared" si="57"/>
        <v>200</v>
      </c>
      <c r="L86" s="236">
        <f t="shared" si="57"/>
        <v>250</v>
      </c>
      <c r="M86" s="236">
        <f t="shared" si="57"/>
        <v>500</v>
      </c>
      <c r="N86" s="236">
        <f t="shared" si="57"/>
        <v>750</v>
      </c>
      <c r="O86" s="236">
        <f t="shared" si="57"/>
        <v>1000</v>
      </c>
      <c r="P86" s="236">
        <f t="shared" si="57"/>
        <v>1500</v>
      </c>
      <c r="Q86" s="236">
        <f t="shared" si="57"/>
        <v>2000</v>
      </c>
      <c r="R86" s="237"/>
      <c r="S86" s="237"/>
      <c r="T86" s="237"/>
      <c r="U86" s="237"/>
      <c r="V86" s="237"/>
      <c r="W86" s="237"/>
      <c r="X86" s="237"/>
      <c r="Y86" s="237"/>
      <c r="Z86" s="248"/>
      <c r="AA86" s="68"/>
    </row>
    <row r="87" ht="16.5" customHeight="1">
      <c r="A87" s="218" t="str">
        <f t="shared" ref="A87:E87" si="58">A34</f>
        <v>NGN</v>
      </c>
      <c r="B87" s="218" t="str">
        <f t="shared" si="58"/>
        <v>₦</v>
      </c>
      <c r="C87" s="218" t="str">
        <f t="shared" si="58"/>
        <v>奈及利亞奈拉</v>
      </c>
      <c r="D87" s="218" t="str">
        <f t="shared" si="58"/>
        <v/>
      </c>
      <c r="E87" s="254">
        <f t="shared" si="58"/>
        <v>20</v>
      </c>
      <c r="F87" s="255">
        <f t="shared" ref="F87:Q87" si="59">HLOOKUP(F34,$F$1:$AI$2,2) * $D$1 * $E87</f>
        <v>200</v>
      </c>
      <c r="G87" s="255">
        <f t="shared" si="59"/>
        <v>400</v>
      </c>
      <c r="H87" s="255">
        <f t="shared" si="59"/>
        <v>600</v>
      </c>
      <c r="I87" s="255">
        <f t="shared" si="59"/>
        <v>1000</v>
      </c>
      <c r="J87" s="255">
        <f t="shared" si="59"/>
        <v>2000</v>
      </c>
      <c r="K87" s="255">
        <f t="shared" si="59"/>
        <v>4000</v>
      </c>
      <c r="L87" s="255">
        <f t="shared" si="59"/>
        <v>5000</v>
      </c>
      <c r="M87" s="255">
        <f t="shared" si="59"/>
        <v>10000</v>
      </c>
      <c r="N87" s="255">
        <f t="shared" si="59"/>
        <v>15000</v>
      </c>
      <c r="O87" s="255">
        <f t="shared" si="59"/>
        <v>20000</v>
      </c>
      <c r="P87" s="255">
        <f t="shared" si="59"/>
        <v>30000</v>
      </c>
      <c r="Q87" s="255">
        <f t="shared" si="59"/>
        <v>40000</v>
      </c>
      <c r="R87" s="237"/>
      <c r="S87" s="237"/>
      <c r="T87" s="237"/>
      <c r="U87" s="237"/>
      <c r="V87" s="237"/>
      <c r="W87" s="237"/>
      <c r="X87" s="237"/>
      <c r="Y87" s="237"/>
      <c r="Z87" s="248"/>
      <c r="AA87" s="68"/>
    </row>
    <row r="88" ht="16.5" customHeight="1">
      <c r="A88" s="218" t="str">
        <f t="shared" ref="A88:E88" si="60">A35</f>
        <v>KES</v>
      </c>
      <c r="B88" s="218" t="str">
        <f t="shared" si="60"/>
        <v>KSh</v>
      </c>
      <c r="C88" s="218" t="str">
        <f t="shared" si="60"/>
        <v>肯亞先令</v>
      </c>
      <c r="D88" s="218" t="str">
        <f t="shared" si="60"/>
        <v/>
      </c>
      <c r="E88" s="254">
        <f t="shared" si="60"/>
        <v>2</v>
      </c>
      <c r="F88" s="255">
        <f t="shared" ref="F88:Q88" si="61">HLOOKUP(F35,$F$1:$AI$2,2) * $D$1 * $E88</f>
        <v>20</v>
      </c>
      <c r="G88" s="255">
        <f t="shared" si="61"/>
        <v>40</v>
      </c>
      <c r="H88" s="255">
        <f t="shared" si="61"/>
        <v>60</v>
      </c>
      <c r="I88" s="255">
        <f t="shared" si="61"/>
        <v>100</v>
      </c>
      <c r="J88" s="255">
        <f t="shared" si="61"/>
        <v>200</v>
      </c>
      <c r="K88" s="255">
        <f t="shared" si="61"/>
        <v>400</v>
      </c>
      <c r="L88" s="255">
        <f t="shared" si="61"/>
        <v>500</v>
      </c>
      <c r="M88" s="255">
        <f t="shared" si="61"/>
        <v>1000</v>
      </c>
      <c r="N88" s="255">
        <f t="shared" si="61"/>
        <v>1500</v>
      </c>
      <c r="O88" s="255">
        <f t="shared" si="61"/>
        <v>2000</v>
      </c>
      <c r="P88" s="255">
        <f t="shared" si="61"/>
        <v>3000</v>
      </c>
      <c r="Q88" s="255">
        <f t="shared" si="61"/>
        <v>4000</v>
      </c>
      <c r="R88" s="237"/>
      <c r="S88" s="237"/>
      <c r="T88" s="237"/>
      <c r="U88" s="237"/>
      <c r="V88" s="237"/>
      <c r="W88" s="237"/>
      <c r="X88" s="237"/>
      <c r="Y88" s="237"/>
      <c r="Z88" s="248"/>
      <c r="AA88" s="68"/>
    </row>
    <row r="89" ht="16.5" customHeight="1">
      <c r="A89" s="227" t="str">
        <f t="shared" ref="A89:E89" si="62">A36</f>
        <v>ZAR</v>
      </c>
      <c r="B89" s="227" t="str">
        <f t="shared" si="62"/>
        <v>R</v>
      </c>
      <c r="C89" s="227" t="str">
        <f t="shared" si="62"/>
        <v>南非鍰</v>
      </c>
      <c r="D89" s="246" t="str">
        <f t="shared" si="62"/>
        <v/>
      </c>
      <c r="E89" s="240">
        <f t="shared" si="62"/>
        <v>0.5</v>
      </c>
      <c r="F89" s="247">
        <f t="shared" ref="F89:Q89" si="63">HLOOKUP(F36,$F$1:$AI$2,2) * $D$1 * $E89</f>
        <v>5</v>
      </c>
      <c r="G89" s="247">
        <f t="shared" si="63"/>
        <v>10</v>
      </c>
      <c r="H89" s="247">
        <f t="shared" si="63"/>
        <v>15</v>
      </c>
      <c r="I89" s="247">
        <f t="shared" si="63"/>
        <v>25</v>
      </c>
      <c r="J89" s="247">
        <f t="shared" si="63"/>
        <v>50</v>
      </c>
      <c r="K89" s="247">
        <f t="shared" si="63"/>
        <v>100</v>
      </c>
      <c r="L89" s="247">
        <f t="shared" si="63"/>
        <v>125</v>
      </c>
      <c r="M89" s="247">
        <f t="shared" si="63"/>
        <v>250</v>
      </c>
      <c r="N89" s="247">
        <f t="shared" si="63"/>
        <v>350</v>
      </c>
      <c r="O89" s="247">
        <f t="shared" si="63"/>
        <v>500</v>
      </c>
      <c r="P89" s="247">
        <f t="shared" si="63"/>
        <v>750</v>
      </c>
      <c r="Q89" s="247">
        <f t="shared" si="63"/>
        <v>800</v>
      </c>
      <c r="R89" s="237"/>
      <c r="S89" s="237"/>
      <c r="T89" s="237"/>
      <c r="U89" s="237"/>
      <c r="V89" s="237"/>
      <c r="W89" s="237"/>
      <c r="X89" s="237"/>
      <c r="Y89" s="237"/>
      <c r="Z89" s="248"/>
      <c r="AA89" s="68"/>
    </row>
    <row r="90" ht="16.5" customHeight="1">
      <c r="A90" s="227" t="str">
        <f t="shared" ref="A90:E90" si="64">A37</f>
        <v>TRY</v>
      </c>
      <c r="B90" s="227" t="str">
        <f t="shared" si="64"/>
        <v>₺</v>
      </c>
      <c r="C90" s="227" t="str">
        <f t="shared" si="64"/>
        <v>土耳其里拉</v>
      </c>
      <c r="D90" s="246" t="str">
        <f t="shared" si="64"/>
        <v/>
      </c>
      <c r="E90" s="240">
        <f t="shared" si="64"/>
        <v>0.5</v>
      </c>
      <c r="F90" s="241">
        <f t="shared" ref="F90:Q90" si="65">HLOOKUP(F37,$F$1:$AI$2,2) * $D$1 * $E90</f>
        <v>5</v>
      </c>
      <c r="G90" s="241">
        <f t="shared" si="65"/>
        <v>10</v>
      </c>
      <c r="H90" s="241">
        <f t="shared" si="65"/>
        <v>15</v>
      </c>
      <c r="I90" s="241">
        <f t="shared" si="65"/>
        <v>25</v>
      </c>
      <c r="J90" s="241">
        <f t="shared" si="65"/>
        <v>50</v>
      </c>
      <c r="K90" s="241">
        <f t="shared" si="65"/>
        <v>100</v>
      </c>
      <c r="L90" s="241">
        <f t="shared" si="65"/>
        <v>125</v>
      </c>
      <c r="M90" s="241">
        <f t="shared" si="65"/>
        <v>250</v>
      </c>
      <c r="N90" s="241">
        <f t="shared" si="65"/>
        <v>350</v>
      </c>
      <c r="O90" s="241">
        <f t="shared" si="65"/>
        <v>500</v>
      </c>
      <c r="P90" s="241">
        <f t="shared" si="65"/>
        <v>750</v>
      </c>
      <c r="Q90" s="241">
        <f t="shared" si="65"/>
        <v>800</v>
      </c>
      <c r="R90" s="237"/>
      <c r="S90" s="237"/>
      <c r="T90" s="237"/>
      <c r="U90" s="237"/>
      <c r="V90" s="237"/>
      <c r="W90" s="237"/>
      <c r="X90" s="237"/>
      <c r="Y90" s="237"/>
      <c r="Z90" s="248"/>
      <c r="AA90" s="68"/>
    </row>
    <row r="91" ht="16.5" customHeight="1">
      <c r="A91" s="225" t="str">
        <f t="shared" ref="A91:E91" si="66">A38</f>
        <v>GBP</v>
      </c>
      <c r="B91" s="225" t="str">
        <f t="shared" si="66"/>
        <v>£</v>
      </c>
      <c r="C91" s="225" t="str">
        <f t="shared" si="66"/>
        <v>英鎊</v>
      </c>
      <c r="D91" s="256" t="str">
        <f t="shared" si="66"/>
        <v/>
      </c>
      <c r="E91" s="244">
        <f t="shared" si="66"/>
        <v>0.05</v>
      </c>
      <c r="F91" s="245">
        <f t="shared" ref="F91:Q91" si="67">HLOOKUP(F38,$F$1:$AI$2,2) * $D$1 * $E91</f>
        <v>0.5</v>
      </c>
      <c r="G91" s="245">
        <f t="shared" si="67"/>
        <v>1</v>
      </c>
      <c r="H91" s="245">
        <f t="shared" si="67"/>
        <v>1.5</v>
      </c>
      <c r="I91" s="245">
        <f t="shared" si="67"/>
        <v>2.5</v>
      </c>
      <c r="J91" s="245">
        <f t="shared" si="67"/>
        <v>5</v>
      </c>
      <c r="K91" s="245">
        <f t="shared" si="67"/>
        <v>10</v>
      </c>
      <c r="L91" s="245">
        <f t="shared" si="67"/>
        <v>15</v>
      </c>
      <c r="M91" s="245">
        <f t="shared" si="67"/>
        <v>25</v>
      </c>
      <c r="N91" s="245">
        <f t="shared" si="67"/>
        <v>35</v>
      </c>
      <c r="O91" s="245">
        <f t="shared" si="67"/>
        <v>50</v>
      </c>
      <c r="P91" s="245">
        <f t="shared" si="67"/>
        <v>75</v>
      </c>
      <c r="Q91" s="245">
        <f t="shared" si="67"/>
        <v>80</v>
      </c>
      <c r="R91" s="237"/>
      <c r="S91" s="237"/>
      <c r="T91" s="237"/>
      <c r="U91" s="237"/>
      <c r="V91" s="237"/>
      <c r="W91" s="237"/>
      <c r="X91" s="237"/>
      <c r="Y91" s="237"/>
      <c r="Z91" s="248"/>
      <c r="AA91" s="68"/>
    </row>
    <row r="92" ht="16.5" customHeight="1">
      <c r="A92" s="218" t="str">
        <f t="shared" ref="A92:E92" si="68">A39</f>
        <v>NPR</v>
      </c>
      <c r="B92" s="218" t="str">
        <f t="shared" si="68"/>
        <v>रू</v>
      </c>
      <c r="C92" s="218" t="str">
        <f t="shared" si="68"/>
        <v>尼泊爾盧比</v>
      </c>
      <c r="D92" s="257" t="str">
        <f t="shared" si="68"/>
        <v/>
      </c>
      <c r="E92" s="254">
        <f t="shared" si="68"/>
        <v>2</v>
      </c>
      <c r="F92" s="255">
        <f t="shared" ref="F92:Q92" si="69">HLOOKUP(F39,$F$1:$AI$2,2) * $D$1 * $E92</f>
        <v>20</v>
      </c>
      <c r="G92" s="255">
        <f t="shared" si="69"/>
        <v>40</v>
      </c>
      <c r="H92" s="255">
        <f t="shared" si="69"/>
        <v>60</v>
      </c>
      <c r="I92" s="255">
        <f t="shared" si="69"/>
        <v>100</v>
      </c>
      <c r="J92" s="255">
        <f t="shared" si="69"/>
        <v>200</v>
      </c>
      <c r="K92" s="255">
        <f t="shared" si="69"/>
        <v>400</v>
      </c>
      <c r="L92" s="255">
        <f t="shared" si="69"/>
        <v>500</v>
      </c>
      <c r="M92" s="255">
        <f t="shared" si="69"/>
        <v>1000</v>
      </c>
      <c r="N92" s="255">
        <f t="shared" si="69"/>
        <v>1500</v>
      </c>
      <c r="O92" s="255">
        <f t="shared" si="69"/>
        <v>2000</v>
      </c>
      <c r="P92" s="255">
        <f t="shared" si="69"/>
        <v>3000</v>
      </c>
      <c r="Q92" s="255">
        <f t="shared" si="69"/>
        <v>4000</v>
      </c>
      <c r="R92" s="237"/>
      <c r="S92" s="237"/>
      <c r="T92" s="237"/>
      <c r="U92" s="237"/>
      <c r="V92" s="237"/>
      <c r="W92" s="237"/>
      <c r="X92" s="237"/>
      <c r="Y92" s="237"/>
      <c r="Z92" s="248"/>
      <c r="AA92" s="68"/>
    </row>
    <row r="93" ht="16.5" customHeight="1">
      <c r="A93" s="225" t="str">
        <f t="shared" ref="A93:E93" si="70">A40</f>
        <v>CHF</v>
      </c>
      <c r="B93" s="225" t="str">
        <f t="shared" si="70"/>
        <v>CHF</v>
      </c>
      <c r="C93" s="225" t="str">
        <f t="shared" si="70"/>
        <v>瑞士法郎</v>
      </c>
      <c r="D93" s="256" t="str">
        <f t="shared" si="70"/>
        <v/>
      </c>
      <c r="E93" s="244">
        <f t="shared" si="70"/>
        <v>0.05</v>
      </c>
      <c r="F93" s="245">
        <f t="shared" ref="F93:Q93" si="71">HLOOKUP(F40,$F$1:$AI$2,2) * $D$1 * $E93</f>
        <v>0.5</v>
      </c>
      <c r="G93" s="245">
        <f t="shared" si="71"/>
        <v>1</v>
      </c>
      <c r="H93" s="245">
        <f t="shared" si="71"/>
        <v>1.5</v>
      </c>
      <c r="I93" s="245">
        <f t="shared" si="71"/>
        <v>2.5</v>
      </c>
      <c r="J93" s="245">
        <f t="shared" si="71"/>
        <v>5</v>
      </c>
      <c r="K93" s="245">
        <f t="shared" si="71"/>
        <v>10</v>
      </c>
      <c r="L93" s="245">
        <f t="shared" si="71"/>
        <v>15</v>
      </c>
      <c r="M93" s="245">
        <f t="shared" si="71"/>
        <v>25</v>
      </c>
      <c r="N93" s="245">
        <f t="shared" si="71"/>
        <v>35</v>
      </c>
      <c r="O93" s="245">
        <f t="shared" si="71"/>
        <v>50</v>
      </c>
      <c r="P93" s="245">
        <f t="shared" si="71"/>
        <v>75</v>
      </c>
      <c r="Q93" s="245">
        <f t="shared" si="71"/>
        <v>80</v>
      </c>
      <c r="R93" s="237"/>
      <c r="S93" s="237"/>
      <c r="T93" s="237"/>
      <c r="U93" s="237"/>
      <c r="V93" s="237"/>
      <c r="W93" s="237"/>
      <c r="X93" s="237"/>
      <c r="Y93" s="237"/>
      <c r="Z93" s="248"/>
      <c r="AA93" s="68"/>
    </row>
    <row r="94" ht="16.5" customHeight="1">
      <c r="A94" s="223" t="str">
        <f t="shared" ref="A94:E94" si="72">A41</f>
        <v>CAD</v>
      </c>
      <c r="B94" s="223" t="str">
        <f t="shared" si="72"/>
        <v>$</v>
      </c>
      <c r="C94" s="223" t="str">
        <f t="shared" si="72"/>
        <v>加幣</v>
      </c>
      <c r="D94" s="214" t="str">
        <f t="shared" si="72"/>
        <v/>
      </c>
      <c r="E94" s="242">
        <f t="shared" si="72"/>
        <v>0.05</v>
      </c>
      <c r="F94" s="243">
        <f t="shared" ref="F94:Q94" si="73">HLOOKUP(F41,$F$1:$AI$2,2) * $D$1 * $E94</f>
        <v>0.5</v>
      </c>
      <c r="G94" s="243">
        <f t="shared" si="73"/>
        <v>1</v>
      </c>
      <c r="H94" s="243">
        <f t="shared" si="73"/>
        <v>1.5</v>
      </c>
      <c r="I94" s="243">
        <f t="shared" si="73"/>
        <v>2.5</v>
      </c>
      <c r="J94" s="243">
        <f t="shared" si="73"/>
        <v>5</v>
      </c>
      <c r="K94" s="243">
        <f t="shared" si="73"/>
        <v>10</v>
      </c>
      <c r="L94" s="243">
        <f t="shared" si="73"/>
        <v>15</v>
      </c>
      <c r="M94" s="243">
        <f t="shared" si="73"/>
        <v>25</v>
      </c>
      <c r="N94" s="243">
        <f t="shared" si="73"/>
        <v>35</v>
      </c>
      <c r="O94" s="243">
        <f t="shared" si="73"/>
        <v>50</v>
      </c>
      <c r="P94" s="243">
        <f t="shared" si="73"/>
        <v>75</v>
      </c>
      <c r="Q94" s="243">
        <f t="shared" si="73"/>
        <v>80</v>
      </c>
      <c r="R94" s="237"/>
      <c r="S94" s="237"/>
      <c r="T94" s="237"/>
      <c r="U94" s="237"/>
      <c r="V94" s="237"/>
      <c r="W94" s="237"/>
      <c r="X94" s="237"/>
      <c r="Y94" s="237"/>
      <c r="Z94" s="248"/>
      <c r="AA94" s="68"/>
    </row>
    <row r="95" ht="16.5" customHeight="1">
      <c r="A95" s="220" t="str">
        <f t="shared" ref="A95:E95" si="74">A42</f>
        <v>PEN</v>
      </c>
      <c r="B95" s="220" t="str">
        <f t="shared" si="74"/>
        <v>PEN</v>
      </c>
      <c r="C95" s="220" t="str">
        <f t="shared" si="74"/>
        <v>秘魯新索爾</v>
      </c>
      <c r="D95" s="249" t="str">
        <f t="shared" si="74"/>
        <v/>
      </c>
      <c r="E95" s="238">
        <f t="shared" si="74"/>
        <v>0.2</v>
      </c>
      <c r="F95" s="239">
        <f t="shared" ref="F95:Q95" si="75">HLOOKUP(F42,$F$1:$AI$2,2) * $D$1 * $E95</f>
        <v>1</v>
      </c>
      <c r="G95" s="239">
        <f t="shared" si="75"/>
        <v>3</v>
      </c>
      <c r="H95" s="239">
        <f t="shared" si="75"/>
        <v>5</v>
      </c>
      <c r="I95" s="239">
        <f t="shared" si="75"/>
        <v>10</v>
      </c>
      <c r="J95" s="239">
        <f t="shared" si="75"/>
        <v>20</v>
      </c>
      <c r="K95" s="239">
        <f t="shared" si="75"/>
        <v>40</v>
      </c>
      <c r="L95" s="239">
        <f t="shared" si="75"/>
        <v>50</v>
      </c>
      <c r="M95" s="239">
        <f t="shared" si="75"/>
        <v>100</v>
      </c>
      <c r="N95" s="239">
        <f t="shared" si="75"/>
        <v>150</v>
      </c>
      <c r="O95" s="239">
        <f t="shared" si="75"/>
        <v>200</v>
      </c>
      <c r="P95" s="239">
        <f t="shared" si="75"/>
        <v>300</v>
      </c>
      <c r="Q95" s="239">
        <f t="shared" si="75"/>
        <v>400</v>
      </c>
      <c r="R95" s="237"/>
      <c r="S95" s="237"/>
      <c r="T95" s="237"/>
      <c r="U95" s="237"/>
      <c r="V95" s="237"/>
      <c r="W95" s="237"/>
      <c r="X95" s="237"/>
      <c r="Y95" s="237"/>
      <c r="Z95" s="248"/>
      <c r="AA95" s="68"/>
    </row>
    <row r="96" ht="16.5" customHeight="1">
      <c r="A96" s="220" t="str">
        <f t="shared" ref="A96:E96" si="76">A43</f>
        <v>AED</v>
      </c>
      <c r="B96" s="220" t="str">
        <f t="shared" si="76"/>
        <v>AED</v>
      </c>
      <c r="C96" s="220" t="str">
        <f t="shared" si="76"/>
        <v>阿聯迪拉姆</v>
      </c>
      <c r="D96" s="249" t="str">
        <f t="shared" si="76"/>
        <v/>
      </c>
      <c r="E96" s="238">
        <f t="shared" si="76"/>
        <v>0.2</v>
      </c>
      <c r="F96" s="239">
        <f t="shared" ref="F96:Q96" si="77">HLOOKUP(F43,$F$1:$AI$2,2) * $D$1 * $E96</f>
        <v>1</v>
      </c>
      <c r="G96" s="239">
        <f t="shared" si="77"/>
        <v>3</v>
      </c>
      <c r="H96" s="239">
        <f t="shared" si="77"/>
        <v>5</v>
      </c>
      <c r="I96" s="239">
        <f t="shared" si="77"/>
        <v>10</v>
      </c>
      <c r="J96" s="239">
        <f t="shared" si="77"/>
        <v>20</v>
      </c>
      <c r="K96" s="239">
        <f t="shared" si="77"/>
        <v>40</v>
      </c>
      <c r="L96" s="239">
        <f t="shared" si="77"/>
        <v>50</v>
      </c>
      <c r="M96" s="239">
        <f t="shared" si="77"/>
        <v>100</v>
      </c>
      <c r="N96" s="239">
        <f t="shared" si="77"/>
        <v>150</v>
      </c>
      <c r="O96" s="239">
        <f t="shared" si="77"/>
        <v>200</v>
      </c>
      <c r="P96" s="239">
        <f t="shared" si="77"/>
        <v>300</v>
      </c>
      <c r="Q96" s="239">
        <f t="shared" si="77"/>
        <v>400</v>
      </c>
      <c r="R96" s="237"/>
      <c r="S96" s="237"/>
      <c r="T96" s="237"/>
      <c r="U96" s="237"/>
      <c r="V96" s="237"/>
      <c r="W96" s="237"/>
      <c r="X96" s="237"/>
      <c r="Y96" s="237"/>
      <c r="Z96" s="248"/>
      <c r="AA96" s="68"/>
    </row>
    <row r="97" ht="16.5" customHeight="1">
      <c r="A97" s="223" t="str">
        <f t="shared" ref="A97:E97" si="78">A44</f>
        <v>BND</v>
      </c>
      <c r="B97" s="223" t="str">
        <f t="shared" si="78"/>
        <v>B$</v>
      </c>
      <c r="C97" s="223" t="str">
        <f t="shared" si="78"/>
        <v>汶萊幣</v>
      </c>
      <c r="D97" s="214" t="str">
        <f t="shared" si="78"/>
        <v/>
      </c>
      <c r="E97" s="242">
        <f t="shared" si="78"/>
        <v>0.05</v>
      </c>
      <c r="F97" s="243">
        <f t="shared" ref="F97:Q97" si="79">HLOOKUP(F44,$F$1:$AI$2,2) * $D$1 * $E97</f>
        <v>0.5</v>
      </c>
      <c r="G97" s="243">
        <f t="shared" si="79"/>
        <v>1</v>
      </c>
      <c r="H97" s="243">
        <f t="shared" si="79"/>
        <v>1.5</v>
      </c>
      <c r="I97" s="243">
        <f t="shared" si="79"/>
        <v>2.5</v>
      </c>
      <c r="J97" s="243">
        <f t="shared" si="79"/>
        <v>5</v>
      </c>
      <c r="K97" s="243">
        <f t="shared" si="79"/>
        <v>10</v>
      </c>
      <c r="L97" s="243">
        <f t="shared" si="79"/>
        <v>15</v>
      </c>
      <c r="M97" s="243">
        <f t="shared" si="79"/>
        <v>25</v>
      </c>
      <c r="N97" s="243">
        <f t="shared" si="79"/>
        <v>35</v>
      </c>
      <c r="O97" s="243">
        <f t="shared" si="79"/>
        <v>50</v>
      </c>
      <c r="P97" s="243">
        <f t="shared" si="79"/>
        <v>75</v>
      </c>
      <c r="Q97" s="243">
        <f t="shared" si="79"/>
        <v>80</v>
      </c>
      <c r="R97" s="237"/>
      <c r="S97" s="237"/>
      <c r="T97" s="237"/>
      <c r="U97" s="237"/>
      <c r="V97" s="237"/>
      <c r="W97" s="237"/>
      <c r="X97" s="237"/>
      <c r="Y97" s="237"/>
      <c r="Z97" s="248"/>
      <c r="AA97" s="68"/>
    </row>
    <row r="98" ht="16.5" customHeight="1">
      <c r="A98" s="218" t="str">
        <f t="shared" ref="A98:E98" si="80">A45</f>
        <v>COP</v>
      </c>
      <c r="B98" s="218" t="str">
        <f t="shared" si="80"/>
        <v>$</v>
      </c>
      <c r="C98" s="218" t="str">
        <f t="shared" si="80"/>
        <v>哥倫比亞披索</v>
      </c>
      <c r="D98" s="257" t="str">
        <f t="shared" si="80"/>
        <v/>
      </c>
      <c r="E98" s="254">
        <f t="shared" si="80"/>
        <v>20</v>
      </c>
      <c r="F98" s="255">
        <f t="shared" ref="F98:Q98" si="81">HLOOKUP(F45,$F$1:$AI$2,2) * $D$1 * $E98</f>
        <v>200</v>
      </c>
      <c r="G98" s="255">
        <f t="shared" si="81"/>
        <v>400</v>
      </c>
      <c r="H98" s="255">
        <f t="shared" si="81"/>
        <v>600</v>
      </c>
      <c r="I98" s="255">
        <f t="shared" si="81"/>
        <v>1000</v>
      </c>
      <c r="J98" s="255">
        <f t="shared" si="81"/>
        <v>2000</v>
      </c>
      <c r="K98" s="255">
        <f t="shared" si="81"/>
        <v>4000</v>
      </c>
      <c r="L98" s="255">
        <f t="shared" si="81"/>
        <v>5000</v>
      </c>
      <c r="M98" s="255">
        <f t="shared" si="81"/>
        <v>10000</v>
      </c>
      <c r="N98" s="255">
        <f t="shared" si="81"/>
        <v>15000</v>
      </c>
      <c r="O98" s="255">
        <f t="shared" si="81"/>
        <v>20000</v>
      </c>
      <c r="P98" s="255">
        <f t="shared" si="81"/>
        <v>30000</v>
      </c>
      <c r="Q98" s="255">
        <f t="shared" si="81"/>
        <v>40000</v>
      </c>
      <c r="R98" s="237"/>
      <c r="S98" s="237"/>
      <c r="T98" s="237"/>
      <c r="U98" s="237"/>
      <c r="V98" s="237"/>
      <c r="W98" s="237"/>
      <c r="X98" s="237"/>
      <c r="Y98" s="237"/>
      <c r="Z98" s="248"/>
      <c r="AA98" s="68"/>
    </row>
    <row r="99" ht="16.5" customHeight="1">
      <c r="A99" s="218" t="str">
        <f t="shared" ref="A99:E99" si="82">A46</f>
        <v>VNDO</v>
      </c>
      <c r="B99" s="218" t="str">
        <f t="shared" si="82"/>
        <v>₫</v>
      </c>
      <c r="C99" s="218" t="str">
        <f t="shared" si="82"/>
        <v>越南盾</v>
      </c>
      <c r="D99" s="257" t="str">
        <f t="shared" si="82"/>
        <v/>
      </c>
      <c r="E99" s="254">
        <f t="shared" si="82"/>
        <v>20</v>
      </c>
      <c r="F99" s="255">
        <f t="shared" ref="F99:Q99" si="83">HLOOKUP(F46,$F$1:$AI$2,2) * $D$1 * $E99</f>
        <v>200</v>
      </c>
      <c r="G99" s="255">
        <f t="shared" si="83"/>
        <v>400</v>
      </c>
      <c r="H99" s="255">
        <f t="shared" si="83"/>
        <v>600</v>
      </c>
      <c r="I99" s="255">
        <f t="shared" si="83"/>
        <v>1000</v>
      </c>
      <c r="J99" s="255">
        <f t="shared" si="83"/>
        <v>2000</v>
      </c>
      <c r="K99" s="255">
        <f t="shared" si="83"/>
        <v>4000</v>
      </c>
      <c r="L99" s="255">
        <f t="shared" si="83"/>
        <v>5000</v>
      </c>
      <c r="M99" s="255">
        <f t="shared" si="83"/>
        <v>10000</v>
      </c>
      <c r="N99" s="255">
        <f t="shared" si="83"/>
        <v>15000</v>
      </c>
      <c r="O99" s="255">
        <f t="shared" si="83"/>
        <v>20000</v>
      </c>
      <c r="P99" s="255">
        <f t="shared" si="83"/>
        <v>30000</v>
      </c>
      <c r="Q99" s="255">
        <f t="shared" si="83"/>
        <v>40000</v>
      </c>
      <c r="R99" s="237"/>
      <c r="S99" s="237"/>
      <c r="T99" s="237"/>
      <c r="U99" s="237"/>
      <c r="V99" s="237"/>
      <c r="W99" s="237"/>
      <c r="X99" s="237"/>
      <c r="Y99" s="237"/>
      <c r="Z99" s="248"/>
      <c r="AA99" s="68"/>
    </row>
    <row r="100" ht="16.5" customHeight="1">
      <c r="A100" s="223" t="str">
        <f t="shared" ref="A100:E100" si="84">A47</f>
        <v>MYRC</v>
      </c>
      <c r="B100" s="223" t="str">
        <f t="shared" si="84"/>
        <v>RM</v>
      </c>
      <c r="C100" s="223" t="str">
        <f t="shared" si="84"/>
        <v>馬來西亞令吉</v>
      </c>
      <c r="D100" s="250">
        <f t="shared" si="84"/>
        <v>0.01</v>
      </c>
      <c r="E100" s="235">
        <f t="shared" si="84"/>
        <v>10</v>
      </c>
      <c r="F100" s="255">
        <f t="shared" ref="F100:Q100" si="85">HLOOKUP(F47,$F$1:$AI$2,2) * $D$1 * $E100</f>
        <v>100</v>
      </c>
      <c r="G100" s="255">
        <f t="shared" si="85"/>
        <v>200</v>
      </c>
      <c r="H100" s="255">
        <f t="shared" si="85"/>
        <v>300</v>
      </c>
      <c r="I100" s="255">
        <f t="shared" si="85"/>
        <v>500</v>
      </c>
      <c r="J100" s="255">
        <f t="shared" si="85"/>
        <v>1000</v>
      </c>
      <c r="K100" s="255">
        <f t="shared" si="85"/>
        <v>2000</v>
      </c>
      <c r="L100" s="255">
        <f t="shared" si="85"/>
        <v>2500</v>
      </c>
      <c r="M100" s="255">
        <f t="shared" si="85"/>
        <v>5000</v>
      </c>
      <c r="N100" s="255">
        <f t="shared" si="85"/>
        <v>7500</v>
      </c>
      <c r="O100" s="255">
        <f t="shared" si="85"/>
        <v>10000</v>
      </c>
      <c r="P100" s="255">
        <f t="shared" si="85"/>
        <v>15000</v>
      </c>
      <c r="Q100" s="255">
        <f t="shared" si="85"/>
        <v>20000</v>
      </c>
      <c r="R100" s="237"/>
      <c r="S100" s="237"/>
      <c r="T100" s="237"/>
      <c r="U100" s="237"/>
      <c r="V100" s="237"/>
      <c r="W100" s="237"/>
      <c r="X100" s="237"/>
      <c r="Y100" s="237"/>
      <c r="Z100" s="248"/>
      <c r="AA100" s="69"/>
    </row>
    <row r="101" ht="16.5" customHeight="1">
      <c r="A101" s="223" t="str">
        <f t="shared" ref="A101:E101" si="86">A48</f>
        <v>XSD</v>
      </c>
      <c r="B101" s="223" t="str">
        <f t="shared" si="86"/>
        <v/>
      </c>
      <c r="C101" s="223" t="str">
        <f t="shared" si="86"/>
        <v>星幣</v>
      </c>
      <c r="D101" s="250" t="str">
        <f t="shared" si="86"/>
        <v/>
      </c>
      <c r="E101" s="235">
        <f t="shared" si="86"/>
        <v>10</v>
      </c>
      <c r="F101" s="255">
        <f t="shared" ref="F101:Q101" si="87">HLOOKUP(F48,$F$1:$AI$2,2) * $D$1 * $E101</f>
        <v>100</v>
      </c>
      <c r="G101" s="255">
        <f t="shared" si="87"/>
        <v>200</v>
      </c>
      <c r="H101" s="255">
        <f t="shared" si="87"/>
        <v>300</v>
      </c>
      <c r="I101" s="255">
        <f t="shared" si="87"/>
        <v>500</v>
      </c>
      <c r="J101" s="255">
        <f t="shared" si="87"/>
        <v>1000</v>
      </c>
      <c r="K101" s="255">
        <f t="shared" si="87"/>
        <v>2000</v>
      </c>
      <c r="L101" s="255">
        <f t="shared" si="87"/>
        <v>2500</v>
      </c>
      <c r="M101" s="255">
        <f t="shared" si="87"/>
        <v>5000</v>
      </c>
      <c r="N101" s="255">
        <f t="shared" si="87"/>
        <v>7500</v>
      </c>
      <c r="O101" s="255">
        <f t="shared" si="87"/>
        <v>10000</v>
      </c>
      <c r="P101" s="255">
        <f t="shared" si="87"/>
        <v>15000</v>
      </c>
      <c r="Q101" s="255">
        <f t="shared" si="87"/>
        <v>20000</v>
      </c>
    </row>
    <row r="102" ht="16.5" customHeight="1">
      <c r="A102" s="218" t="str">
        <f t="shared" ref="A102:E102" si="88">A49</f>
        <v>DZD</v>
      </c>
      <c r="B102" s="218" t="str">
        <f t="shared" si="88"/>
        <v>دج</v>
      </c>
      <c r="C102" s="218" t="str">
        <f t="shared" si="88"/>
        <v>阿爾及利亞第納爾</v>
      </c>
      <c r="D102" s="218" t="str">
        <f t="shared" si="88"/>
        <v/>
      </c>
      <c r="E102" s="235">
        <f t="shared" si="88"/>
        <v>1</v>
      </c>
      <c r="F102" s="236">
        <f t="shared" ref="F102:Q102" si="89">HLOOKUP(F49,$F$1:$AI$2,2) * $D$1 * $E102</f>
        <v>10</v>
      </c>
      <c r="G102" s="236">
        <f t="shared" si="89"/>
        <v>20</v>
      </c>
      <c r="H102" s="236">
        <f t="shared" si="89"/>
        <v>30</v>
      </c>
      <c r="I102" s="236">
        <f t="shared" si="89"/>
        <v>50</v>
      </c>
      <c r="J102" s="236">
        <f t="shared" si="89"/>
        <v>100</v>
      </c>
      <c r="K102" s="236">
        <f t="shared" si="89"/>
        <v>200</v>
      </c>
      <c r="L102" s="236">
        <f t="shared" si="89"/>
        <v>250</v>
      </c>
      <c r="M102" s="236">
        <f t="shared" si="89"/>
        <v>500</v>
      </c>
      <c r="N102" s="236">
        <f t="shared" si="89"/>
        <v>750</v>
      </c>
      <c r="O102" s="236">
        <f t="shared" si="89"/>
        <v>1000</v>
      </c>
      <c r="P102" s="236">
        <f t="shared" si="89"/>
        <v>1500</v>
      </c>
      <c r="Q102" s="236">
        <f t="shared" si="89"/>
        <v>2000</v>
      </c>
    </row>
    <row r="103" ht="16.5" customHeight="1">
      <c r="A103" s="220" t="str">
        <f t="shared" ref="A103:E103" si="90">A50</f>
        <v>MAD</v>
      </c>
      <c r="B103" s="220" t="str">
        <f t="shared" si="90"/>
        <v>DH</v>
      </c>
      <c r="C103" s="220" t="str">
        <f t="shared" si="90"/>
        <v>摩洛哥迪拉姆</v>
      </c>
      <c r="D103" s="220" t="str">
        <f t="shared" si="90"/>
        <v/>
      </c>
      <c r="E103" s="238">
        <f t="shared" si="90"/>
        <v>0.2</v>
      </c>
      <c r="F103" s="239">
        <f t="shared" ref="F103:Q103" si="91">HLOOKUP(F50,$F$1:$AI$2,2) * $D$1 * $E103</f>
        <v>1</v>
      </c>
      <c r="G103" s="239">
        <f t="shared" si="91"/>
        <v>3</v>
      </c>
      <c r="H103" s="239">
        <f t="shared" si="91"/>
        <v>5</v>
      </c>
      <c r="I103" s="239">
        <f t="shared" si="91"/>
        <v>10</v>
      </c>
      <c r="J103" s="239">
        <f t="shared" si="91"/>
        <v>20</v>
      </c>
      <c r="K103" s="239">
        <f t="shared" si="91"/>
        <v>40</v>
      </c>
      <c r="L103" s="239">
        <f t="shared" si="91"/>
        <v>50</v>
      </c>
      <c r="M103" s="239">
        <f t="shared" si="91"/>
        <v>100</v>
      </c>
      <c r="N103" s="239">
        <f t="shared" si="91"/>
        <v>150</v>
      </c>
      <c r="O103" s="239">
        <f t="shared" si="91"/>
        <v>200</v>
      </c>
      <c r="P103" s="239">
        <f t="shared" si="91"/>
        <v>300</v>
      </c>
      <c r="Q103" s="239">
        <f t="shared" si="91"/>
        <v>400</v>
      </c>
    </row>
    <row r="104" ht="16.5" customHeight="1">
      <c r="A104" s="220" t="str">
        <f t="shared" ref="A104:E104" si="92">A51</f>
        <v>FRF</v>
      </c>
      <c r="B104" s="220" t="str">
        <f t="shared" si="92"/>
        <v>₣</v>
      </c>
      <c r="C104" s="220" t="str">
        <f t="shared" si="92"/>
        <v>法國法郎</v>
      </c>
      <c r="D104" s="220" t="str">
        <f t="shared" si="92"/>
        <v/>
      </c>
      <c r="E104" s="238">
        <f t="shared" si="92"/>
        <v>0.2</v>
      </c>
      <c r="F104" s="239">
        <f t="shared" ref="F104:Q104" si="93">HLOOKUP(F51,$F$1:$AI$2,2) * $D$1 * $E104</f>
        <v>1</v>
      </c>
      <c r="G104" s="239">
        <f t="shared" si="93"/>
        <v>3</v>
      </c>
      <c r="H104" s="239">
        <f t="shared" si="93"/>
        <v>5</v>
      </c>
      <c r="I104" s="239">
        <f t="shared" si="93"/>
        <v>10</v>
      </c>
      <c r="J104" s="239">
        <f t="shared" si="93"/>
        <v>20</v>
      </c>
      <c r="K104" s="239">
        <f t="shared" si="93"/>
        <v>40</v>
      </c>
      <c r="L104" s="239">
        <f t="shared" si="93"/>
        <v>50</v>
      </c>
      <c r="M104" s="239">
        <f t="shared" si="93"/>
        <v>100</v>
      </c>
      <c r="N104" s="239">
        <f t="shared" si="93"/>
        <v>150</v>
      </c>
      <c r="O104" s="239">
        <f t="shared" si="93"/>
        <v>200</v>
      </c>
      <c r="P104" s="239">
        <f t="shared" si="93"/>
        <v>300</v>
      </c>
      <c r="Q104" s="239">
        <f t="shared" si="93"/>
        <v>400</v>
      </c>
    </row>
    <row r="105" ht="16.5" customHeight="1">
      <c r="A105" s="220" t="str">
        <f t="shared" ref="A105:E105" si="94">A52</f>
        <v>GHS</v>
      </c>
      <c r="B105" s="220" t="str">
        <f t="shared" si="94"/>
        <v>Gp</v>
      </c>
      <c r="C105" s="220" t="str">
        <f t="shared" si="94"/>
        <v>迦納塞地</v>
      </c>
      <c r="D105" s="220" t="str">
        <f t="shared" si="94"/>
        <v/>
      </c>
      <c r="E105" s="238">
        <f t="shared" si="94"/>
        <v>0.2</v>
      </c>
      <c r="F105" s="239">
        <f t="shared" ref="F105:Q105" si="95">HLOOKUP(F52,$F$1:$AI$2,2) * $D$1 * $E105</f>
        <v>1</v>
      </c>
      <c r="G105" s="239">
        <f t="shared" si="95"/>
        <v>3</v>
      </c>
      <c r="H105" s="239">
        <f t="shared" si="95"/>
        <v>5</v>
      </c>
      <c r="I105" s="239">
        <f t="shared" si="95"/>
        <v>10</v>
      </c>
      <c r="J105" s="239">
        <f t="shared" si="95"/>
        <v>20</v>
      </c>
      <c r="K105" s="239">
        <f t="shared" si="95"/>
        <v>40</v>
      </c>
      <c r="L105" s="239">
        <f t="shared" si="95"/>
        <v>50</v>
      </c>
      <c r="M105" s="239">
        <f t="shared" si="95"/>
        <v>100</v>
      </c>
      <c r="N105" s="239">
        <f t="shared" si="95"/>
        <v>150</v>
      </c>
      <c r="O105" s="239">
        <f t="shared" si="95"/>
        <v>200</v>
      </c>
      <c r="P105" s="239">
        <f t="shared" si="95"/>
        <v>300</v>
      </c>
      <c r="Q105" s="239">
        <f t="shared" si="95"/>
        <v>400</v>
      </c>
    </row>
    <row r="106" ht="16.5" customHeight="1">
      <c r="A106" s="225" t="str">
        <f t="shared" ref="A106:E106" si="96">A53</f>
        <v>RCC</v>
      </c>
      <c r="B106" s="225" t="str">
        <f t="shared" si="96"/>
        <v/>
      </c>
      <c r="C106" s="225" t="str">
        <f t="shared" si="96"/>
        <v>RCC幣</v>
      </c>
      <c r="D106" s="225" t="str">
        <f t="shared" si="96"/>
        <v/>
      </c>
      <c r="E106" s="244">
        <f t="shared" si="96"/>
        <v>0.05</v>
      </c>
      <c r="F106" s="245">
        <f t="shared" ref="F106:Q106" si="97">HLOOKUP(F53,$F$1:$AI$2,2) * $D$1 * $E106</f>
        <v>0.5</v>
      </c>
      <c r="G106" s="245">
        <f t="shared" si="97"/>
        <v>1</v>
      </c>
      <c r="H106" s="245">
        <f t="shared" si="97"/>
        <v>1.5</v>
      </c>
      <c r="I106" s="245">
        <f t="shared" si="97"/>
        <v>2.5</v>
      </c>
      <c r="J106" s="245">
        <f t="shared" si="97"/>
        <v>5</v>
      </c>
      <c r="K106" s="245">
        <f t="shared" si="97"/>
        <v>10</v>
      </c>
      <c r="L106" s="245">
        <f t="shared" si="97"/>
        <v>15</v>
      </c>
      <c r="M106" s="245">
        <f t="shared" si="97"/>
        <v>25</v>
      </c>
      <c r="N106" s="245">
        <f t="shared" si="97"/>
        <v>35</v>
      </c>
      <c r="O106" s="245">
        <f t="shared" si="97"/>
        <v>50</v>
      </c>
      <c r="P106" s="245">
        <f t="shared" si="97"/>
        <v>75</v>
      </c>
      <c r="Q106" s="245">
        <f t="shared" si="97"/>
        <v>80</v>
      </c>
    </row>
    <row r="107" ht="16.5" customHeight="1">
      <c r="A107" s="218" t="str">
        <f t="shared" ref="A107:E107" si="98">A54</f>
        <v>KBB</v>
      </c>
      <c r="B107" s="218" t="str">
        <f t="shared" si="98"/>
        <v/>
      </c>
      <c r="C107" s="218" t="str">
        <f t="shared" si="98"/>
        <v>爸幣</v>
      </c>
      <c r="D107" s="253" t="str">
        <f t="shared" si="98"/>
        <v/>
      </c>
      <c r="E107" s="254">
        <f t="shared" si="98"/>
        <v>0.5</v>
      </c>
      <c r="F107" s="255">
        <f t="shared" ref="F107:Q107" si="99">HLOOKUP(F54,$F$1:$AI$2,2) * $D$1 * $E107</f>
        <v>5</v>
      </c>
      <c r="G107" s="255">
        <f t="shared" si="99"/>
        <v>10</v>
      </c>
      <c r="H107" s="255">
        <f t="shared" si="99"/>
        <v>15</v>
      </c>
      <c r="I107" s="255">
        <f t="shared" si="99"/>
        <v>25</v>
      </c>
      <c r="J107" s="255">
        <f t="shared" si="99"/>
        <v>50</v>
      </c>
      <c r="K107" s="255">
        <f t="shared" si="99"/>
        <v>100</v>
      </c>
      <c r="L107" s="255">
        <f t="shared" si="99"/>
        <v>125</v>
      </c>
      <c r="M107" s="255">
        <f t="shared" si="99"/>
        <v>250</v>
      </c>
      <c r="N107" s="255">
        <f t="shared" si="99"/>
        <v>375</v>
      </c>
      <c r="O107" s="255">
        <f t="shared" si="99"/>
        <v>500</v>
      </c>
      <c r="P107" s="255">
        <f t="shared" si="99"/>
        <v>750</v>
      </c>
      <c r="Q107" s="255">
        <f t="shared" si="99"/>
        <v>1000</v>
      </c>
    </row>
    <row r="108" ht="16.5" customHeight="1">
      <c r="A108" s="218" t="str">
        <f t="shared" ref="A108:E108" si="100">A55</f>
        <v>XSMY</v>
      </c>
      <c r="B108" s="218" t="str">
        <f t="shared" si="100"/>
        <v/>
      </c>
      <c r="C108" s="218" t="str">
        <f t="shared" si="100"/>
        <v>星城馬來西亞</v>
      </c>
      <c r="D108" s="253" t="str">
        <f t="shared" si="100"/>
        <v/>
      </c>
      <c r="E108" s="254">
        <f t="shared" si="100"/>
        <v>10</v>
      </c>
      <c r="F108" s="255">
        <f t="shared" ref="F108:Q108" si="101">HLOOKUP(F55,$F$1:$AI$2,2) * $D$1 * $E108</f>
        <v>100</v>
      </c>
      <c r="G108" s="255">
        <f t="shared" si="101"/>
        <v>200</v>
      </c>
      <c r="H108" s="255">
        <f t="shared" si="101"/>
        <v>300</v>
      </c>
      <c r="I108" s="255">
        <f t="shared" si="101"/>
        <v>500</v>
      </c>
      <c r="J108" s="255">
        <f t="shared" si="101"/>
        <v>1000</v>
      </c>
      <c r="K108" s="255">
        <f t="shared" si="101"/>
        <v>2000</v>
      </c>
      <c r="L108" s="255">
        <f t="shared" si="101"/>
        <v>2500</v>
      </c>
      <c r="M108" s="255">
        <f t="shared" si="101"/>
        <v>5000</v>
      </c>
      <c r="N108" s="255">
        <f t="shared" si="101"/>
        <v>7500</v>
      </c>
      <c r="O108" s="255">
        <f t="shared" si="101"/>
        <v>10000</v>
      </c>
      <c r="P108" s="255">
        <f t="shared" si="101"/>
        <v>15000</v>
      </c>
      <c r="Q108" s="255">
        <f t="shared" si="101"/>
        <v>20000</v>
      </c>
    </row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</sheetData>
  <mergeCells count="7">
    <mergeCell ref="C1:C2"/>
    <mergeCell ref="D1:D2"/>
    <mergeCell ref="E1:E2"/>
    <mergeCell ref="A4:AA4"/>
    <mergeCell ref="AA5:AA36"/>
    <mergeCell ref="A57:AA57"/>
    <mergeCell ref="AA58:AA10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.89"/>
    <col customWidth="1" min="3" max="3" width="9.89"/>
    <col customWidth="1" min="4" max="4" width="6.89"/>
    <col customWidth="1" min="5" max="5" width="5.78"/>
    <col customWidth="1" min="6" max="11" width="6.33"/>
    <col customWidth="1" min="12" max="18" width="7.22"/>
    <col customWidth="1" min="19" max="22" width="8.0"/>
    <col customWidth="1" min="23" max="25" width="8.78"/>
    <col customWidth="1" min="26" max="26" width="6.44"/>
    <col customWidth="1" min="27" max="27" width="7.22"/>
    <col customWidth="1" min="28" max="35" width="6.44"/>
  </cols>
  <sheetData>
    <row r="1" ht="16.5" customHeight="1">
      <c r="A1" s="258"/>
      <c r="B1" s="30"/>
      <c r="C1" s="32" t="s">
        <v>43</v>
      </c>
      <c r="D1" s="33">
        <v>100.0</v>
      </c>
      <c r="E1" s="32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</row>
    <row r="2" ht="16.5" customHeight="1">
      <c r="A2" s="259"/>
      <c r="B2" s="35"/>
      <c r="C2" s="36"/>
      <c r="D2" s="36"/>
      <c r="E2" s="36"/>
      <c r="F2" s="126">
        <v>1.0</v>
      </c>
      <c r="G2" s="126">
        <v>2.0</v>
      </c>
      <c r="H2" s="126">
        <v>3.0</v>
      </c>
      <c r="I2" s="126">
        <v>4.0</v>
      </c>
      <c r="J2" s="126">
        <v>5.0</v>
      </c>
      <c r="K2" s="126">
        <v>6.0</v>
      </c>
      <c r="L2" s="126">
        <v>8.0</v>
      </c>
      <c r="M2" s="126">
        <v>10.0</v>
      </c>
      <c r="N2" s="126">
        <v>12.0</v>
      </c>
      <c r="O2" s="126">
        <v>15.0</v>
      </c>
      <c r="P2" s="126">
        <v>20.0</v>
      </c>
      <c r="Q2" s="126">
        <v>25.0</v>
      </c>
      <c r="R2" s="126">
        <v>30.0</v>
      </c>
      <c r="S2" s="126">
        <v>40.0</v>
      </c>
      <c r="T2" s="126">
        <v>50.0</v>
      </c>
      <c r="U2" s="126">
        <v>60.0</v>
      </c>
      <c r="V2" s="126">
        <v>70.0</v>
      </c>
      <c r="W2" s="126">
        <v>80.0</v>
      </c>
      <c r="X2" s="126">
        <v>90.0</v>
      </c>
      <c r="Y2" s="126">
        <v>100.0</v>
      </c>
      <c r="Z2" s="158">
        <v>200.0</v>
      </c>
      <c r="AA2" s="126">
        <v>300.0</v>
      </c>
      <c r="AB2" s="126">
        <v>400.0</v>
      </c>
      <c r="AC2" s="126">
        <v>500.0</v>
      </c>
      <c r="AD2" s="126">
        <v>600.0</v>
      </c>
      <c r="AE2" s="158">
        <v>800.0</v>
      </c>
      <c r="AF2" s="126">
        <v>1000.0</v>
      </c>
      <c r="AG2" s="126">
        <v>1200.0</v>
      </c>
      <c r="AH2" s="126">
        <v>1500.0</v>
      </c>
      <c r="AI2" s="158">
        <v>2000.0</v>
      </c>
    </row>
    <row r="3" ht="16.5" customHeight="1"/>
    <row r="4" ht="16.5" customHeight="1">
      <c r="A4" s="4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215"/>
    </row>
    <row r="5" ht="16.5" customHeight="1">
      <c r="A5" s="74" t="s">
        <v>45</v>
      </c>
      <c r="B5" s="50" t="s">
        <v>46</v>
      </c>
      <c r="C5" s="50" t="s">
        <v>47</v>
      </c>
      <c r="D5" s="50" t="s">
        <v>48</v>
      </c>
      <c r="E5" s="260" t="s">
        <v>49</v>
      </c>
      <c r="F5" s="50" t="s">
        <v>50</v>
      </c>
      <c r="G5" s="50" t="s">
        <v>51</v>
      </c>
      <c r="H5" s="50" t="s">
        <v>52</v>
      </c>
      <c r="I5" s="50" t="s">
        <v>53</v>
      </c>
      <c r="J5" s="50" t="s">
        <v>54</v>
      </c>
      <c r="K5" s="50" t="s">
        <v>55</v>
      </c>
      <c r="L5" s="50" t="s">
        <v>56</v>
      </c>
      <c r="M5" s="50" t="s">
        <v>57</v>
      </c>
      <c r="N5" s="50" t="s">
        <v>58</v>
      </c>
      <c r="O5" s="50" t="s">
        <v>59</v>
      </c>
      <c r="P5" s="50" t="s">
        <v>60</v>
      </c>
      <c r="Q5" s="50" t="s">
        <v>61</v>
      </c>
      <c r="R5" s="50" t="s">
        <v>62</v>
      </c>
      <c r="S5" s="50" t="s">
        <v>63</v>
      </c>
      <c r="T5" s="50" t="s">
        <v>64</v>
      </c>
      <c r="U5" s="50" t="s">
        <v>65</v>
      </c>
      <c r="V5" s="50" t="s">
        <v>66</v>
      </c>
      <c r="W5" s="50" t="s">
        <v>67</v>
      </c>
      <c r="X5" s="50" t="s">
        <v>68</v>
      </c>
      <c r="Y5" s="50" t="s">
        <v>69</v>
      </c>
      <c r="AA5" s="159" t="s">
        <v>70</v>
      </c>
    </row>
    <row r="6" ht="16.5" customHeight="1">
      <c r="A6" s="218" t="str">
        <f>'試算-SLOT'!A6</f>
        <v>THB</v>
      </c>
      <c r="B6" s="218" t="str">
        <f>'試算-SLOT'!B6</f>
        <v>฿</v>
      </c>
      <c r="C6" s="218" t="str">
        <f>'試算-SLOT'!C6</f>
        <v>泰銖</v>
      </c>
      <c r="D6" s="253" t="str">
        <f>IF('試算-SLOT'!D6=1,"",'試算-SLOT'!D6)</f>
        <v/>
      </c>
      <c r="E6" s="254">
        <v>0.01</v>
      </c>
      <c r="F6" s="229">
        <v>1.0</v>
      </c>
      <c r="G6" s="229">
        <v>2.0</v>
      </c>
      <c r="H6" s="229">
        <v>4.0</v>
      </c>
      <c r="I6" s="229">
        <v>5.0</v>
      </c>
      <c r="J6" s="229">
        <v>6.0</v>
      </c>
      <c r="K6" s="229">
        <v>7.0</v>
      </c>
      <c r="L6" s="229">
        <v>9.0</v>
      </c>
      <c r="M6" s="229">
        <v>10.0</v>
      </c>
      <c r="N6" s="229">
        <v>11.0</v>
      </c>
      <c r="O6" s="229">
        <v>13.0</v>
      </c>
      <c r="P6" s="229">
        <v>14.0</v>
      </c>
      <c r="Q6" s="229">
        <v>16.0</v>
      </c>
      <c r="R6" s="229">
        <v>19.0</v>
      </c>
      <c r="S6" s="229">
        <v>20.0</v>
      </c>
      <c r="T6" s="229">
        <v>21.0</v>
      </c>
      <c r="U6" s="229">
        <v>24.0</v>
      </c>
      <c r="V6" s="229">
        <v>26.0</v>
      </c>
      <c r="W6" s="229">
        <v>27.0</v>
      </c>
      <c r="X6" s="229">
        <v>29.0</v>
      </c>
      <c r="Y6" s="229">
        <v>30.0</v>
      </c>
      <c r="AA6" s="52"/>
    </row>
    <row r="7" ht="16.5" customHeight="1">
      <c r="A7" s="220" t="str">
        <f>'試算-SLOT'!A7</f>
        <v>HKD</v>
      </c>
      <c r="B7" s="220" t="str">
        <f>'試算-SLOT'!B7</f>
        <v>HK$</v>
      </c>
      <c r="C7" s="220" t="str">
        <f>'試算-SLOT'!C7</f>
        <v>港幣</v>
      </c>
      <c r="D7" s="261" t="str">
        <f>IF('試算-SLOT'!D7=1,"",'試算-SLOT'!D7)</f>
        <v/>
      </c>
      <c r="E7" s="262">
        <v>0.01</v>
      </c>
      <c r="F7" s="261">
        <v>1.0</v>
      </c>
      <c r="G7" s="261">
        <v>2.0</v>
      </c>
      <c r="H7" s="261">
        <v>4.0</v>
      </c>
      <c r="I7" s="261">
        <v>5.0</v>
      </c>
      <c r="J7" s="261">
        <v>6.0</v>
      </c>
      <c r="K7" s="261">
        <v>7.0</v>
      </c>
      <c r="L7" s="261">
        <v>8.0</v>
      </c>
      <c r="M7" s="261">
        <v>9.0</v>
      </c>
      <c r="N7" s="261">
        <v>10.0</v>
      </c>
      <c r="O7" s="261">
        <v>11.0</v>
      </c>
      <c r="P7" s="261">
        <v>13.0</v>
      </c>
      <c r="Q7" s="261">
        <v>14.0</v>
      </c>
      <c r="R7" s="261">
        <v>15.0</v>
      </c>
      <c r="S7" s="261">
        <v>16.0</v>
      </c>
      <c r="T7" s="261">
        <v>18.0</v>
      </c>
      <c r="U7" s="261">
        <v>19.0</v>
      </c>
      <c r="V7" s="261">
        <v>20.0</v>
      </c>
      <c r="W7" s="261">
        <v>21.0</v>
      </c>
      <c r="X7" s="261">
        <v>22.0</v>
      </c>
      <c r="Y7" s="261">
        <v>23.0</v>
      </c>
      <c r="AA7" s="52"/>
    </row>
    <row r="8" ht="16.5" customHeight="1">
      <c r="A8" s="218" t="str">
        <f>'試算-SLOT'!A8</f>
        <v>INR</v>
      </c>
      <c r="B8" s="218" t="str">
        <f>'試算-SLOT'!B8</f>
        <v>₹</v>
      </c>
      <c r="C8" s="218" t="str">
        <f>'試算-SLOT'!C8</f>
        <v>印度盧比</v>
      </c>
      <c r="D8" s="253" t="str">
        <f>IF('試算-SLOT'!D8=1,"",'試算-SLOT'!D8)</f>
        <v/>
      </c>
      <c r="E8" s="254">
        <v>0.01</v>
      </c>
      <c r="F8" s="229">
        <v>1.0</v>
      </c>
      <c r="G8" s="229">
        <v>2.0</v>
      </c>
      <c r="H8" s="229">
        <v>4.0</v>
      </c>
      <c r="I8" s="229">
        <v>5.0</v>
      </c>
      <c r="J8" s="229">
        <v>6.0</v>
      </c>
      <c r="K8" s="229">
        <v>7.0</v>
      </c>
      <c r="L8" s="229">
        <v>9.0</v>
      </c>
      <c r="M8" s="229">
        <v>10.0</v>
      </c>
      <c r="N8" s="229">
        <v>11.0</v>
      </c>
      <c r="O8" s="229">
        <v>13.0</v>
      </c>
      <c r="P8" s="229">
        <v>14.0</v>
      </c>
      <c r="Q8" s="229">
        <v>16.0</v>
      </c>
      <c r="R8" s="229">
        <v>19.0</v>
      </c>
      <c r="S8" s="229">
        <v>20.0</v>
      </c>
      <c r="T8" s="229">
        <v>21.0</v>
      </c>
      <c r="U8" s="229">
        <v>24.0</v>
      </c>
      <c r="V8" s="229">
        <v>26.0</v>
      </c>
      <c r="W8" s="229">
        <v>27.0</v>
      </c>
      <c r="X8" s="229">
        <v>29.0</v>
      </c>
      <c r="Y8" s="229">
        <v>30.0</v>
      </c>
      <c r="AA8" s="52"/>
    </row>
    <row r="9" ht="16.5" customHeight="1">
      <c r="A9" s="56" t="str">
        <f>'試算-SLOT'!A9</f>
        <v>IDR</v>
      </c>
      <c r="B9" s="56" t="str">
        <f>'試算-SLOT'!B9</f>
        <v>Rp</v>
      </c>
      <c r="C9" s="56" t="str">
        <f>'試算-SLOT'!C9</f>
        <v>印尼盧比(K)</v>
      </c>
      <c r="D9" s="50">
        <f>IF('試算-SLOT'!D9=1,"",'試算-SLOT'!D9)</f>
        <v>1000</v>
      </c>
      <c r="E9" s="263">
        <v>0.01</v>
      </c>
      <c r="F9" s="50">
        <v>1.0</v>
      </c>
      <c r="G9" s="50">
        <v>2.0</v>
      </c>
      <c r="H9" s="50">
        <v>3.0</v>
      </c>
      <c r="I9" s="50">
        <v>4.0</v>
      </c>
      <c r="J9" s="50">
        <v>5.0</v>
      </c>
      <c r="K9" s="50">
        <v>7.0</v>
      </c>
      <c r="L9" s="50">
        <v>9.0</v>
      </c>
      <c r="M9" s="50">
        <v>10.0</v>
      </c>
      <c r="N9" s="50">
        <v>11.0</v>
      </c>
      <c r="O9" s="50">
        <v>13.0</v>
      </c>
      <c r="P9" s="50">
        <v>14.0</v>
      </c>
      <c r="Q9" s="50">
        <v>16.0</v>
      </c>
      <c r="R9" s="50">
        <v>18.0</v>
      </c>
      <c r="S9" s="50">
        <v>20.0</v>
      </c>
      <c r="T9" s="50">
        <v>21.0</v>
      </c>
      <c r="U9" s="50">
        <v>22.0</v>
      </c>
      <c r="V9" s="50">
        <v>23.0</v>
      </c>
      <c r="W9" s="50">
        <v>24.0</v>
      </c>
      <c r="X9" s="50">
        <v>25.0</v>
      </c>
      <c r="Y9" s="50">
        <v>26.0</v>
      </c>
      <c r="AA9" s="52"/>
    </row>
    <row r="10" ht="16.5" customHeight="1">
      <c r="A10" s="56" t="str">
        <f>'試算-SLOT'!A10</f>
        <v>VND</v>
      </c>
      <c r="B10" s="56" t="str">
        <f>'試算-SLOT'!B10</f>
        <v>₫</v>
      </c>
      <c r="C10" s="56" t="str">
        <f>'試算-SLOT'!C10</f>
        <v>越南盾(K)</v>
      </c>
      <c r="D10" s="50">
        <f>IF('試算-SLOT'!D10=1,"",'試算-SLOT'!D10)</f>
        <v>1000</v>
      </c>
      <c r="E10" s="263">
        <v>0.01</v>
      </c>
      <c r="F10" s="50">
        <v>1.0</v>
      </c>
      <c r="G10" s="50">
        <v>2.0</v>
      </c>
      <c r="H10" s="50">
        <v>3.0</v>
      </c>
      <c r="I10" s="50">
        <v>4.0</v>
      </c>
      <c r="J10" s="50">
        <v>5.0</v>
      </c>
      <c r="K10" s="50">
        <v>7.0</v>
      </c>
      <c r="L10" s="50">
        <v>9.0</v>
      </c>
      <c r="M10" s="50">
        <v>10.0</v>
      </c>
      <c r="N10" s="50">
        <v>11.0</v>
      </c>
      <c r="O10" s="50">
        <v>13.0</v>
      </c>
      <c r="P10" s="50">
        <v>14.0</v>
      </c>
      <c r="Q10" s="50">
        <v>16.0</v>
      </c>
      <c r="R10" s="50">
        <v>18.0</v>
      </c>
      <c r="S10" s="50">
        <v>20.0</v>
      </c>
      <c r="T10" s="50">
        <v>21.0</v>
      </c>
      <c r="U10" s="50">
        <v>22.0</v>
      </c>
      <c r="V10" s="50">
        <v>23.0</v>
      </c>
      <c r="W10" s="50">
        <v>24.0</v>
      </c>
      <c r="X10" s="50">
        <v>25.0</v>
      </c>
      <c r="Y10" s="50">
        <v>26.0</v>
      </c>
      <c r="AA10" s="52"/>
    </row>
    <row r="11" ht="16.5" customHeight="1">
      <c r="A11" s="220" t="str">
        <f>'試算-SLOT'!A11</f>
        <v>MYR</v>
      </c>
      <c r="B11" s="220" t="str">
        <f>'試算-SLOT'!B11</f>
        <v>RM</v>
      </c>
      <c r="C11" s="220" t="str">
        <f>'試算-SLOT'!C11</f>
        <v>馬來西亞令吉</v>
      </c>
      <c r="D11" s="261" t="str">
        <f>IF('試算-SLOT'!D11=1,"",'試算-SLOT'!D11)</f>
        <v/>
      </c>
      <c r="E11" s="262">
        <v>0.01</v>
      </c>
      <c r="F11" s="261">
        <v>1.0</v>
      </c>
      <c r="G11" s="261">
        <v>2.0</v>
      </c>
      <c r="H11" s="261">
        <v>3.0</v>
      </c>
      <c r="I11" s="261">
        <v>4.0</v>
      </c>
      <c r="J11" s="261">
        <v>5.0</v>
      </c>
      <c r="K11" s="261">
        <v>6.0</v>
      </c>
      <c r="L11" s="261">
        <v>7.0</v>
      </c>
      <c r="M11" s="261">
        <v>8.0</v>
      </c>
      <c r="N11" s="261">
        <v>10.0</v>
      </c>
      <c r="O11" s="261">
        <v>11.0</v>
      </c>
      <c r="P11" s="261">
        <v>13.0</v>
      </c>
      <c r="Q11" s="261">
        <v>14.0</v>
      </c>
      <c r="R11" s="261">
        <v>15.0</v>
      </c>
      <c r="S11" s="261">
        <v>16.0</v>
      </c>
      <c r="T11" s="261">
        <v>17.0</v>
      </c>
      <c r="U11" s="261">
        <v>18.0</v>
      </c>
      <c r="V11" s="261">
        <v>19.0</v>
      </c>
      <c r="W11" s="261">
        <v>20.0</v>
      </c>
      <c r="X11" s="261">
        <v>21.0</v>
      </c>
      <c r="Y11" s="261">
        <v>22.0</v>
      </c>
      <c r="AA11" s="52"/>
    </row>
    <row r="12" ht="16.5" customHeight="1">
      <c r="A12" s="223" t="str">
        <f>'試算-SLOT'!A12</f>
        <v>SGD</v>
      </c>
      <c r="B12" s="223" t="str">
        <f>'試算-SLOT'!B12</f>
        <v>S$</v>
      </c>
      <c r="C12" s="223" t="str">
        <f>'試算-SLOT'!C12</f>
        <v>新加坡幣</v>
      </c>
      <c r="D12" s="158" t="str">
        <f>IF('試算-SLOT'!D12=1,"",'試算-SLOT'!D12)</f>
        <v/>
      </c>
      <c r="E12" s="251">
        <v>0.001</v>
      </c>
      <c r="F12" s="158">
        <v>2.0</v>
      </c>
      <c r="G12" s="158">
        <v>3.0</v>
      </c>
      <c r="H12" s="158">
        <v>4.0</v>
      </c>
      <c r="I12" s="158">
        <v>5.0</v>
      </c>
      <c r="J12" s="158">
        <v>6.0</v>
      </c>
      <c r="K12" s="158">
        <v>7.0</v>
      </c>
      <c r="L12" s="158">
        <v>9.0</v>
      </c>
      <c r="M12" s="158">
        <v>10.0</v>
      </c>
      <c r="N12" s="158">
        <v>11.0</v>
      </c>
      <c r="O12" s="158">
        <v>13.0</v>
      </c>
      <c r="P12" s="158">
        <v>14.0</v>
      </c>
      <c r="Q12" s="158">
        <v>16.0</v>
      </c>
      <c r="R12" s="158">
        <v>18.0</v>
      </c>
      <c r="S12" s="158">
        <v>20.0</v>
      </c>
      <c r="T12" s="158">
        <v>21.0</v>
      </c>
      <c r="U12" s="158">
        <v>22.0</v>
      </c>
      <c r="V12" s="158">
        <v>23.0</v>
      </c>
      <c r="W12" s="158">
        <v>24.0</v>
      </c>
      <c r="X12" s="158">
        <v>25.0</v>
      </c>
      <c r="Y12" s="158">
        <v>26.0</v>
      </c>
      <c r="AA12" s="52"/>
    </row>
    <row r="13" ht="16.5" customHeight="1">
      <c r="A13" s="225" t="str">
        <f>'試算-SLOT'!A13</f>
        <v>USD</v>
      </c>
      <c r="B13" s="225" t="str">
        <f>'試算-SLOT'!B13</f>
        <v>$</v>
      </c>
      <c r="C13" s="225" t="str">
        <f>'試算-SLOT'!C13</f>
        <v>美元</v>
      </c>
      <c r="D13" s="264" t="str">
        <f>IF('試算-SLOT'!D13=1,"",'試算-SLOT'!D13)</f>
        <v/>
      </c>
      <c r="E13" s="265">
        <v>0.001</v>
      </c>
      <c r="F13" s="264">
        <v>2.0</v>
      </c>
      <c r="G13" s="264">
        <v>3.0</v>
      </c>
      <c r="H13" s="264">
        <v>4.0</v>
      </c>
      <c r="I13" s="264">
        <v>5.0</v>
      </c>
      <c r="J13" s="264">
        <v>6.0</v>
      </c>
      <c r="K13" s="264">
        <v>7.0</v>
      </c>
      <c r="L13" s="264">
        <v>9.0</v>
      </c>
      <c r="M13" s="264">
        <v>10.0</v>
      </c>
      <c r="N13" s="264">
        <v>11.0</v>
      </c>
      <c r="O13" s="264">
        <v>13.0</v>
      </c>
      <c r="P13" s="264">
        <v>14.0</v>
      </c>
      <c r="Q13" s="264">
        <v>16.0</v>
      </c>
      <c r="R13" s="264">
        <v>18.0</v>
      </c>
      <c r="S13" s="264">
        <v>20.0</v>
      </c>
      <c r="T13" s="264">
        <v>21.0</v>
      </c>
      <c r="U13" s="264">
        <v>22.0</v>
      </c>
      <c r="V13" s="264">
        <v>23.0</v>
      </c>
      <c r="W13" s="264">
        <v>24.0</v>
      </c>
      <c r="X13" s="264">
        <v>25.0</v>
      </c>
      <c r="Y13" s="264">
        <v>26.0</v>
      </c>
      <c r="AA13" s="52"/>
    </row>
    <row r="14" ht="16.5" customHeight="1">
      <c r="A14" s="218" t="str">
        <f>'試算-SLOT'!A14</f>
        <v>BDT</v>
      </c>
      <c r="B14" s="218" t="str">
        <f>'試算-SLOT'!B14</f>
        <v>৳</v>
      </c>
      <c r="C14" s="218" t="str">
        <f>'試算-SLOT'!C14</f>
        <v>孟加拉塔卡</v>
      </c>
      <c r="D14" s="253" t="str">
        <f>IF('試算-SLOT'!D14=1,"",'試算-SLOT'!D14)</f>
        <v/>
      </c>
      <c r="E14" s="254">
        <v>0.01</v>
      </c>
      <c r="F14" s="229">
        <v>1.0</v>
      </c>
      <c r="G14" s="229">
        <v>2.0</v>
      </c>
      <c r="H14" s="229">
        <v>4.0</v>
      </c>
      <c r="I14" s="229">
        <v>5.0</v>
      </c>
      <c r="J14" s="229">
        <v>6.0</v>
      </c>
      <c r="K14" s="229">
        <v>7.0</v>
      </c>
      <c r="L14" s="229">
        <v>9.0</v>
      </c>
      <c r="M14" s="229">
        <v>10.0</v>
      </c>
      <c r="N14" s="229">
        <v>11.0</v>
      </c>
      <c r="O14" s="229">
        <v>13.0</v>
      </c>
      <c r="P14" s="229">
        <v>14.0</v>
      </c>
      <c r="Q14" s="229">
        <v>16.0</v>
      </c>
      <c r="R14" s="229">
        <v>19.0</v>
      </c>
      <c r="S14" s="229">
        <v>20.0</v>
      </c>
      <c r="T14" s="229">
        <v>21.0</v>
      </c>
      <c r="U14" s="229">
        <v>24.0</v>
      </c>
      <c r="V14" s="229">
        <v>26.0</v>
      </c>
      <c r="W14" s="229">
        <v>27.0</v>
      </c>
      <c r="X14" s="229">
        <v>29.0</v>
      </c>
      <c r="Y14" s="229">
        <v>30.0</v>
      </c>
      <c r="AA14" s="52"/>
    </row>
    <row r="15" ht="16.5" customHeight="1">
      <c r="A15" s="218" t="str">
        <f>'試算-SLOT'!A15</f>
        <v>PKR</v>
      </c>
      <c r="B15" s="218" t="str">
        <f>'試算-SLOT'!B15</f>
        <v>₨</v>
      </c>
      <c r="C15" s="218" t="str">
        <f>'試算-SLOT'!C15</f>
        <v>巴基斯坦盧比</v>
      </c>
      <c r="D15" s="253" t="str">
        <f>IF('試算-SLOT'!D15=1,"",'試算-SLOT'!D15)</f>
        <v/>
      </c>
      <c r="E15" s="254">
        <v>0.01</v>
      </c>
      <c r="F15" s="229">
        <v>1.0</v>
      </c>
      <c r="G15" s="229">
        <v>2.0</v>
      </c>
      <c r="H15" s="229">
        <v>4.0</v>
      </c>
      <c r="I15" s="229">
        <v>5.0</v>
      </c>
      <c r="J15" s="229">
        <v>6.0</v>
      </c>
      <c r="K15" s="229">
        <v>7.0</v>
      </c>
      <c r="L15" s="229">
        <v>9.0</v>
      </c>
      <c r="M15" s="229">
        <v>10.0</v>
      </c>
      <c r="N15" s="229">
        <v>11.0</v>
      </c>
      <c r="O15" s="229">
        <v>13.0</v>
      </c>
      <c r="P15" s="229">
        <v>14.0</v>
      </c>
      <c r="Q15" s="229">
        <v>16.0</v>
      </c>
      <c r="R15" s="229">
        <v>19.0</v>
      </c>
      <c r="S15" s="229">
        <v>20.0</v>
      </c>
      <c r="T15" s="229">
        <v>21.0</v>
      </c>
      <c r="U15" s="229">
        <v>24.0</v>
      </c>
      <c r="V15" s="229">
        <v>26.0</v>
      </c>
      <c r="W15" s="229">
        <v>27.0</v>
      </c>
      <c r="X15" s="229">
        <v>29.0</v>
      </c>
      <c r="Y15" s="229">
        <v>30.0</v>
      </c>
      <c r="AA15" s="52"/>
    </row>
    <row r="16" ht="16.5" customHeight="1">
      <c r="A16" s="223" t="str">
        <f>'試算-SLOT'!A16</f>
        <v>MMK</v>
      </c>
      <c r="B16" s="223" t="str">
        <f>'試算-SLOT'!B16</f>
        <v>K</v>
      </c>
      <c r="C16" s="223" t="str">
        <f>'試算-SLOT'!C16</f>
        <v>緬甸元(K)</v>
      </c>
      <c r="D16" s="158">
        <f>IF('試算-SLOT'!D16=1,"",'試算-SLOT'!D16)</f>
        <v>1000</v>
      </c>
      <c r="E16" s="251">
        <v>0.001</v>
      </c>
      <c r="F16" s="158">
        <v>2.0</v>
      </c>
      <c r="G16" s="158">
        <v>3.0</v>
      </c>
      <c r="H16" s="158">
        <v>4.0</v>
      </c>
      <c r="I16" s="158">
        <v>5.0</v>
      </c>
      <c r="J16" s="158">
        <v>6.0</v>
      </c>
      <c r="K16" s="158">
        <v>7.0</v>
      </c>
      <c r="L16" s="158">
        <v>9.0</v>
      </c>
      <c r="M16" s="158">
        <v>10.0</v>
      </c>
      <c r="N16" s="158">
        <v>11.0</v>
      </c>
      <c r="O16" s="158">
        <v>13.0</v>
      </c>
      <c r="P16" s="158">
        <v>14.0</v>
      </c>
      <c r="Q16" s="158">
        <v>16.0</v>
      </c>
      <c r="R16" s="158">
        <v>18.0</v>
      </c>
      <c r="S16" s="158">
        <v>20.0</v>
      </c>
      <c r="T16" s="158">
        <v>21.0</v>
      </c>
      <c r="U16" s="158">
        <v>22.0</v>
      </c>
      <c r="V16" s="158">
        <v>23.0</v>
      </c>
      <c r="W16" s="158">
        <v>24.0</v>
      </c>
      <c r="X16" s="158">
        <v>25.0</v>
      </c>
      <c r="Y16" s="158">
        <v>26.0</v>
      </c>
      <c r="AA16" s="52"/>
    </row>
    <row r="17" ht="16.5" customHeight="1">
      <c r="A17" s="56" t="str">
        <f>'試算-SLOT'!A17</f>
        <v>MMH</v>
      </c>
      <c r="B17" s="56" t="str">
        <f>'試算-SLOT'!B17</f>
        <v>K</v>
      </c>
      <c r="C17" s="56" t="str">
        <f>'試算-SLOT'!C17</f>
        <v>緬甸元(H)</v>
      </c>
      <c r="D17" s="50">
        <f>IF('試算-SLOT'!D17=1,"",'試算-SLOT'!D17)</f>
        <v>100</v>
      </c>
      <c r="E17" s="263">
        <v>0.01</v>
      </c>
      <c r="F17" s="50">
        <v>1.0</v>
      </c>
      <c r="G17" s="50">
        <v>2.0</v>
      </c>
      <c r="H17" s="50">
        <v>3.0</v>
      </c>
      <c r="I17" s="50">
        <v>4.0</v>
      </c>
      <c r="J17" s="50">
        <v>5.0</v>
      </c>
      <c r="K17" s="50">
        <v>7.0</v>
      </c>
      <c r="L17" s="50">
        <v>9.0</v>
      </c>
      <c r="M17" s="50">
        <v>10.0</v>
      </c>
      <c r="N17" s="50">
        <v>11.0</v>
      </c>
      <c r="O17" s="50">
        <v>13.0</v>
      </c>
      <c r="P17" s="50">
        <v>14.0</v>
      </c>
      <c r="Q17" s="50">
        <v>16.0</v>
      </c>
      <c r="R17" s="50">
        <v>18.0</v>
      </c>
      <c r="S17" s="50">
        <v>20.0</v>
      </c>
      <c r="T17" s="50">
        <v>21.0</v>
      </c>
      <c r="U17" s="50">
        <v>22.0</v>
      </c>
      <c r="V17" s="50">
        <v>23.0</v>
      </c>
      <c r="W17" s="50">
        <v>24.0</v>
      </c>
      <c r="X17" s="50">
        <v>25.0</v>
      </c>
      <c r="Y17" s="50">
        <v>26.0</v>
      </c>
      <c r="AA17" s="52"/>
    </row>
    <row r="18" ht="16.5" customHeight="1">
      <c r="A18" s="218" t="str">
        <f>'試算-SLOT'!A18</f>
        <v>PHP</v>
      </c>
      <c r="B18" s="218" t="str">
        <f>'試算-SLOT'!B18</f>
        <v>₱</v>
      </c>
      <c r="C18" s="218" t="str">
        <f>'試算-SLOT'!C18</f>
        <v>菲律賓披索</v>
      </c>
      <c r="D18" s="253" t="str">
        <f>IF('試算-SLOT'!D18=1,"",'試算-SLOT'!D18)</f>
        <v/>
      </c>
      <c r="E18" s="254">
        <v>0.01</v>
      </c>
      <c r="F18" s="229">
        <v>1.0</v>
      </c>
      <c r="G18" s="229">
        <v>2.0</v>
      </c>
      <c r="H18" s="229">
        <v>4.0</v>
      </c>
      <c r="I18" s="229">
        <v>5.0</v>
      </c>
      <c r="J18" s="229">
        <v>6.0</v>
      </c>
      <c r="K18" s="229">
        <v>7.0</v>
      </c>
      <c r="L18" s="229">
        <v>9.0</v>
      </c>
      <c r="M18" s="229">
        <v>10.0</v>
      </c>
      <c r="N18" s="229">
        <v>11.0</v>
      </c>
      <c r="O18" s="229">
        <v>13.0</v>
      </c>
      <c r="P18" s="229">
        <v>14.0</v>
      </c>
      <c r="Q18" s="229">
        <v>16.0</v>
      </c>
      <c r="R18" s="229">
        <v>19.0</v>
      </c>
      <c r="S18" s="229">
        <v>20.0</v>
      </c>
      <c r="T18" s="229">
        <v>21.0</v>
      </c>
      <c r="U18" s="229">
        <v>24.0</v>
      </c>
      <c r="V18" s="229">
        <v>26.0</v>
      </c>
      <c r="W18" s="229">
        <v>27.0</v>
      </c>
      <c r="X18" s="229">
        <v>29.0</v>
      </c>
      <c r="Y18" s="229">
        <v>30.0</v>
      </c>
      <c r="AA18" s="52"/>
    </row>
    <row r="19" ht="16.5" customHeight="1">
      <c r="A19" s="220" t="str">
        <f>'試算-SLOT'!A19</f>
        <v>CNY</v>
      </c>
      <c r="B19" s="220" t="str">
        <f>'試算-SLOT'!B19</f>
        <v>￥</v>
      </c>
      <c r="C19" s="220" t="str">
        <f>'試算-SLOT'!C19</f>
        <v>人民幣</v>
      </c>
      <c r="D19" s="261" t="str">
        <f>IF('試算-SLOT'!D19=1,"",'試算-SLOT'!D19)</f>
        <v/>
      </c>
      <c r="E19" s="262">
        <v>0.01</v>
      </c>
      <c r="F19" s="261">
        <v>1.0</v>
      </c>
      <c r="G19" s="261">
        <v>2.0</v>
      </c>
      <c r="H19" s="261">
        <v>4.0</v>
      </c>
      <c r="I19" s="261">
        <v>5.0</v>
      </c>
      <c r="J19" s="261">
        <v>6.0</v>
      </c>
      <c r="K19" s="261">
        <v>7.0</v>
      </c>
      <c r="L19" s="261">
        <v>8.0</v>
      </c>
      <c r="M19" s="261">
        <v>9.0</v>
      </c>
      <c r="N19" s="261">
        <v>10.0</v>
      </c>
      <c r="O19" s="261">
        <v>11.0</v>
      </c>
      <c r="P19" s="261">
        <v>13.0</v>
      </c>
      <c r="Q19" s="261">
        <v>14.0</v>
      </c>
      <c r="R19" s="261">
        <v>15.0</v>
      </c>
      <c r="S19" s="261">
        <v>16.0</v>
      </c>
      <c r="T19" s="261">
        <v>18.0</v>
      </c>
      <c r="U19" s="261">
        <v>19.0</v>
      </c>
      <c r="V19" s="261">
        <v>20.0</v>
      </c>
      <c r="W19" s="261">
        <v>21.0</v>
      </c>
      <c r="X19" s="261">
        <v>22.0</v>
      </c>
      <c r="Y19" s="261">
        <v>23.0</v>
      </c>
      <c r="AA19" s="52"/>
    </row>
    <row r="20" ht="16.5" customHeight="1">
      <c r="A20" s="227" t="str">
        <f>'試算-SLOT'!A20</f>
        <v>MXN</v>
      </c>
      <c r="B20" s="227" t="str">
        <f>'試算-SLOT'!B20</f>
        <v>Mex$</v>
      </c>
      <c r="C20" s="227" t="str">
        <f>'試算-SLOT'!C20</f>
        <v>墨⻄哥披索</v>
      </c>
      <c r="D20" s="266" t="str">
        <f>IF('試算-SLOT'!D20=1,"",'試算-SLOT'!D20)</f>
        <v/>
      </c>
      <c r="E20" s="263">
        <v>0.01</v>
      </c>
      <c r="F20" s="50">
        <v>1.0</v>
      </c>
      <c r="G20" s="50">
        <v>2.0</v>
      </c>
      <c r="H20" s="50">
        <v>3.0</v>
      </c>
      <c r="I20" s="50">
        <v>4.0</v>
      </c>
      <c r="J20" s="50">
        <v>5.0</v>
      </c>
      <c r="K20" s="50">
        <v>7.0</v>
      </c>
      <c r="L20" s="50">
        <v>9.0</v>
      </c>
      <c r="M20" s="50">
        <v>10.0</v>
      </c>
      <c r="N20" s="50">
        <v>11.0</v>
      </c>
      <c r="O20" s="50">
        <v>13.0</v>
      </c>
      <c r="P20" s="50">
        <v>14.0</v>
      </c>
      <c r="Q20" s="50">
        <v>16.0</v>
      </c>
      <c r="R20" s="50">
        <v>18.0</v>
      </c>
      <c r="S20" s="50">
        <v>20.0</v>
      </c>
      <c r="T20" s="50">
        <v>21.0</v>
      </c>
      <c r="U20" s="50">
        <v>22.0</v>
      </c>
      <c r="V20" s="50">
        <v>23.0</v>
      </c>
      <c r="W20" s="50">
        <v>24.0</v>
      </c>
      <c r="X20" s="50">
        <v>25.0</v>
      </c>
      <c r="Y20" s="50">
        <v>26.0</v>
      </c>
      <c r="AA20" s="52"/>
    </row>
    <row r="21" ht="16.5" customHeight="1">
      <c r="A21" s="220" t="str">
        <f>'試算-SLOT'!A21</f>
        <v>BRL</v>
      </c>
      <c r="B21" s="220" t="str">
        <f>'試算-SLOT'!B21</f>
        <v>R$</v>
      </c>
      <c r="C21" s="220" t="str">
        <f>'試算-SLOT'!C21</f>
        <v>巴西雷亞爾</v>
      </c>
      <c r="D21" s="267" t="str">
        <f>IF('試算-SLOT'!D21=1,"",'試算-SLOT'!D21)</f>
        <v/>
      </c>
      <c r="E21" s="262">
        <v>0.01</v>
      </c>
      <c r="F21" s="261">
        <v>1.0</v>
      </c>
      <c r="G21" s="261">
        <v>2.0</v>
      </c>
      <c r="H21" s="261">
        <v>3.0</v>
      </c>
      <c r="I21" s="261">
        <v>4.0</v>
      </c>
      <c r="J21" s="261">
        <v>5.0</v>
      </c>
      <c r="K21" s="261">
        <v>6.0</v>
      </c>
      <c r="L21" s="261">
        <v>7.0</v>
      </c>
      <c r="M21" s="261">
        <v>8.0</v>
      </c>
      <c r="N21" s="261">
        <v>10.0</v>
      </c>
      <c r="O21" s="261">
        <v>11.0</v>
      </c>
      <c r="P21" s="261">
        <v>13.0</v>
      </c>
      <c r="Q21" s="261">
        <v>14.0</v>
      </c>
      <c r="R21" s="261">
        <v>15.0</v>
      </c>
      <c r="S21" s="261">
        <v>16.0</v>
      </c>
      <c r="T21" s="261">
        <v>17.0</v>
      </c>
      <c r="U21" s="261">
        <v>18.0</v>
      </c>
      <c r="V21" s="261">
        <v>19.0</v>
      </c>
      <c r="W21" s="261">
        <v>20.0</v>
      </c>
      <c r="X21" s="261">
        <v>21.0</v>
      </c>
      <c r="Y21" s="261">
        <v>22.0</v>
      </c>
      <c r="AA21" s="52"/>
    </row>
    <row r="22" ht="16.5" customHeight="1">
      <c r="A22" s="223" t="str">
        <f>'試算-SLOT'!A22</f>
        <v>AUD</v>
      </c>
      <c r="B22" s="223" t="str">
        <f>'試算-SLOT'!B22</f>
        <v>A$</v>
      </c>
      <c r="C22" s="223" t="str">
        <f>'試算-SLOT'!C22</f>
        <v>澳洲元</v>
      </c>
      <c r="D22" s="250" t="str">
        <f>IF('試算-SLOT'!D22=1,"",'試算-SLOT'!D22)</f>
        <v/>
      </c>
      <c r="E22" s="251">
        <v>0.001</v>
      </c>
      <c r="F22" s="158">
        <v>2.0</v>
      </c>
      <c r="G22" s="158">
        <v>3.0</v>
      </c>
      <c r="H22" s="158">
        <v>4.0</v>
      </c>
      <c r="I22" s="158">
        <v>5.0</v>
      </c>
      <c r="J22" s="158">
        <v>6.0</v>
      </c>
      <c r="K22" s="158">
        <v>7.0</v>
      </c>
      <c r="L22" s="158">
        <v>9.0</v>
      </c>
      <c r="M22" s="158">
        <v>10.0</v>
      </c>
      <c r="N22" s="158">
        <v>11.0</v>
      </c>
      <c r="O22" s="158">
        <v>13.0</v>
      </c>
      <c r="P22" s="158">
        <v>14.0</v>
      </c>
      <c r="Q22" s="158">
        <v>16.0</v>
      </c>
      <c r="R22" s="158">
        <v>18.0</v>
      </c>
      <c r="S22" s="158">
        <v>20.0</v>
      </c>
      <c r="T22" s="158">
        <v>21.0</v>
      </c>
      <c r="U22" s="158">
        <v>22.0</v>
      </c>
      <c r="V22" s="158">
        <v>23.0</v>
      </c>
      <c r="W22" s="158">
        <v>24.0</v>
      </c>
      <c r="X22" s="158">
        <v>25.0</v>
      </c>
      <c r="Y22" s="158">
        <v>26.0</v>
      </c>
      <c r="AA22" s="52"/>
    </row>
    <row r="23" ht="16.5" customHeight="1">
      <c r="A23" s="218" t="str">
        <f>'試算-SLOT'!A23</f>
        <v>JPY</v>
      </c>
      <c r="B23" s="218" t="str">
        <f>'試算-SLOT'!B23</f>
        <v>￥</v>
      </c>
      <c r="C23" s="218" t="str">
        <f>'試算-SLOT'!C23</f>
        <v>日圓</v>
      </c>
      <c r="D23" s="253" t="str">
        <f>IF('試算-SLOT'!D23=1,"",'試算-SLOT'!D23)</f>
        <v/>
      </c>
      <c r="E23" s="254">
        <v>0.02</v>
      </c>
      <c r="F23" s="229">
        <v>1.0</v>
      </c>
      <c r="G23" s="229">
        <v>2.0</v>
      </c>
      <c r="H23" s="229">
        <v>4.0</v>
      </c>
      <c r="I23" s="229">
        <v>5.0</v>
      </c>
      <c r="J23" s="229">
        <v>6.0</v>
      </c>
      <c r="K23" s="229">
        <v>7.0</v>
      </c>
      <c r="L23" s="229">
        <v>9.0</v>
      </c>
      <c r="M23" s="229">
        <v>10.0</v>
      </c>
      <c r="N23" s="229">
        <v>11.0</v>
      </c>
      <c r="O23" s="229">
        <v>13.0</v>
      </c>
      <c r="P23" s="229">
        <v>14.0</v>
      </c>
      <c r="Q23" s="229">
        <v>16.0</v>
      </c>
      <c r="R23" s="229">
        <v>19.0</v>
      </c>
      <c r="S23" s="229">
        <v>20.0</v>
      </c>
      <c r="T23" s="229">
        <v>21.0</v>
      </c>
      <c r="U23" s="229">
        <v>24.0</v>
      </c>
      <c r="V23" s="229">
        <v>26.0</v>
      </c>
      <c r="W23" s="229">
        <v>27.0</v>
      </c>
      <c r="X23" s="229">
        <v>29.0</v>
      </c>
      <c r="Y23" s="229">
        <v>30.0</v>
      </c>
      <c r="AA23" s="52"/>
    </row>
    <row r="24" ht="16.5" customHeight="1">
      <c r="A24" s="218" t="str">
        <f>'試算-SLOT'!A24</f>
        <v>KRW</v>
      </c>
      <c r="B24" s="218" t="str">
        <f>'試算-SLOT'!B24</f>
        <v>₩</v>
      </c>
      <c r="C24" s="218" t="str">
        <f>'試算-SLOT'!C24</f>
        <v>韓圓</v>
      </c>
      <c r="D24" s="253" t="str">
        <f>IF('試算-SLOT'!D24=1,"",'試算-SLOT'!D24)</f>
        <v/>
      </c>
      <c r="E24" s="254">
        <v>0.2</v>
      </c>
      <c r="F24" s="229">
        <v>1.0</v>
      </c>
      <c r="G24" s="229">
        <v>2.0</v>
      </c>
      <c r="H24" s="229">
        <v>4.0</v>
      </c>
      <c r="I24" s="229">
        <v>5.0</v>
      </c>
      <c r="J24" s="229">
        <v>6.0</v>
      </c>
      <c r="K24" s="229">
        <v>7.0</v>
      </c>
      <c r="L24" s="229">
        <v>9.0</v>
      </c>
      <c r="M24" s="229">
        <v>10.0</v>
      </c>
      <c r="N24" s="229">
        <v>11.0</v>
      </c>
      <c r="O24" s="229">
        <v>13.0</v>
      </c>
      <c r="P24" s="229">
        <v>14.0</v>
      </c>
      <c r="Q24" s="229">
        <v>16.0</v>
      </c>
      <c r="R24" s="229">
        <v>19.0</v>
      </c>
      <c r="S24" s="229">
        <v>20.0</v>
      </c>
      <c r="T24" s="229">
        <v>21.0</v>
      </c>
      <c r="U24" s="229">
        <v>24.0</v>
      </c>
      <c r="V24" s="229">
        <v>26.0</v>
      </c>
      <c r="W24" s="229">
        <v>27.0</v>
      </c>
      <c r="X24" s="229">
        <v>29.0</v>
      </c>
      <c r="Y24" s="229">
        <v>30.0</v>
      </c>
      <c r="AA24" s="52"/>
    </row>
    <row r="25" ht="16.5" customHeight="1">
      <c r="A25" s="218" t="str">
        <f>'試算-SLOT'!A25</f>
        <v>CLP</v>
      </c>
      <c r="B25" s="218" t="str">
        <f>'試算-SLOT'!B25</f>
        <v>$</v>
      </c>
      <c r="C25" s="218" t="str">
        <f>'試算-SLOT'!C25</f>
        <v>智利披索</v>
      </c>
      <c r="D25" s="253" t="str">
        <f>IF('試算-SLOT'!D25=1,"",'試算-SLOT'!D25)</f>
        <v/>
      </c>
      <c r="E25" s="254">
        <v>0.2</v>
      </c>
      <c r="F25" s="229">
        <v>1.0</v>
      </c>
      <c r="G25" s="229">
        <v>2.0</v>
      </c>
      <c r="H25" s="229">
        <v>4.0</v>
      </c>
      <c r="I25" s="229">
        <v>5.0</v>
      </c>
      <c r="J25" s="229">
        <v>6.0</v>
      </c>
      <c r="K25" s="229">
        <v>7.0</v>
      </c>
      <c r="L25" s="229">
        <v>9.0</v>
      </c>
      <c r="M25" s="229">
        <v>10.0</v>
      </c>
      <c r="N25" s="229">
        <v>11.0</v>
      </c>
      <c r="O25" s="229">
        <v>13.0</v>
      </c>
      <c r="P25" s="229">
        <v>14.0</v>
      </c>
      <c r="Q25" s="229">
        <v>16.0</v>
      </c>
      <c r="R25" s="229">
        <v>19.0</v>
      </c>
      <c r="S25" s="229">
        <v>20.0</v>
      </c>
      <c r="T25" s="229">
        <v>21.0</v>
      </c>
      <c r="U25" s="229">
        <v>24.0</v>
      </c>
      <c r="V25" s="229">
        <v>26.0</v>
      </c>
      <c r="W25" s="229">
        <v>27.0</v>
      </c>
      <c r="X25" s="229">
        <v>29.0</v>
      </c>
      <c r="Y25" s="229">
        <v>30.0</v>
      </c>
      <c r="AA25" s="52"/>
    </row>
    <row r="26" ht="16.5" customHeight="1">
      <c r="A26" s="218" t="str">
        <f>'試算-SLOT'!A26</f>
        <v>MMKO</v>
      </c>
      <c r="B26" s="218" t="str">
        <f>'試算-SLOT'!B26</f>
        <v>K</v>
      </c>
      <c r="C26" s="218" t="str">
        <f>'試算-SLOT'!C26</f>
        <v>緬甸元</v>
      </c>
      <c r="D26" s="253" t="str">
        <f>IF('試算-SLOT'!D26=1,"",'試算-SLOT'!D26)</f>
        <v/>
      </c>
      <c r="E26" s="254">
        <v>0.2</v>
      </c>
      <c r="F26" s="229">
        <v>1.0</v>
      </c>
      <c r="G26" s="229">
        <v>2.0</v>
      </c>
      <c r="H26" s="229">
        <v>4.0</v>
      </c>
      <c r="I26" s="229">
        <v>5.0</v>
      </c>
      <c r="J26" s="229">
        <v>6.0</v>
      </c>
      <c r="K26" s="229">
        <v>7.0</v>
      </c>
      <c r="L26" s="229">
        <v>9.0</v>
      </c>
      <c r="M26" s="229">
        <v>10.0</v>
      </c>
      <c r="N26" s="229">
        <v>11.0</v>
      </c>
      <c r="O26" s="229">
        <v>13.0</v>
      </c>
      <c r="P26" s="229">
        <v>14.0</v>
      </c>
      <c r="Q26" s="229">
        <v>16.0</v>
      </c>
      <c r="R26" s="229">
        <v>19.0</v>
      </c>
      <c r="S26" s="229">
        <v>20.0</v>
      </c>
      <c r="T26" s="229">
        <v>21.0</v>
      </c>
      <c r="U26" s="229">
        <v>24.0</v>
      </c>
      <c r="V26" s="229">
        <v>26.0</v>
      </c>
      <c r="W26" s="229">
        <v>27.0</v>
      </c>
      <c r="X26" s="229">
        <v>29.0</v>
      </c>
      <c r="Y26" s="229">
        <v>30.0</v>
      </c>
      <c r="AA26" s="52"/>
    </row>
    <row r="27" ht="16.5" customHeight="1">
      <c r="A27" s="218" t="str">
        <f>'試算-SLOT'!A27</f>
        <v>IDRO</v>
      </c>
      <c r="B27" s="218" t="str">
        <f>'試算-SLOT'!B27</f>
        <v>Rp</v>
      </c>
      <c r="C27" s="218" t="str">
        <f>'試算-SLOT'!C27</f>
        <v>印尼盧比</v>
      </c>
      <c r="D27" s="253" t="str">
        <f>IF('試算-SLOT'!D27=1,"",'試算-SLOT'!D27)</f>
        <v/>
      </c>
      <c r="E27" s="254">
        <v>0.2</v>
      </c>
      <c r="F27" s="229">
        <v>1.0</v>
      </c>
      <c r="G27" s="229">
        <v>2.0</v>
      </c>
      <c r="H27" s="229">
        <v>4.0</v>
      </c>
      <c r="I27" s="229">
        <v>5.0</v>
      </c>
      <c r="J27" s="229">
        <v>6.0</v>
      </c>
      <c r="K27" s="229">
        <v>7.0</v>
      </c>
      <c r="L27" s="229">
        <v>9.0</v>
      </c>
      <c r="M27" s="229">
        <v>10.0</v>
      </c>
      <c r="N27" s="229">
        <v>11.0</v>
      </c>
      <c r="O27" s="229">
        <v>13.0</v>
      </c>
      <c r="P27" s="229">
        <v>14.0</v>
      </c>
      <c r="Q27" s="229">
        <v>16.0</v>
      </c>
      <c r="R27" s="229">
        <v>19.0</v>
      </c>
      <c r="S27" s="229">
        <v>20.0</v>
      </c>
      <c r="T27" s="229">
        <v>21.0</v>
      </c>
      <c r="U27" s="229">
        <v>24.0</v>
      </c>
      <c r="V27" s="229">
        <v>26.0</v>
      </c>
      <c r="W27" s="229">
        <v>27.0</v>
      </c>
      <c r="X27" s="229">
        <v>29.0</v>
      </c>
      <c r="Y27" s="229">
        <v>30.0</v>
      </c>
      <c r="AA27" s="52"/>
    </row>
    <row r="28" ht="16.5" customHeight="1">
      <c r="A28" s="218" t="str">
        <f>'試算-SLOT'!A28</f>
        <v>RUB</v>
      </c>
      <c r="B28" s="218" t="str">
        <f>'試算-SLOT'!B28</f>
        <v>₽</v>
      </c>
      <c r="C28" s="218" t="str">
        <f>'試算-SLOT'!C28</f>
        <v>盧布</v>
      </c>
      <c r="D28" s="253" t="str">
        <f>IF('試算-SLOT'!D28=1,"",'試算-SLOT'!D28)</f>
        <v/>
      </c>
      <c r="E28" s="254">
        <v>0.01</v>
      </c>
      <c r="F28" s="229">
        <v>1.0</v>
      </c>
      <c r="G28" s="229">
        <v>2.0</v>
      </c>
      <c r="H28" s="229">
        <v>4.0</v>
      </c>
      <c r="I28" s="229">
        <v>5.0</v>
      </c>
      <c r="J28" s="229">
        <v>6.0</v>
      </c>
      <c r="K28" s="229">
        <v>7.0</v>
      </c>
      <c r="L28" s="229">
        <v>9.0</v>
      </c>
      <c r="M28" s="229">
        <v>10.0</v>
      </c>
      <c r="N28" s="229">
        <v>11.0</v>
      </c>
      <c r="O28" s="229">
        <v>13.0</v>
      </c>
      <c r="P28" s="229">
        <v>14.0</v>
      </c>
      <c r="Q28" s="229">
        <v>16.0</v>
      </c>
      <c r="R28" s="229">
        <v>19.0</v>
      </c>
      <c r="S28" s="229">
        <v>20.0</v>
      </c>
      <c r="T28" s="229">
        <v>21.0</v>
      </c>
      <c r="U28" s="229">
        <v>24.0</v>
      </c>
      <c r="V28" s="229">
        <v>26.0</v>
      </c>
      <c r="W28" s="229">
        <v>27.0</v>
      </c>
      <c r="X28" s="229">
        <v>29.0</v>
      </c>
      <c r="Y28" s="229">
        <v>30.0</v>
      </c>
      <c r="AA28" s="52"/>
    </row>
    <row r="29" ht="16.5" customHeight="1">
      <c r="A29" s="218" t="str">
        <f>'試算-SLOT'!A29</f>
        <v>LKR</v>
      </c>
      <c r="B29" s="218" t="str">
        <f>'試算-SLOT'!B29</f>
        <v>₨</v>
      </c>
      <c r="C29" s="218" t="str">
        <f>'試算-SLOT'!C29</f>
        <v>斯里蘭卡盧比</v>
      </c>
      <c r="D29" s="253" t="str">
        <f>IF('試算-SLOT'!D29=1,"",'試算-SLOT'!D29)</f>
        <v/>
      </c>
      <c r="E29" s="254">
        <v>0.01</v>
      </c>
      <c r="F29" s="229">
        <v>1.0</v>
      </c>
      <c r="G29" s="229">
        <v>2.0</v>
      </c>
      <c r="H29" s="229">
        <v>4.0</v>
      </c>
      <c r="I29" s="229">
        <v>5.0</v>
      </c>
      <c r="J29" s="229">
        <v>6.0</v>
      </c>
      <c r="K29" s="229">
        <v>7.0</v>
      </c>
      <c r="L29" s="229">
        <v>9.0</v>
      </c>
      <c r="M29" s="229">
        <v>10.0</v>
      </c>
      <c r="N29" s="229">
        <v>11.0</v>
      </c>
      <c r="O29" s="229">
        <v>13.0</v>
      </c>
      <c r="P29" s="229">
        <v>14.0</v>
      </c>
      <c r="Q29" s="229">
        <v>16.0</v>
      </c>
      <c r="R29" s="229">
        <v>19.0</v>
      </c>
      <c r="S29" s="229">
        <v>20.0</v>
      </c>
      <c r="T29" s="229">
        <v>21.0</v>
      </c>
      <c r="U29" s="229">
        <v>24.0</v>
      </c>
      <c r="V29" s="229">
        <v>26.0</v>
      </c>
      <c r="W29" s="229">
        <v>27.0</v>
      </c>
      <c r="X29" s="229">
        <v>29.0</v>
      </c>
      <c r="Y29" s="229">
        <v>30.0</v>
      </c>
      <c r="AA29" s="52"/>
    </row>
    <row r="30" ht="16.5" customHeight="1">
      <c r="A30" s="218" t="str">
        <f>'試算-SLOT'!A30</f>
        <v>ETB</v>
      </c>
      <c r="B30" s="218" t="str">
        <f>'試算-SLOT'!B30</f>
        <v>Br‎</v>
      </c>
      <c r="C30" s="218" t="str">
        <f>'試算-SLOT'!C30</f>
        <v>衣索比亞比爾</v>
      </c>
      <c r="D30" s="253" t="str">
        <f>IF('試算-SLOT'!D30=1,"",'試算-SLOT'!D30)</f>
        <v/>
      </c>
      <c r="E30" s="254">
        <v>0.01</v>
      </c>
      <c r="F30" s="229">
        <v>1.0</v>
      </c>
      <c r="G30" s="229">
        <v>2.0</v>
      </c>
      <c r="H30" s="229">
        <v>4.0</v>
      </c>
      <c r="I30" s="229">
        <v>5.0</v>
      </c>
      <c r="J30" s="229">
        <v>6.0</v>
      </c>
      <c r="K30" s="229">
        <v>7.0</v>
      </c>
      <c r="L30" s="229">
        <v>9.0</v>
      </c>
      <c r="M30" s="229">
        <v>10.0</v>
      </c>
      <c r="N30" s="229">
        <v>11.0</v>
      </c>
      <c r="O30" s="229">
        <v>13.0</v>
      </c>
      <c r="P30" s="229">
        <v>14.0</v>
      </c>
      <c r="Q30" s="229">
        <v>16.0</v>
      </c>
      <c r="R30" s="229">
        <v>19.0</v>
      </c>
      <c r="S30" s="229">
        <v>20.0</v>
      </c>
      <c r="T30" s="229">
        <v>21.0</v>
      </c>
      <c r="U30" s="229">
        <v>24.0</v>
      </c>
      <c r="V30" s="229">
        <v>26.0</v>
      </c>
      <c r="W30" s="229">
        <v>27.0</v>
      </c>
      <c r="X30" s="229">
        <v>29.0</v>
      </c>
      <c r="Y30" s="229">
        <v>30.0</v>
      </c>
      <c r="AA30" s="52"/>
    </row>
    <row r="31" ht="16.5" customHeight="1">
      <c r="A31" s="218" t="str">
        <f>'試算-SLOT'!A31</f>
        <v>UGX</v>
      </c>
      <c r="B31" s="218" t="str">
        <f>'試算-SLOT'!B31</f>
        <v>USh</v>
      </c>
      <c r="C31" s="218" t="str">
        <f>'試算-SLOT'!C31</f>
        <v>烏干達先令</v>
      </c>
      <c r="D31" s="253" t="str">
        <f>IF('試算-SLOT'!D31=1,"",'試算-SLOT'!D31)</f>
        <v/>
      </c>
      <c r="E31" s="254">
        <v>0.2</v>
      </c>
      <c r="F31" s="229">
        <v>1.0</v>
      </c>
      <c r="G31" s="229">
        <v>2.0</v>
      </c>
      <c r="H31" s="229">
        <v>4.0</v>
      </c>
      <c r="I31" s="229">
        <v>5.0</v>
      </c>
      <c r="J31" s="229">
        <v>6.0</v>
      </c>
      <c r="K31" s="229">
        <v>7.0</v>
      </c>
      <c r="L31" s="229">
        <v>9.0</v>
      </c>
      <c r="M31" s="229">
        <v>10.0</v>
      </c>
      <c r="N31" s="229">
        <v>11.0</v>
      </c>
      <c r="O31" s="229">
        <v>13.0</v>
      </c>
      <c r="P31" s="229">
        <v>14.0</v>
      </c>
      <c r="Q31" s="229">
        <v>16.0</v>
      </c>
      <c r="R31" s="229">
        <v>19.0</v>
      </c>
      <c r="S31" s="229">
        <v>20.0</v>
      </c>
      <c r="T31" s="229">
        <v>21.0</v>
      </c>
      <c r="U31" s="229">
        <v>24.0</v>
      </c>
      <c r="V31" s="229">
        <v>26.0</v>
      </c>
      <c r="W31" s="229">
        <v>27.0</v>
      </c>
      <c r="X31" s="229">
        <v>29.0</v>
      </c>
      <c r="Y31" s="229">
        <v>30.0</v>
      </c>
      <c r="AA31" s="52"/>
    </row>
    <row r="32" ht="16.5" customHeight="1">
      <c r="A32" s="225" t="str">
        <f>'試算-SLOT'!A32</f>
        <v>EUR</v>
      </c>
      <c r="B32" s="225" t="str">
        <f>'試算-SLOT'!B32</f>
        <v>€</v>
      </c>
      <c r="C32" s="225" t="str">
        <f>'試算-SLOT'!C32</f>
        <v>歐元</v>
      </c>
      <c r="D32" s="264" t="str">
        <f>IF('試算-SLOT'!D32=1,"",'試算-SLOT'!D32)</f>
        <v/>
      </c>
      <c r="E32" s="265">
        <v>0.001</v>
      </c>
      <c r="F32" s="264">
        <v>2.0</v>
      </c>
      <c r="G32" s="264">
        <v>3.0</v>
      </c>
      <c r="H32" s="264">
        <v>4.0</v>
      </c>
      <c r="I32" s="264">
        <v>5.0</v>
      </c>
      <c r="J32" s="264">
        <v>6.0</v>
      </c>
      <c r="K32" s="264">
        <v>7.0</v>
      </c>
      <c r="L32" s="264">
        <v>9.0</v>
      </c>
      <c r="M32" s="264">
        <v>10.0</v>
      </c>
      <c r="N32" s="264">
        <v>11.0</v>
      </c>
      <c r="O32" s="264">
        <v>13.0</v>
      </c>
      <c r="P32" s="264">
        <v>14.0</v>
      </c>
      <c r="Q32" s="264">
        <v>16.0</v>
      </c>
      <c r="R32" s="264">
        <v>18.0</v>
      </c>
      <c r="S32" s="264">
        <v>20.0</v>
      </c>
      <c r="T32" s="264">
        <v>21.0</v>
      </c>
      <c r="U32" s="264">
        <v>22.0</v>
      </c>
      <c r="V32" s="264">
        <v>23.0</v>
      </c>
      <c r="W32" s="264">
        <v>24.0</v>
      </c>
      <c r="X32" s="264">
        <v>25.0</v>
      </c>
      <c r="Y32" s="264">
        <v>26.0</v>
      </c>
      <c r="AA32" s="52"/>
    </row>
    <row r="33" ht="16.5" customHeight="1">
      <c r="A33" s="218" t="str">
        <f>'試算-SLOT'!A33</f>
        <v>ARS</v>
      </c>
      <c r="B33" s="218" t="str">
        <f>'試算-SLOT'!B33</f>
        <v>$</v>
      </c>
      <c r="C33" s="218" t="str">
        <f>'試算-SLOT'!C33</f>
        <v>阿根廷披索</v>
      </c>
      <c r="D33" s="253" t="str">
        <f>IF('試算-SLOT'!D33=1,"",'試算-SLOT'!D33)</f>
        <v/>
      </c>
      <c r="E33" s="254">
        <v>0.01</v>
      </c>
      <c r="F33" s="229">
        <v>1.0</v>
      </c>
      <c r="G33" s="229">
        <v>2.0</v>
      </c>
      <c r="H33" s="229">
        <v>4.0</v>
      </c>
      <c r="I33" s="229">
        <v>5.0</v>
      </c>
      <c r="J33" s="229">
        <v>6.0</v>
      </c>
      <c r="K33" s="229">
        <v>7.0</v>
      </c>
      <c r="L33" s="229">
        <v>9.0</v>
      </c>
      <c r="M33" s="229">
        <v>10.0</v>
      </c>
      <c r="N33" s="229">
        <v>11.0</v>
      </c>
      <c r="O33" s="229">
        <v>13.0</v>
      </c>
      <c r="P33" s="229">
        <v>14.0</v>
      </c>
      <c r="Q33" s="229">
        <v>16.0</v>
      </c>
      <c r="R33" s="229">
        <v>19.0</v>
      </c>
      <c r="S33" s="229">
        <v>20.0</v>
      </c>
      <c r="T33" s="229">
        <v>21.0</v>
      </c>
      <c r="U33" s="229">
        <v>24.0</v>
      </c>
      <c r="V33" s="229">
        <v>26.0</v>
      </c>
      <c r="W33" s="229">
        <v>27.0</v>
      </c>
      <c r="X33" s="229">
        <v>29.0</v>
      </c>
      <c r="Y33" s="229">
        <v>30.0</v>
      </c>
      <c r="AA33" s="52"/>
    </row>
    <row r="34" ht="16.5" customHeight="1">
      <c r="A34" s="218" t="str">
        <f>'試算-SLOT'!A34</f>
        <v>NGN</v>
      </c>
      <c r="B34" s="218" t="str">
        <f>'試算-SLOT'!B34</f>
        <v>₦</v>
      </c>
      <c r="C34" s="218" t="str">
        <f>'試算-SLOT'!C34</f>
        <v>奈及利亞奈拉</v>
      </c>
      <c r="D34" s="253" t="str">
        <f>IF('試算-SLOT'!D34=1,"",'試算-SLOT'!D34)</f>
        <v/>
      </c>
      <c r="E34" s="254">
        <v>0.2</v>
      </c>
      <c r="F34" s="229">
        <v>1.0</v>
      </c>
      <c r="G34" s="229">
        <v>2.0</v>
      </c>
      <c r="H34" s="229">
        <v>4.0</v>
      </c>
      <c r="I34" s="229">
        <v>5.0</v>
      </c>
      <c r="J34" s="229">
        <v>6.0</v>
      </c>
      <c r="K34" s="229">
        <v>7.0</v>
      </c>
      <c r="L34" s="229">
        <v>9.0</v>
      </c>
      <c r="M34" s="229">
        <v>10.0</v>
      </c>
      <c r="N34" s="229">
        <v>11.0</v>
      </c>
      <c r="O34" s="229">
        <v>13.0</v>
      </c>
      <c r="P34" s="229">
        <v>14.0</v>
      </c>
      <c r="Q34" s="229">
        <v>16.0</v>
      </c>
      <c r="R34" s="229">
        <v>19.0</v>
      </c>
      <c r="S34" s="229">
        <v>20.0</v>
      </c>
      <c r="T34" s="229">
        <v>21.0</v>
      </c>
      <c r="U34" s="229">
        <v>24.0</v>
      </c>
      <c r="V34" s="229">
        <v>26.0</v>
      </c>
      <c r="W34" s="229">
        <v>27.0</v>
      </c>
      <c r="X34" s="229">
        <v>29.0</v>
      </c>
      <c r="Y34" s="229">
        <v>30.0</v>
      </c>
      <c r="AA34" s="52"/>
    </row>
    <row r="35" ht="16.5" customHeight="1">
      <c r="A35" s="218" t="str">
        <f>'試算-SLOT'!A35</f>
        <v>KES</v>
      </c>
      <c r="B35" s="218" t="str">
        <f>'試算-SLOT'!B35</f>
        <v>KSh</v>
      </c>
      <c r="C35" s="218" t="str">
        <f>'試算-SLOT'!C35</f>
        <v>肯亞先令</v>
      </c>
      <c r="D35" s="253" t="str">
        <f>IF('試算-SLOT'!D35=1,"",'試算-SLOT'!D35)</f>
        <v/>
      </c>
      <c r="E35" s="254">
        <v>0.02</v>
      </c>
      <c r="F35" s="229">
        <v>1.0</v>
      </c>
      <c r="G35" s="229">
        <v>2.0</v>
      </c>
      <c r="H35" s="229">
        <v>4.0</v>
      </c>
      <c r="I35" s="229">
        <v>5.0</v>
      </c>
      <c r="J35" s="229">
        <v>6.0</v>
      </c>
      <c r="K35" s="229">
        <v>7.0</v>
      </c>
      <c r="L35" s="229">
        <v>9.0</v>
      </c>
      <c r="M35" s="229">
        <v>10.0</v>
      </c>
      <c r="N35" s="229">
        <v>11.0</v>
      </c>
      <c r="O35" s="229">
        <v>13.0</v>
      </c>
      <c r="P35" s="229">
        <v>14.0</v>
      </c>
      <c r="Q35" s="229">
        <v>16.0</v>
      </c>
      <c r="R35" s="229">
        <v>19.0</v>
      </c>
      <c r="S35" s="229">
        <v>20.0</v>
      </c>
      <c r="T35" s="229">
        <v>21.0</v>
      </c>
      <c r="U35" s="229">
        <v>24.0</v>
      </c>
      <c r="V35" s="229">
        <v>26.0</v>
      </c>
      <c r="W35" s="229">
        <v>27.0</v>
      </c>
      <c r="X35" s="229">
        <v>29.0</v>
      </c>
      <c r="Y35" s="229">
        <v>30.0</v>
      </c>
      <c r="AA35" s="52"/>
    </row>
    <row r="36" ht="16.5" customHeight="1">
      <c r="A36" s="227" t="str">
        <f>'試算-SLOT'!A36</f>
        <v>ZAR</v>
      </c>
      <c r="B36" s="227" t="str">
        <f>'試算-SLOT'!B36</f>
        <v>R</v>
      </c>
      <c r="C36" s="227" t="str">
        <f>'試算-SLOT'!C36</f>
        <v>南非鍰</v>
      </c>
      <c r="D36" s="266" t="str">
        <f>IF('試算-SLOT'!D36=1,"",'試算-SLOT'!D36)</f>
        <v/>
      </c>
      <c r="E36" s="263">
        <v>0.01</v>
      </c>
      <c r="F36" s="50">
        <v>1.0</v>
      </c>
      <c r="G36" s="50">
        <v>2.0</v>
      </c>
      <c r="H36" s="50">
        <v>3.0</v>
      </c>
      <c r="I36" s="50">
        <v>4.0</v>
      </c>
      <c r="J36" s="50">
        <v>5.0</v>
      </c>
      <c r="K36" s="50">
        <v>7.0</v>
      </c>
      <c r="L36" s="50">
        <v>9.0</v>
      </c>
      <c r="M36" s="50">
        <v>10.0</v>
      </c>
      <c r="N36" s="50">
        <v>11.0</v>
      </c>
      <c r="O36" s="50">
        <v>13.0</v>
      </c>
      <c r="P36" s="50">
        <v>14.0</v>
      </c>
      <c r="Q36" s="50">
        <v>16.0</v>
      </c>
      <c r="R36" s="50">
        <v>18.0</v>
      </c>
      <c r="S36" s="50">
        <v>20.0</v>
      </c>
      <c r="T36" s="50">
        <v>21.0</v>
      </c>
      <c r="U36" s="50">
        <v>22.0</v>
      </c>
      <c r="V36" s="50">
        <v>23.0</v>
      </c>
      <c r="W36" s="50">
        <v>24.0</v>
      </c>
      <c r="X36" s="50">
        <v>25.0</v>
      </c>
      <c r="Y36" s="50">
        <v>26.0</v>
      </c>
      <c r="AA36" s="52"/>
    </row>
    <row r="37" ht="16.5" customHeight="1">
      <c r="A37" s="227" t="str">
        <f>'試算-SLOT'!A37</f>
        <v>TRY</v>
      </c>
      <c r="B37" s="227" t="str">
        <f>'試算-SLOT'!B37</f>
        <v>₺</v>
      </c>
      <c r="C37" s="227" t="str">
        <f>'試算-SLOT'!C37</f>
        <v>土耳其里拉</v>
      </c>
      <c r="D37" s="266" t="str">
        <f>IF('試算-SLOT'!D37=1,"",'試算-SLOT'!D37)</f>
        <v/>
      </c>
      <c r="E37" s="263">
        <v>0.01</v>
      </c>
      <c r="F37" s="50">
        <v>1.0</v>
      </c>
      <c r="G37" s="50">
        <v>2.0</v>
      </c>
      <c r="H37" s="50">
        <v>3.0</v>
      </c>
      <c r="I37" s="50">
        <v>4.0</v>
      </c>
      <c r="J37" s="50">
        <v>5.0</v>
      </c>
      <c r="K37" s="50">
        <v>7.0</v>
      </c>
      <c r="L37" s="50">
        <v>9.0</v>
      </c>
      <c r="M37" s="50">
        <v>10.0</v>
      </c>
      <c r="N37" s="50">
        <v>11.0</v>
      </c>
      <c r="O37" s="50">
        <v>13.0</v>
      </c>
      <c r="P37" s="50">
        <v>14.0</v>
      </c>
      <c r="Q37" s="50">
        <v>16.0</v>
      </c>
      <c r="R37" s="50">
        <v>18.0</v>
      </c>
      <c r="S37" s="50">
        <v>20.0</v>
      </c>
      <c r="T37" s="50">
        <v>21.0</v>
      </c>
      <c r="U37" s="50">
        <v>22.0</v>
      </c>
      <c r="V37" s="50">
        <v>23.0</v>
      </c>
      <c r="W37" s="50">
        <v>24.0</v>
      </c>
      <c r="X37" s="50">
        <v>25.0</v>
      </c>
      <c r="Y37" s="50">
        <v>26.0</v>
      </c>
      <c r="AA37" s="52"/>
    </row>
    <row r="38" ht="16.5" customHeight="1">
      <c r="A38" s="268" t="str">
        <f>'試算-SLOT'!A38</f>
        <v>GBP</v>
      </c>
      <c r="B38" s="269" t="str">
        <f>'試算-SLOT'!B38</f>
        <v>£</v>
      </c>
      <c r="C38" s="269" t="str">
        <f>'試算-SLOT'!C38</f>
        <v>英鎊</v>
      </c>
      <c r="D38" s="269" t="str">
        <f>IF('試算-SLOT'!D38=1,"",'試算-SLOT'!D38)</f>
        <v/>
      </c>
      <c r="E38" s="270">
        <v>0.001</v>
      </c>
      <c r="F38" s="264">
        <v>2.0</v>
      </c>
      <c r="G38" s="264">
        <v>3.0</v>
      </c>
      <c r="H38" s="264">
        <v>4.0</v>
      </c>
      <c r="I38" s="264">
        <v>5.0</v>
      </c>
      <c r="J38" s="264">
        <v>6.0</v>
      </c>
      <c r="K38" s="264">
        <v>7.0</v>
      </c>
      <c r="L38" s="264">
        <v>9.0</v>
      </c>
      <c r="M38" s="264">
        <v>10.0</v>
      </c>
      <c r="N38" s="264">
        <v>11.0</v>
      </c>
      <c r="O38" s="264">
        <v>13.0</v>
      </c>
      <c r="P38" s="264">
        <v>14.0</v>
      </c>
      <c r="Q38" s="264">
        <v>16.0</v>
      </c>
      <c r="R38" s="264">
        <v>18.0</v>
      </c>
      <c r="S38" s="264">
        <v>20.0</v>
      </c>
      <c r="T38" s="264">
        <v>21.0</v>
      </c>
      <c r="U38" s="264">
        <v>22.0</v>
      </c>
      <c r="V38" s="264">
        <v>23.0</v>
      </c>
      <c r="W38" s="264">
        <v>24.0</v>
      </c>
      <c r="X38" s="264">
        <v>25.0</v>
      </c>
      <c r="Y38" s="264">
        <v>26.0</v>
      </c>
      <c r="AA38" s="52"/>
    </row>
    <row r="39" ht="16.5" customHeight="1">
      <c r="A39" s="255" t="str">
        <f>'試算-SLOT'!A39</f>
        <v>NPR</v>
      </c>
      <c r="B39" s="271" t="str">
        <f>'試算-SLOT'!B39</f>
        <v>रू</v>
      </c>
      <c r="C39" s="271" t="str">
        <f>'試算-SLOT'!C39</f>
        <v>尼泊爾盧比</v>
      </c>
      <c r="D39" s="271" t="str">
        <f>IF('試算-SLOT'!D39=1,"",'試算-SLOT'!D39)</f>
        <v/>
      </c>
      <c r="E39" s="272">
        <v>0.02</v>
      </c>
      <c r="F39" s="229">
        <v>1.0</v>
      </c>
      <c r="G39" s="229">
        <v>2.0</v>
      </c>
      <c r="H39" s="229">
        <v>4.0</v>
      </c>
      <c r="I39" s="229">
        <v>5.0</v>
      </c>
      <c r="J39" s="229">
        <v>6.0</v>
      </c>
      <c r="K39" s="229">
        <v>7.0</v>
      </c>
      <c r="L39" s="229">
        <v>9.0</v>
      </c>
      <c r="M39" s="229">
        <v>10.0</v>
      </c>
      <c r="N39" s="229">
        <v>11.0</v>
      </c>
      <c r="O39" s="229">
        <v>13.0</v>
      </c>
      <c r="P39" s="229">
        <v>14.0</v>
      </c>
      <c r="Q39" s="229">
        <v>16.0</v>
      </c>
      <c r="R39" s="229">
        <v>19.0</v>
      </c>
      <c r="S39" s="229">
        <v>20.0</v>
      </c>
      <c r="T39" s="229">
        <v>21.0</v>
      </c>
      <c r="U39" s="229">
        <v>24.0</v>
      </c>
      <c r="V39" s="229">
        <v>26.0</v>
      </c>
      <c r="W39" s="229">
        <v>27.0</v>
      </c>
      <c r="X39" s="229">
        <v>29.0</v>
      </c>
      <c r="Y39" s="229">
        <v>30.0</v>
      </c>
      <c r="AA39" s="52"/>
    </row>
    <row r="40" ht="16.5" customHeight="1">
      <c r="A40" s="268" t="str">
        <f>'試算-SLOT'!A40</f>
        <v>CHF</v>
      </c>
      <c r="B40" s="269" t="str">
        <f>'試算-SLOT'!B40</f>
        <v>CHF</v>
      </c>
      <c r="C40" s="269" t="str">
        <f>'試算-SLOT'!C40</f>
        <v>瑞士法郎</v>
      </c>
      <c r="D40" s="269" t="str">
        <f>IF('試算-SLOT'!D40=1,"",'試算-SLOT'!D40)</f>
        <v/>
      </c>
      <c r="E40" s="270">
        <v>0.001</v>
      </c>
      <c r="F40" s="264">
        <v>2.0</v>
      </c>
      <c r="G40" s="264">
        <v>3.0</v>
      </c>
      <c r="H40" s="264">
        <v>4.0</v>
      </c>
      <c r="I40" s="264">
        <v>5.0</v>
      </c>
      <c r="J40" s="264">
        <v>6.0</v>
      </c>
      <c r="K40" s="264">
        <v>7.0</v>
      </c>
      <c r="L40" s="264">
        <v>9.0</v>
      </c>
      <c r="M40" s="264">
        <v>10.0</v>
      </c>
      <c r="N40" s="264">
        <v>11.0</v>
      </c>
      <c r="O40" s="264">
        <v>13.0</v>
      </c>
      <c r="P40" s="264">
        <v>14.0</v>
      </c>
      <c r="Q40" s="264">
        <v>16.0</v>
      </c>
      <c r="R40" s="264">
        <v>18.0</v>
      </c>
      <c r="S40" s="264">
        <v>20.0</v>
      </c>
      <c r="T40" s="264">
        <v>21.0</v>
      </c>
      <c r="U40" s="264">
        <v>22.0</v>
      </c>
      <c r="V40" s="264">
        <v>23.0</v>
      </c>
      <c r="W40" s="264">
        <v>24.0</v>
      </c>
      <c r="X40" s="264">
        <v>25.0</v>
      </c>
      <c r="Y40" s="264">
        <v>26.0</v>
      </c>
      <c r="AA40" s="52"/>
    </row>
    <row r="41" ht="16.5" customHeight="1">
      <c r="A41" s="252" t="str">
        <f>'試算-SLOT'!A41</f>
        <v>CAD</v>
      </c>
      <c r="B41" s="273" t="str">
        <f>'試算-SLOT'!B41</f>
        <v>$</v>
      </c>
      <c r="C41" s="273" t="str">
        <f>'試算-SLOT'!C41</f>
        <v>加幣</v>
      </c>
      <c r="D41" s="273" t="str">
        <f>IF('試算-SLOT'!D41=1,"",'試算-SLOT'!D41)</f>
        <v/>
      </c>
      <c r="E41" s="274">
        <v>0.001</v>
      </c>
      <c r="F41" s="158">
        <v>2.0</v>
      </c>
      <c r="G41" s="158">
        <v>3.0</v>
      </c>
      <c r="H41" s="158">
        <v>4.0</v>
      </c>
      <c r="I41" s="158">
        <v>5.0</v>
      </c>
      <c r="J41" s="158">
        <v>6.0</v>
      </c>
      <c r="K41" s="158">
        <v>7.0</v>
      </c>
      <c r="L41" s="158">
        <v>9.0</v>
      </c>
      <c r="M41" s="158">
        <v>10.0</v>
      </c>
      <c r="N41" s="158">
        <v>11.0</v>
      </c>
      <c r="O41" s="158">
        <v>13.0</v>
      </c>
      <c r="P41" s="158">
        <v>14.0</v>
      </c>
      <c r="Q41" s="158">
        <v>16.0</v>
      </c>
      <c r="R41" s="158">
        <v>18.0</v>
      </c>
      <c r="S41" s="158">
        <v>20.0</v>
      </c>
      <c r="T41" s="158">
        <v>21.0</v>
      </c>
      <c r="U41" s="158">
        <v>22.0</v>
      </c>
      <c r="V41" s="158">
        <v>23.0</v>
      </c>
      <c r="W41" s="158">
        <v>24.0</v>
      </c>
      <c r="X41" s="158">
        <v>25.0</v>
      </c>
      <c r="Y41" s="158">
        <v>26.0</v>
      </c>
      <c r="AA41" s="52"/>
    </row>
    <row r="42" ht="16.5" customHeight="1">
      <c r="A42" s="275" t="str">
        <f>'試算-SLOT'!A42</f>
        <v>PEN</v>
      </c>
      <c r="B42" s="276" t="str">
        <f>'試算-SLOT'!B42</f>
        <v>PEN</v>
      </c>
      <c r="C42" s="276" t="str">
        <f>'試算-SLOT'!C42</f>
        <v>秘魯新索爾</v>
      </c>
      <c r="D42" s="276" t="str">
        <f>IF('試算-SLOT'!D42=1,"",'試算-SLOT'!D42)</f>
        <v/>
      </c>
      <c r="E42" s="277">
        <v>0.01</v>
      </c>
      <c r="F42" s="261">
        <v>1.0</v>
      </c>
      <c r="G42" s="261">
        <v>2.0</v>
      </c>
      <c r="H42" s="261">
        <v>3.0</v>
      </c>
      <c r="I42" s="261">
        <v>4.0</v>
      </c>
      <c r="J42" s="261">
        <v>5.0</v>
      </c>
      <c r="K42" s="261">
        <v>6.0</v>
      </c>
      <c r="L42" s="261">
        <v>7.0</v>
      </c>
      <c r="M42" s="261">
        <v>8.0</v>
      </c>
      <c r="N42" s="261">
        <v>10.0</v>
      </c>
      <c r="O42" s="261">
        <v>11.0</v>
      </c>
      <c r="P42" s="261">
        <v>13.0</v>
      </c>
      <c r="Q42" s="261">
        <v>14.0</v>
      </c>
      <c r="R42" s="261">
        <v>15.0</v>
      </c>
      <c r="S42" s="261">
        <v>16.0</v>
      </c>
      <c r="T42" s="261">
        <v>17.0</v>
      </c>
      <c r="U42" s="261">
        <v>18.0</v>
      </c>
      <c r="V42" s="261">
        <v>19.0</v>
      </c>
      <c r="W42" s="261">
        <v>20.0</v>
      </c>
      <c r="X42" s="261">
        <v>21.0</v>
      </c>
      <c r="Y42" s="261">
        <v>22.0</v>
      </c>
      <c r="AA42" s="52"/>
    </row>
    <row r="43" ht="16.5" customHeight="1">
      <c r="A43" s="275" t="str">
        <f>'試算-SLOT'!A43</f>
        <v>AED</v>
      </c>
      <c r="B43" s="276" t="str">
        <f>'試算-SLOT'!B43</f>
        <v>AED</v>
      </c>
      <c r="C43" s="276" t="str">
        <f>'試算-SLOT'!C43</f>
        <v>阿聯迪拉姆</v>
      </c>
      <c r="D43" s="276" t="str">
        <f>IF('試算-SLOT'!D43=1,"",'試算-SLOT'!D43)</f>
        <v/>
      </c>
      <c r="E43" s="277">
        <v>0.01</v>
      </c>
      <c r="F43" s="261">
        <v>1.0</v>
      </c>
      <c r="G43" s="261">
        <v>2.0</v>
      </c>
      <c r="H43" s="261">
        <v>3.0</v>
      </c>
      <c r="I43" s="261">
        <v>4.0</v>
      </c>
      <c r="J43" s="261">
        <v>5.0</v>
      </c>
      <c r="K43" s="261">
        <v>6.0</v>
      </c>
      <c r="L43" s="261">
        <v>7.0</v>
      </c>
      <c r="M43" s="261">
        <v>8.0</v>
      </c>
      <c r="N43" s="261">
        <v>10.0</v>
      </c>
      <c r="O43" s="261">
        <v>11.0</v>
      </c>
      <c r="P43" s="261">
        <v>13.0</v>
      </c>
      <c r="Q43" s="261">
        <v>14.0</v>
      </c>
      <c r="R43" s="261">
        <v>15.0</v>
      </c>
      <c r="S43" s="261">
        <v>16.0</v>
      </c>
      <c r="T43" s="261">
        <v>17.0</v>
      </c>
      <c r="U43" s="261">
        <v>18.0</v>
      </c>
      <c r="V43" s="261">
        <v>19.0</v>
      </c>
      <c r="W43" s="261">
        <v>20.0</v>
      </c>
      <c r="X43" s="261">
        <v>21.0</v>
      </c>
      <c r="Y43" s="261">
        <v>22.0</v>
      </c>
      <c r="AA43" s="52"/>
    </row>
    <row r="44" ht="16.5" customHeight="1">
      <c r="A44" s="252" t="str">
        <f>'試算-SLOT'!A44</f>
        <v>BND</v>
      </c>
      <c r="B44" s="273" t="str">
        <f>'試算-SLOT'!B44</f>
        <v>B$</v>
      </c>
      <c r="C44" s="273" t="str">
        <f>'試算-SLOT'!C44</f>
        <v>汶萊幣</v>
      </c>
      <c r="D44" s="273" t="str">
        <f>IF('試算-SLOT'!D44=1,"",'試算-SLOT'!D44)</f>
        <v/>
      </c>
      <c r="E44" s="274">
        <v>0.001</v>
      </c>
      <c r="F44" s="158">
        <v>2.0</v>
      </c>
      <c r="G44" s="158">
        <v>3.0</v>
      </c>
      <c r="H44" s="158">
        <v>4.0</v>
      </c>
      <c r="I44" s="158">
        <v>5.0</v>
      </c>
      <c r="J44" s="158">
        <v>6.0</v>
      </c>
      <c r="K44" s="158">
        <v>7.0</v>
      </c>
      <c r="L44" s="158">
        <v>9.0</v>
      </c>
      <c r="M44" s="158">
        <v>10.0</v>
      </c>
      <c r="N44" s="158">
        <v>11.0</v>
      </c>
      <c r="O44" s="158">
        <v>13.0</v>
      </c>
      <c r="P44" s="158">
        <v>14.0</v>
      </c>
      <c r="Q44" s="158">
        <v>16.0</v>
      </c>
      <c r="R44" s="158">
        <v>18.0</v>
      </c>
      <c r="S44" s="158">
        <v>20.0</v>
      </c>
      <c r="T44" s="158">
        <v>21.0</v>
      </c>
      <c r="U44" s="158">
        <v>22.0</v>
      </c>
      <c r="V44" s="158">
        <v>23.0</v>
      </c>
      <c r="W44" s="158">
        <v>24.0</v>
      </c>
      <c r="X44" s="158">
        <v>25.0</v>
      </c>
      <c r="Y44" s="158">
        <v>26.0</v>
      </c>
      <c r="AA44" s="52"/>
    </row>
    <row r="45" ht="16.5" customHeight="1">
      <c r="A45" s="255" t="str">
        <f>'試算-SLOT'!A45</f>
        <v>COP</v>
      </c>
      <c r="B45" s="271" t="str">
        <f>'試算-SLOT'!B45</f>
        <v>$</v>
      </c>
      <c r="C45" s="271" t="str">
        <f>'試算-SLOT'!C45</f>
        <v>哥倫比亞披索</v>
      </c>
      <c r="D45" s="271" t="str">
        <f>IF('試算-SLOT'!D45=1,"",'試算-SLOT'!D45)</f>
        <v/>
      </c>
      <c r="E45" s="272">
        <v>0.2</v>
      </c>
      <c r="F45" s="229">
        <v>1.0</v>
      </c>
      <c r="G45" s="229">
        <v>2.0</v>
      </c>
      <c r="H45" s="229">
        <v>4.0</v>
      </c>
      <c r="I45" s="229">
        <v>5.0</v>
      </c>
      <c r="J45" s="229">
        <v>6.0</v>
      </c>
      <c r="K45" s="229">
        <v>7.0</v>
      </c>
      <c r="L45" s="229">
        <v>9.0</v>
      </c>
      <c r="M45" s="229">
        <v>10.0</v>
      </c>
      <c r="N45" s="229">
        <v>11.0</v>
      </c>
      <c r="O45" s="229">
        <v>13.0</v>
      </c>
      <c r="P45" s="229">
        <v>14.0</v>
      </c>
      <c r="Q45" s="229">
        <v>16.0</v>
      </c>
      <c r="R45" s="229">
        <v>19.0</v>
      </c>
      <c r="S45" s="229">
        <v>20.0</v>
      </c>
      <c r="T45" s="229">
        <v>21.0</v>
      </c>
      <c r="U45" s="229">
        <v>24.0</v>
      </c>
      <c r="V45" s="229">
        <v>26.0</v>
      </c>
      <c r="W45" s="229">
        <v>27.0</v>
      </c>
      <c r="X45" s="229">
        <v>29.0</v>
      </c>
      <c r="Y45" s="229">
        <v>30.0</v>
      </c>
      <c r="AA45" s="52"/>
    </row>
    <row r="46" ht="16.5" customHeight="1">
      <c r="A46" s="255" t="str">
        <f>'試算-SLOT'!A46</f>
        <v>VNDO</v>
      </c>
      <c r="B46" s="271" t="str">
        <f>'試算-SLOT'!B46</f>
        <v>₫</v>
      </c>
      <c r="C46" s="271" t="str">
        <f>'試算-SLOT'!C46</f>
        <v>越南盾</v>
      </c>
      <c r="D46" s="271" t="str">
        <f>IF('試算-SLOT'!D46=1,"",'試算-SLOT'!D46)</f>
        <v/>
      </c>
      <c r="E46" s="272">
        <v>0.2</v>
      </c>
      <c r="F46" s="229">
        <v>1.0</v>
      </c>
      <c r="G46" s="229">
        <v>2.0</v>
      </c>
      <c r="H46" s="229">
        <v>4.0</v>
      </c>
      <c r="I46" s="229">
        <v>5.0</v>
      </c>
      <c r="J46" s="229">
        <v>6.0</v>
      </c>
      <c r="K46" s="229">
        <v>7.0</v>
      </c>
      <c r="L46" s="229">
        <v>9.0</v>
      </c>
      <c r="M46" s="229">
        <v>10.0</v>
      </c>
      <c r="N46" s="229">
        <v>11.0</v>
      </c>
      <c r="O46" s="229">
        <v>13.0</v>
      </c>
      <c r="P46" s="229">
        <v>14.0</v>
      </c>
      <c r="Q46" s="229">
        <v>16.0</v>
      </c>
      <c r="R46" s="229">
        <v>19.0</v>
      </c>
      <c r="S46" s="229">
        <v>20.0</v>
      </c>
      <c r="T46" s="229">
        <v>21.0</v>
      </c>
      <c r="U46" s="229">
        <v>24.0</v>
      </c>
      <c r="V46" s="229">
        <v>26.0</v>
      </c>
      <c r="W46" s="229">
        <v>27.0</v>
      </c>
      <c r="X46" s="229">
        <v>29.0</v>
      </c>
      <c r="Y46" s="229">
        <v>30.0</v>
      </c>
      <c r="AA46" s="52"/>
    </row>
    <row r="47" ht="16.5" customHeight="1">
      <c r="A47" s="218" t="str">
        <f>'試算-SLOT'!A47</f>
        <v>MYRC</v>
      </c>
      <c r="B47" s="218" t="str">
        <f>'試算-SLOT'!B47</f>
        <v>RM</v>
      </c>
      <c r="C47" s="218" t="str">
        <f>'試算-SLOT'!C47</f>
        <v>馬來西亞令吉</v>
      </c>
      <c r="D47" s="229">
        <f>IF('試算-SLOT'!D47=1,"",'試算-SLOT'!D47)</f>
        <v>0.01</v>
      </c>
      <c r="E47" s="254">
        <v>0.1</v>
      </c>
      <c r="F47" s="229">
        <v>1.0</v>
      </c>
      <c r="G47" s="229">
        <v>2.0</v>
      </c>
      <c r="H47" s="229">
        <v>4.0</v>
      </c>
      <c r="I47" s="229">
        <v>5.0</v>
      </c>
      <c r="J47" s="229">
        <v>6.0</v>
      </c>
      <c r="K47" s="229">
        <v>7.0</v>
      </c>
      <c r="L47" s="229">
        <v>9.0</v>
      </c>
      <c r="M47" s="229">
        <v>10.0</v>
      </c>
      <c r="N47" s="229">
        <v>11.0</v>
      </c>
      <c r="O47" s="229">
        <v>13.0</v>
      </c>
      <c r="P47" s="229">
        <v>14.0</v>
      </c>
      <c r="Q47" s="229">
        <v>16.0</v>
      </c>
      <c r="R47" s="229">
        <v>19.0</v>
      </c>
      <c r="S47" s="229">
        <v>20.0</v>
      </c>
      <c r="T47" s="229">
        <v>21.0</v>
      </c>
      <c r="U47" s="229">
        <v>24.0</v>
      </c>
      <c r="V47" s="229">
        <v>26.0</v>
      </c>
      <c r="W47" s="229">
        <v>27.0</v>
      </c>
      <c r="X47" s="229">
        <v>29.0</v>
      </c>
      <c r="Y47" s="229">
        <v>30.0</v>
      </c>
      <c r="AA47" s="36"/>
    </row>
    <row r="48" ht="16.5" customHeight="1">
      <c r="A48" s="218" t="str">
        <f>'試算-SLOT'!A48</f>
        <v>XSD</v>
      </c>
      <c r="B48" s="218" t="str">
        <f>'試算-SLOT'!B48</f>
        <v/>
      </c>
      <c r="C48" s="218" t="str">
        <f>'試算-SLOT'!C48</f>
        <v>星幣</v>
      </c>
      <c r="D48" s="229" t="str">
        <f>IF('試算-SLOT'!D48=1,"",'試算-SLOT'!D48)</f>
        <v/>
      </c>
      <c r="E48" s="254">
        <v>1.0</v>
      </c>
      <c r="F48" s="229">
        <v>1.0</v>
      </c>
      <c r="G48" s="229">
        <v>2.0</v>
      </c>
      <c r="H48" s="229">
        <v>3.0</v>
      </c>
      <c r="I48" s="229">
        <v>4.0</v>
      </c>
      <c r="J48" s="229">
        <v>5.0</v>
      </c>
      <c r="K48" s="229">
        <v>6.0</v>
      </c>
      <c r="L48" s="229">
        <v>7.0</v>
      </c>
      <c r="M48" s="229">
        <v>8.0</v>
      </c>
      <c r="N48" s="229">
        <v>9.0</v>
      </c>
      <c r="O48" s="229">
        <v>10.0</v>
      </c>
      <c r="P48" s="229">
        <v>11.0</v>
      </c>
      <c r="Q48" s="229">
        <v>12.0</v>
      </c>
      <c r="R48" s="229">
        <v>13.0</v>
      </c>
      <c r="S48" s="229">
        <v>14.0</v>
      </c>
      <c r="T48" s="229">
        <v>16.0</v>
      </c>
      <c r="U48" s="229">
        <v>18.0</v>
      </c>
      <c r="V48" s="229">
        <v>20.0</v>
      </c>
      <c r="W48" s="229">
        <v>21.0</v>
      </c>
      <c r="X48" s="229">
        <v>22.0</v>
      </c>
      <c r="Y48" s="229">
        <v>24.0</v>
      </c>
      <c r="AA48" s="172"/>
    </row>
    <row r="49" ht="16.5" customHeight="1">
      <c r="A49" s="218" t="str">
        <f>'試算-SLOT'!A49</f>
        <v>DZD</v>
      </c>
      <c r="B49" s="218" t="str">
        <f>'試算-SLOT'!B49</f>
        <v>دج</v>
      </c>
      <c r="C49" s="218" t="str">
        <f>'試算-SLOT'!C49</f>
        <v>阿爾及利亞第納爾</v>
      </c>
      <c r="D49" s="253" t="str">
        <f>IF('試算-SLOT'!D49=1,"",'試算-SLOT'!D49)</f>
        <v/>
      </c>
      <c r="E49" s="254">
        <v>0.01</v>
      </c>
      <c r="F49" s="229">
        <v>1.0</v>
      </c>
      <c r="G49" s="229">
        <v>2.0</v>
      </c>
      <c r="H49" s="229">
        <v>4.0</v>
      </c>
      <c r="I49" s="229">
        <v>5.0</v>
      </c>
      <c r="J49" s="229">
        <v>6.0</v>
      </c>
      <c r="K49" s="229">
        <v>7.0</v>
      </c>
      <c r="L49" s="229">
        <v>9.0</v>
      </c>
      <c r="M49" s="229">
        <v>10.0</v>
      </c>
      <c r="N49" s="229">
        <v>11.0</v>
      </c>
      <c r="O49" s="229">
        <v>13.0</v>
      </c>
      <c r="P49" s="229">
        <v>14.0</v>
      </c>
      <c r="Q49" s="229">
        <v>16.0</v>
      </c>
      <c r="R49" s="229">
        <v>19.0</v>
      </c>
      <c r="S49" s="229">
        <v>20.0</v>
      </c>
      <c r="T49" s="229">
        <v>21.0</v>
      </c>
      <c r="U49" s="229">
        <v>24.0</v>
      </c>
      <c r="V49" s="229">
        <v>26.0</v>
      </c>
      <c r="W49" s="229">
        <v>27.0</v>
      </c>
      <c r="X49" s="229">
        <v>29.0</v>
      </c>
      <c r="Y49" s="229">
        <v>30.0</v>
      </c>
      <c r="AA49" s="172"/>
    </row>
    <row r="50" ht="16.5" customHeight="1">
      <c r="A50" s="220" t="str">
        <f>'試算-SLOT'!A50</f>
        <v>MAD</v>
      </c>
      <c r="B50" s="220" t="str">
        <f>'試算-SLOT'!B50</f>
        <v>DH</v>
      </c>
      <c r="C50" s="220" t="str">
        <f>'試算-SLOT'!C50</f>
        <v>摩洛哥迪拉姆</v>
      </c>
      <c r="D50" s="261" t="str">
        <f>IF('試算-SLOT'!D50=1,"",'試算-SLOT'!D50)</f>
        <v/>
      </c>
      <c r="E50" s="262">
        <v>0.01</v>
      </c>
      <c r="F50" s="261">
        <v>1.0</v>
      </c>
      <c r="G50" s="261">
        <v>2.0</v>
      </c>
      <c r="H50" s="261">
        <v>4.0</v>
      </c>
      <c r="I50" s="261">
        <v>5.0</v>
      </c>
      <c r="J50" s="261">
        <v>6.0</v>
      </c>
      <c r="K50" s="261">
        <v>7.0</v>
      </c>
      <c r="L50" s="261">
        <v>8.0</v>
      </c>
      <c r="M50" s="261">
        <v>9.0</v>
      </c>
      <c r="N50" s="261">
        <v>10.0</v>
      </c>
      <c r="O50" s="261">
        <v>11.0</v>
      </c>
      <c r="P50" s="261">
        <v>13.0</v>
      </c>
      <c r="Q50" s="261">
        <v>14.0</v>
      </c>
      <c r="R50" s="261">
        <v>15.0</v>
      </c>
      <c r="S50" s="261">
        <v>16.0</v>
      </c>
      <c r="T50" s="261">
        <v>18.0</v>
      </c>
      <c r="U50" s="261">
        <v>19.0</v>
      </c>
      <c r="V50" s="261">
        <v>20.0</v>
      </c>
      <c r="W50" s="261">
        <v>21.0</v>
      </c>
      <c r="X50" s="261">
        <v>22.0</v>
      </c>
      <c r="Y50" s="261">
        <v>23.0</v>
      </c>
      <c r="AA50" s="172"/>
    </row>
    <row r="51" ht="16.5" customHeight="1">
      <c r="A51" s="220" t="str">
        <f>'試算-SLOT'!A51</f>
        <v>FRF</v>
      </c>
      <c r="B51" s="220" t="str">
        <f>'試算-SLOT'!B51</f>
        <v>₣</v>
      </c>
      <c r="C51" s="220" t="str">
        <f>'試算-SLOT'!C51</f>
        <v>法國法郎</v>
      </c>
      <c r="D51" s="261" t="str">
        <f>IF('試算-SLOT'!D51=1,"",'試算-SLOT'!D51)</f>
        <v/>
      </c>
      <c r="E51" s="262">
        <v>0.01</v>
      </c>
      <c r="F51" s="261">
        <v>1.0</v>
      </c>
      <c r="G51" s="261">
        <v>2.0</v>
      </c>
      <c r="H51" s="261">
        <v>4.0</v>
      </c>
      <c r="I51" s="261">
        <v>5.0</v>
      </c>
      <c r="J51" s="261">
        <v>6.0</v>
      </c>
      <c r="K51" s="261">
        <v>7.0</v>
      </c>
      <c r="L51" s="261">
        <v>8.0</v>
      </c>
      <c r="M51" s="261">
        <v>9.0</v>
      </c>
      <c r="N51" s="261">
        <v>10.0</v>
      </c>
      <c r="O51" s="261">
        <v>11.0</v>
      </c>
      <c r="P51" s="261">
        <v>13.0</v>
      </c>
      <c r="Q51" s="261">
        <v>14.0</v>
      </c>
      <c r="R51" s="261">
        <v>15.0</v>
      </c>
      <c r="S51" s="261">
        <v>16.0</v>
      </c>
      <c r="T51" s="261">
        <v>18.0</v>
      </c>
      <c r="U51" s="261">
        <v>19.0</v>
      </c>
      <c r="V51" s="261">
        <v>20.0</v>
      </c>
      <c r="W51" s="261">
        <v>21.0</v>
      </c>
      <c r="X51" s="261">
        <v>22.0</v>
      </c>
      <c r="Y51" s="261">
        <v>23.0</v>
      </c>
      <c r="AA51" s="172"/>
    </row>
    <row r="52" ht="16.5" customHeight="1">
      <c r="A52" s="220" t="str">
        <f>'試算-SLOT'!A52</f>
        <v>GHS</v>
      </c>
      <c r="B52" s="220" t="str">
        <f>'試算-SLOT'!B52</f>
        <v>Gp</v>
      </c>
      <c r="C52" s="220" t="str">
        <f>'試算-SLOT'!C52</f>
        <v>迦納塞地</v>
      </c>
      <c r="D52" s="261" t="str">
        <f>IF('試算-SLOT'!D52=1,"",'試算-SLOT'!D52)</f>
        <v/>
      </c>
      <c r="E52" s="262">
        <v>0.01</v>
      </c>
      <c r="F52" s="261">
        <v>1.0</v>
      </c>
      <c r="G52" s="261">
        <v>2.0</v>
      </c>
      <c r="H52" s="261">
        <v>4.0</v>
      </c>
      <c r="I52" s="261">
        <v>5.0</v>
      </c>
      <c r="J52" s="261">
        <v>6.0</v>
      </c>
      <c r="K52" s="261">
        <v>7.0</v>
      </c>
      <c r="L52" s="261">
        <v>8.0</v>
      </c>
      <c r="M52" s="261">
        <v>9.0</v>
      </c>
      <c r="N52" s="261">
        <v>10.0</v>
      </c>
      <c r="O52" s="261">
        <v>11.0</v>
      </c>
      <c r="P52" s="261">
        <v>13.0</v>
      </c>
      <c r="Q52" s="261">
        <v>14.0</v>
      </c>
      <c r="R52" s="261">
        <v>15.0</v>
      </c>
      <c r="S52" s="261">
        <v>16.0</v>
      </c>
      <c r="T52" s="261">
        <v>18.0</v>
      </c>
      <c r="U52" s="261">
        <v>19.0</v>
      </c>
      <c r="V52" s="261">
        <v>20.0</v>
      </c>
      <c r="W52" s="261">
        <v>21.0</v>
      </c>
      <c r="X52" s="261">
        <v>22.0</v>
      </c>
      <c r="Y52" s="261">
        <v>23.0</v>
      </c>
      <c r="AA52" s="172"/>
    </row>
    <row r="53" ht="16.5" customHeight="1">
      <c r="A53" s="225" t="str">
        <f>'試算-SLOT'!A53</f>
        <v>RCC</v>
      </c>
      <c r="B53" s="225" t="str">
        <f>'試算-SLOT'!B53</f>
        <v/>
      </c>
      <c r="C53" s="225" t="str">
        <f>'試算-SLOT'!C53</f>
        <v>RCC幣</v>
      </c>
      <c r="D53" s="264" t="str">
        <f>IF('試算-SLOT'!D53=1,"",'試算-SLOT'!D53)</f>
        <v/>
      </c>
      <c r="E53" s="265">
        <v>0.001</v>
      </c>
      <c r="F53" s="264">
        <v>2.0</v>
      </c>
      <c r="G53" s="264">
        <v>3.0</v>
      </c>
      <c r="H53" s="264">
        <v>4.0</v>
      </c>
      <c r="I53" s="264">
        <v>5.0</v>
      </c>
      <c r="J53" s="264">
        <v>6.0</v>
      </c>
      <c r="K53" s="264">
        <v>7.0</v>
      </c>
      <c r="L53" s="264">
        <v>9.0</v>
      </c>
      <c r="M53" s="264">
        <v>10.0</v>
      </c>
      <c r="N53" s="264">
        <v>11.0</v>
      </c>
      <c r="O53" s="264">
        <v>13.0</v>
      </c>
      <c r="P53" s="264">
        <v>14.0</v>
      </c>
      <c r="Q53" s="264">
        <v>16.0</v>
      </c>
      <c r="R53" s="264">
        <v>18.0</v>
      </c>
      <c r="S53" s="264">
        <v>20.0</v>
      </c>
      <c r="T53" s="264">
        <v>21.0</v>
      </c>
      <c r="U53" s="264">
        <v>22.0</v>
      </c>
      <c r="V53" s="264">
        <v>23.0</v>
      </c>
      <c r="W53" s="264">
        <v>24.0</v>
      </c>
      <c r="X53" s="264">
        <v>25.0</v>
      </c>
      <c r="Y53" s="264">
        <v>26.0</v>
      </c>
    </row>
    <row r="54" ht="16.5" customHeight="1">
      <c r="A54" s="218" t="str">
        <f>'試算-SLOT'!A54</f>
        <v>KBB</v>
      </c>
      <c r="B54" s="218" t="str">
        <f>'試算-SLOT'!B54</f>
        <v/>
      </c>
      <c r="C54" s="218" t="str">
        <f>'試算-SLOT'!C54</f>
        <v>爸幣</v>
      </c>
      <c r="D54" s="253" t="str">
        <f>IF('試算-SLOT'!D54=1,"",'試算-SLOT'!D54)</f>
        <v/>
      </c>
      <c r="E54" s="254">
        <v>0.05</v>
      </c>
      <c r="F54" s="229">
        <v>1.0</v>
      </c>
      <c r="G54" s="229">
        <v>2.0</v>
      </c>
      <c r="H54" s="229">
        <v>4.0</v>
      </c>
      <c r="I54" s="229">
        <v>5.0</v>
      </c>
      <c r="J54" s="229">
        <v>6.0</v>
      </c>
      <c r="K54" s="229">
        <v>7.0</v>
      </c>
      <c r="L54" s="229">
        <v>9.0</v>
      </c>
      <c r="M54" s="229">
        <v>10.0</v>
      </c>
      <c r="N54" s="229">
        <v>11.0</v>
      </c>
      <c r="O54" s="229">
        <v>13.0</v>
      </c>
      <c r="P54" s="229">
        <v>14.0</v>
      </c>
      <c r="Q54" s="229">
        <v>16.0</v>
      </c>
      <c r="R54" s="229">
        <v>19.0</v>
      </c>
      <c r="S54" s="229">
        <v>20.0</v>
      </c>
      <c r="T54" s="229">
        <v>21.0</v>
      </c>
      <c r="U54" s="229">
        <v>24.0</v>
      </c>
      <c r="V54" s="229">
        <v>26.0</v>
      </c>
      <c r="W54" s="229">
        <v>27.0</v>
      </c>
      <c r="X54" s="229">
        <v>29.0</v>
      </c>
      <c r="Y54" s="229">
        <v>30.0</v>
      </c>
    </row>
    <row r="55" ht="16.5" customHeight="1">
      <c r="A55" s="218" t="str">
        <f>'試算-SLOT'!A55</f>
        <v>XSMY</v>
      </c>
      <c r="B55" s="218" t="str">
        <f>'試算-SLOT'!B55</f>
        <v/>
      </c>
      <c r="C55" s="218" t="str">
        <f>'試算-SLOT'!C55</f>
        <v>星城馬來西亞</v>
      </c>
      <c r="D55" s="229" t="str">
        <f>IF('試算-SLOT'!D55=1,"",'試算-SLOT'!D55)</f>
        <v/>
      </c>
      <c r="E55" s="254">
        <v>1.0</v>
      </c>
      <c r="F55" s="229">
        <v>1.0</v>
      </c>
      <c r="G55" s="229">
        <v>2.0</v>
      </c>
      <c r="H55" s="229">
        <v>3.0</v>
      </c>
      <c r="I55" s="229">
        <v>4.0</v>
      </c>
      <c r="J55" s="229">
        <v>5.0</v>
      </c>
      <c r="K55" s="229">
        <v>6.0</v>
      </c>
      <c r="L55" s="229">
        <v>7.0</v>
      </c>
      <c r="M55" s="229">
        <v>8.0</v>
      </c>
      <c r="N55" s="229">
        <v>9.0</v>
      </c>
      <c r="O55" s="229">
        <v>10.0</v>
      </c>
      <c r="P55" s="229">
        <v>11.0</v>
      </c>
      <c r="Q55" s="229">
        <v>12.0</v>
      </c>
      <c r="R55" s="229">
        <v>13.0</v>
      </c>
      <c r="S55" s="229">
        <v>14.0</v>
      </c>
      <c r="T55" s="229">
        <v>16.0</v>
      </c>
      <c r="U55" s="229">
        <v>18.0</v>
      </c>
      <c r="V55" s="229">
        <v>20.0</v>
      </c>
      <c r="W55" s="229">
        <v>21.0</v>
      </c>
      <c r="X55" s="229">
        <v>22.0</v>
      </c>
      <c r="Y55" s="229">
        <v>24.0</v>
      </c>
    </row>
    <row r="56" ht="16.5" customHeight="1">
      <c r="A56" s="278"/>
      <c r="B56" s="278"/>
      <c r="C56" s="278"/>
      <c r="D56" s="279"/>
    </row>
    <row r="57" ht="16.5" customHeight="1">
      <c r="A57" s="40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</row>
    <row r="58" ht="16.5" customHeight="1">
      <c r="A58" s="74" t="str">
        <f t="shared" ref="A58:Y58" si="1">A5</f>
        <v>貨幣簡稱</v>
      </c>
      <c r="B58" s="50" t="str">
        <f t="shared" si="1"/>
        <v>貨幣符號</v>
      </c>
      <c r="C58" s="50" t="str">
        <f t="shared" si="1"/>
        <v>中文名稱</v>
      </c>
      <c r="D58" s="50" t="str">
        <f t="shared" si="1"/>
        <v>貨幣轉換</v>
      </c>
      <c r="E58" s="50" t="str">
        <f t="shared" si="1"/>
        <v>Denom</v>
      </c>
      <c r="F58" s="50" t="str">
        <f t="shared" si="1"/>
        <v>第 1 組</v>
      </c>
      <c r="G58" s="50" t="str">
        <f t="shared" si="1"/>
        <v>第 2 組</v>
      </c>
      <c r="H58" s="50" t="str">
        <f t="shared" si="1"/>
        <v>第 3 組</v>
      </c>
      <c r="I58" s="50" t="str">
        <f t="shared" si="1"/>
        <v>第 4 組</v>
      </c>
      <c r="J58" s="50" t="str">
        <f t="shared" si="1"/>
        <v>第 5 組</v>
      </c>
      <c r="K58" s="50" t="str">
        <f t="shared" si="1"/>
        <v>第 6 組</v>
      </c>
      <c r="L58" s="50" t="str">
        <f t="shared" si="1"/>
        <v>第 7 組</v>
      </c>
      <c r="M58" s="50" t="str">
        <f t="shared" si="1"/>
        <v>第 8 組</v>
      </c>
      <c r="N58" s="50" t="str">
        <f t="shared" si="1"/>
        <v>第 9 組</v>
      </c>
      <c r="O58" s="50" t="str">
        <f t="shared" si="1"/>
        <v>第 10 組</v>
      </c>
      <c r="P58" s="50" t="str">
        <f t="shared" si="1"/>
        <v>第 11 組</v>
      </c>
      <c r="Q58" s="50" t="str">
        <f t="shared" si="1"/>
        <v>第 12 組</v>
      </c>
      <c r="R58" s="50" t="str">
        <f t="shared" si="1"/>
        <v>第 13 組</v>
      </c>
      <c r="S58" s="50" t="str">
        <f t="shared" si="1"/>
        <v>第 14 組</v>
      </c>
      <c r="T58" s="50" t="str">
        <f t="shared" si="1"/>
        <v>第 15 組</v>
      </c>
      <c r="U58" s="50" t="str">
        <f t="shared" si="1"/>
        <v>第 16 組</v>
      </c>
      <c r="V58" s="50" t="str">
        <f t="shared" si="1"/>
        <v>第 17 組</v>
      </c>
      <c r="W58" s="50" t="str">
        <f t="shared" si="1"/>
        <v>第 18 組</v>
      </c>
      <c r="X58" s="50" t="str">
        <f t="shared" si="1"/>
        <v>第 19 組</v>
      </c>
      <c r="Y58" s="280" t="str">
        <f t="shared" si="1"/>
        <v>第 20 組</v>
      </c>
      <c r="Z58" s="281"/>
      <c r="AA58" s="234" t="s">
        <v>71</v>
      </c>
    </row>
    <row r="59" ht="16.5" customHeight="1">
      <c r="A59" s="218" t="str">
        <f t="shared" ref="A59:E59" si="2">A6</f>
        <v>THB</v>
      </c>
      <c r="B59" s="218" t="str">
        <f t="shared" si="2"/>
        <v>฿</v>
      </c>
      <c r="C59" s="218" t="str">
        <f t="shared" si="2"/>
        <v>泰銖</v>
      </c>
      <c r="D59" s="253" t="str">
        <f t="shared" si="2"/>
        <v/>
      </c>
      <c r="E59" s="254">
        <f t="shared" si="2"/>
        <v>0.01</v>
      </c>
      <c r="F59" s="255">
        <f t="shared" ref="F59:Y59" si="3">HLOOKUP(F6,$F$1:$AI$2,2) * $D$1 * $E59</f>
        <v>1</v>
      </c>
      <c r="G59" s="255">
        <f t="shared" si="3"/>
        <v>2</v>
      </c>
      <c r="H59" s="255">
        <f t="shared" si="3"/>
        <v>4</v>
      </c>
      <c r="I59" s="255">
        <f t="shared" si="3"/>
        <v>5</v>
      </c>
      <c r="J59" s="255">
        <f t="shared" si="3"/>
        <v>6</v>
      </c>
      <c r="K59" s="255">
        <f t="shared" si="3"/>
        <v>8</v>
      </c>
      <c r="L59" s="255">
        <f t="shared" si="3"/>
        <v>12</v>
      </c>
      <c r="M59" s="255">
        <f t="shared" si="3"/>
        <v>15</v>
      </c>
      <c r="N59" s="255">
        <f t="shared" si="3"/>
        <v>20</v>
      </c>
      <c r="O59" s="255">
        <f t="shared" si="3"/>
        <v>30</v>
      </c>
      <c r="P59" s="255">
        <f t="shared" si="3"/>
        <v>40</v>
      </c>
      <c r="Q59" s="255">
        <f t="shared" si="3"/>
        <v>60</v>
      </c>
      <c r="R59" s="255">
        <f t="shared" si="3"/>
        <v>90</v>
      </c>
      <c r="S59" s="255">
        <f t="shared" si="3"/>
        <v>100</v>
      </c>
      <c r="T59" s="255">
        <f t="shared" si="3"/>
        <v>200</v>
      </c>
      <c r="U59" s="255">
        <f t="shared" si="3"/>
        <v>500</v>
      </c>
      <c r="V59" s="255">
        <f t="shared" si="3"/>
        <v>800</v>
      </c>
      <c r="W59" s="255">
        <f t="shared" si="3"/>
        <v>1000</v>
      </c>
      <c r="X59" s="255">
        <f t="shared" si="3"/>
        <v>1500</v>
      </c>
      <c r="Y59" s="255">
        <f t="shared" si="3"/>
        <v>2000</v>
      </c>
      <c r="Z59" s="281"/>
      <c r="AA59" s="68"/>
    </row>
    <row r="60" ht="16.5" customHeight="1">
      <c r="A60" s="220" t="str">
        <f t="shared" ref="A60:E60" si="4">A7</f>
        <v>HKD</v>
      </c>
      <c r="B60" s="220" t="str">
        <f t="shared" si="4"/>
        <v>HK$</v>
      </c>
      <c r="C60" s="220" t="str">
        <f t="shared" si="4"/>
        <v>港幣</v>
      </c>
      <c r="D60" s="261" t="str">
        <f t="shared" si="4"/>
        <v/>
      </c>
      <c r="E60" s="262">
        <f t="shared" si="4"/>
        <v>0.01</v>
      </c>
      <c r="F60" s="275">
        <f t="shared" ref="F60:Y60" si="5">HLOOKUP(F7,$F$1:$AI$2,2) * $D$1 * $E60</f>
        <v>1</v>
      </c>
      <c r="G60" s="275">
        <f t="shared" si="5"/>
        <v>2</v>
      </c>
      <c r="H60" s="275">
        <f t="shared" si="5"/>
        <v>4</v>
      </c>
      <c r="I60" s="275">
        <f t="shared" si="5"/>
        <v>5</v>
      </c>
      <c r="J60" s="275">
        <f t="shared" si="5"/>
        <v>6</v>
      </c>
      <c r="K60" s="275">
        <f t="shared" si="5"/>
        <v>8</v>
      </c>
      <c r="L60" s="275">
        <f t="shared" si="5"/>
        <v>10</v>
      </c>
      <c r="M60" s="275">
        <f t="shared" si="5"/>
        <v>12</v>
      </c>
      <c r="N60" s="275">
        <f t="shared" si="5"/>
        <v>15</v>
      </c>
      <c r="O60" s="275">
        <f t="shared" si="5"/>
        <v>20</v>
      </c>
      <c r="P60" s="275">
        <f t="shared" si="5"/>
        <v>30</v>
      </c>
      <c r="Q60" s="275">
        <f t="shared" si="5"/>
        <v>40</v>
      </c>
      <c r="R60" s="275">
        <f t="shared" si="5"/>
        <v>50</v>
      </c>
      <c r="S60" s="275">
        <f t="shared" si="5"/>
        <v>60</v>
      </c>
      <c r="T60" s="275">
        <f t="shared" si="5"/>
        <v>80</v>
      </c>
      <c r="U60" s="275">
        <f t="shared" si="5"/>
        <v>90</v>
      </c>
      <c r="V60" s="275">
        <f t="shared" si="5"/>
        <v>100</v>
      </c>
      <c r="W60" s="275">
        <f t="shared" si="5"/>
        <v>200</v>
      </c>
      <c r="X60" s="275">
        <f t="shared" si="5"/>
        <v>300</v>
      </c>
      <c r="Y60" s="275">
        <f t="shared" si="5"/>
        <v>400</v>
      </c>
      <c r="Z60" s="281"/>
      <c r="AA60" s="68"/>
    </row>
    <row r="61" ht="16.5" customHeight="1">
      <c r="A61" s="218" t="str">
        <f t="shared" ref="A61:E61" si="6">A8</f>
        <v>INR</v>
      </c>
      <c r="B61" s="218" t="str">
        <f t="shared" si="6"/>
        <v>₹</v>
      </c>
      <c r="C61" s="218" t="str">
        <f t="shared" si="6"/>
        <v>印度盧比</v>
      </c>
      <c r="D61" s="253" t="str">
        <f t="shared" si="6"/>
        <v/>
      </c>
      <c r="E61" s="254">
        <f t="shared" si="6"/>
        <v>0.01</v>
      </c>
      <c r="F61" s="255">
        <f t="shared" ref="F61:Y61" si="7">HLOOKUP(F8,$F$1:$AI$2,2) * $D$1 * $E61</f>
        <v>1</v>
      </c>
      <c r="G61" s="255">
        <f t="shared" si="7"/>
        <v>2</v>
      </c>
      <c r="H61" s="255">
        <f t="shared" si="7"/>
        <v>4</v>
      </c>
      <c r="I61" s="255">
        <f t="shared" si="7"/>
        <v>5</v>
      </c>
      <c r="J61" s="255">
        <f t="shared" si="7"/>
        <v>6</v>
      </c>
      <c r="K61" s="255">
        <f t="shared" si="7"/>
        <v>8</v>
      </c>
      <c r="L61" s="255">
        <f t="shared" si="7"/>
        <v>12</v>
      </c>
      <c r="M61" s="255">
        <f t="shared" si="7"/>
        <v>15</v>
      </c>
      <c r="N61" s="255">
        <f t="shared" si="7"/>
        <v>20</v>
      </c>
      <c r="O61" s="255">
        <f t="shared" si="7"/>
        <v>30</v>
      </c>
      <c r="P61" s="255">
        <f t="shared" si="7"/>
        <v>40</v>
      </c>
      <c r="Q61" s="255">
        <f t="shared" si="7"/>
        <v>60</v>
      </c>
      <c r="R61" s="255">
        <f t="shared" si="7"/>
        <v>90</v>
      </c>
      <c r="S61" s="255">
        <f t="shared" si="7"/>
        <v>100</v>
      </c>
      <c r="T61" s="255">
        <f t="shared" si="7"/>
        <v>200</v>
      </c>
      <c r="U61" s="255">
        <f t="shared" si="7"/>
        <v>500</v>
      </c>
      <c r="V61" s="255">
        <f t="shared" si="7"/>
        <v>800</v>
      </c>
      <c r="W61" s="255">
        <f t="shared" si="7"/>
        <v>1000</v>
      </c>
      <c r="X61" s="255">
        <f t="shared" si="7"/>
        <v>1500</v>
      </c>
      <c r="Y61" s="255">
        <f t="shared" si="7"/>
        <v>2000</v>
      </c>
      <c r="Z61" s="281"/>
      <c r="AA61" s="68"/>
    </row>
    <row r="62" ht="16.5" customHeight="1">
      <c r="A62" s="56" t="str">
        <f t="shared" ref="A62:E62" si="8">A9</f>
        <v>IDR</v>
      </c>
      <c r="B62" s="56" t="str">
        <f t="shared" si="8"/>
        <v>Rp</v>
      </c>
      <c r="C62" s="56" t="str">
        <f t="shared" si="8"/>
        <v>印尼盧比(K)</v>
      </c>
      <c r="D62" s="50">
        <f t="shared" si="8"/>
        <v>1000</v>
      </c>
      <c r="E62" s="263">
        <f t="shared" si="8"/>
        <v>0.01</v>
      </c>
      <c r="F62" s="65">
        <f t="shared" ref="F62:Y62" si="9">HLOOKUP(F9,$F$1:$AI$2,2) * $D$1 * $E62</f>
        <v>1</v>
      </c>
      <c r="G62" s="65">
        <f t="shared" si="9"/>
        <v>2</v>
      </c>
      <c r="H62" s="65">
        <f t="shared" si="9"/>
        <v>3</v>
      </c>
      <c r="I62" s="65">
        <f t="shared" si="9"/>
        <v>4</v>
      </c>
      <c r="J62" s="65">
        <f t="shared" si="9"/>
        <v>5</v>
      </c>
      <c r="K62" s="65">
        <f t="shared" si="9"/>
        <v>8</v>
      </c>
      <c r="L62" s="65">
        <f t="shared" si="9"/>
        <v>12</v>
      </c>
      <c r="M62" s="65">
        <f t="shared" si="9"/>
        <v>15</v>
      </c>
      <c r="N62" s="65">
        <f t="shared" si="9"/>
        <v>20</v>
      </c>
      <c r="O62" s="65">
        <f t="shared" si="9"/>
        <v>30</v>
      </c>
      <c r="P62" s="65">
        <f t="shared" si="9"/>
        <v>40</v>
      </c>
      <c r="Q62" s="65">
        <f t="shared" si="9"/>
        <v>60</v>
      </c>
      <c r="R62" s="65">
        <f t="shared" si="9"/>
        <v>80</v>
      </c>
      <c r="S62" s="65">
        <f t="shared" si="9"/>
        <v>100</v>
      </c>
      <c r="T62" s="65">
        <f t="shared" si="9"/>
        <v>200</v>
      </c>
      <c r="U62" s="65">
        <f t="shared" si="9"/>
        <v>300</v>
      </c>
      <c r="V62" s="65">
        <f t="shared" si="9"/>
        <v>400</v>
      </c>
      <c r="W62" s="65">
        <f t="shared" si="9"/>
        <v>500</v>
      </c>
      <c r="X62" s="65">
        <f t="shared" si="9"/>
        <v>600</v>
      </c>
      <c r="Y62" s="65">
        <f t="shared" si="9"/>
        <v>800</v>
      </c>
      <c r="Z62" s="281"/>
      <c r="AA62" s="68"/>
    </row>
    <row r="63" ht="16.5" customHeight="1">
      <c r="A63" s="56" t="str">
        <f t="shared" ref="A63:E63" si="10">A10</f>
        <v>VND</v>
      </c>
      <c r="B63" s="56" t="str">
        <f t="shared" si="10"/>
        <v>₫</v>
      </c>
      <c r="C63" s="56" t="str">
        <f t="shared" si="10"/>
        <v>越南盾(K)</v>
      </c>
      <c r="D63" s="50">
        <f t="shared" si="10"/>
        <v>1000</v>
      </c>
      <c r="E63" s="263">
        <f t="shared" si="10"/>
        <v>0.01</v>
      </c>
      <c r="F63" s="65">
        <f t="shared" ref="F63:Y63" si="11">HLOOKUP(F10,$F$1:$AI$2,2) * $D$1 * $E63</f>
        <v>1</v>
      </c>
      <c r="G63" s="65">
        <f t="shared" si="11"/>
        <v>2</v>
      </c>
      <c r="H63" s="65">
        <f t="shared" si="11"/>
        <v>3</v>
      </c>
      <c r="I63" s="65">
        <f t="shared" si="11"/>
        <v>4</v>
      </c>
      <c r="J63" s="65">
        <f t="shared" si="11"/>
        <v>5</v>
      </c>
      <c r="K63" s="65">
        <f t="shared" si="11"/>
        <v>8</v>
      </c>
      <c r="L63" s="65">
        <f t="shared" si="11"/>
        <v>12</v>
      </c>
      <c r="M63" s="65">
        <f t="shared" si="11"/>
        <v>15</v>
      </c>
      <c r="N63" s="65">
        <f t="shared" si="11"/>
        <v>20</v>
      </c>
      <c r="O63" s="65">
        <f t="shared" si="11"/>
        <v>30</v>
      </c>
      <c r="P63" s="65">
        <f t="shared" si="11"/>
        <v>40</v>
      </c>
      <c r="Q63" s="65">
        <f t="shared" si="11"/>
        <v>60</v>
      </c>
      <c r="R63" s="65">
        <f t="shared" si="11"/>
        <v>80</v>
      </c>
      <c r="S63" s="65">
        <f t="shared" si="11"/>
        <v>100</v>
      </c>
      <c r="T63" s="65">
        <f t="shared" si="11"/>
        <v>200</v>
      </c>
      <c r="U63" s="65">
        <f t="shared" si="11"/>
        <v>300</v>
      </c>
      <c r="V63" s="65">
        <f t="shared" si="11"/>
        <v>400</v>
      </c>
      <c r="W63" s="65">
        <f t="shared" si="11"/>
        <v>500</v>
      </c>
      <c r="X63" s="65">
        <f t="shared" si="11"/>
        <v>600</v>
      </c>
      <c r="Y63" s="65">
        <f t="shared" si="11"/>
        <v>800</v>
      </c>
      <c r="Z63" s="281"/>
      <c r="AA63" s="68"/>
    </row>
    <row r="64" ht="16.5" customHeight="1">
      <c r="A64" s="220" t="str">
        <f t="shared" ref="A64:E64" si="12">A11</f>
        <v>MYR</v>
      </c>
      <c r="B64" s="220" t="str">
        <f t="shared" si="12"/>
        <v>RM</v>
      </c>
      <c r="C64" s="220" t="str">
        <f t="shared" si="12"/>
        <v>馬來西亞令吉</v>
      </c>
      <c r="D64" s="261" t="str">
        <f t="shared" si="12"/>
        <v/>
      </c>
      <c r="E64" s="262">
        <f t="shared" si="12"/>
        <v>0.01</v>
      </c>
      <c r="F64" s="275">
        <f t="shared" ref="F64:Y64" si="13">HLOOKUP(F11,$F$1:$AI$2,2) * $D$1 * $E64</f>
        <v>1</v>
      </c>
      <c r="G64" s="275">
        <f t="shared" si="13"/>
        <v>2</v>
      </c>
      <c r="H64" s="275">
        <f t="shared" si="13"/>
        <v>3</v>
      </c>
      <c r="I64" s="275">
        <f t="shared" si="13"/>
        <v>4</v>
      </c>
      <c r="J64" s="275">
        <f t="shared" si="13"/>
        <v>5</v>
      </c>
      <c r="K64" s="275">
        <f t="shared" si="13"/>
        <v>6</v>
      </c>
      <c r="L64" s="275">
        <f t="shared" si="13"/>
        <v>8</v>
      </c>
      <c r="M64" s="275">
        <f t="shared" si="13"/>
        <v>10</v>
      </c>
      <c r="N64" s="275">
        <f t="shared" si="13"/>
        <v>15</v>
      </c>
      <c r="O64" s="275">
        <f t="shared" si="13"/>
        <v>20</v>
      </c>
      <c r="P64" s="275">
        <f t="shared" si="13"/>
        <v>30</v>
      </c>
      <c r="Q64" s="275">
        <f t="shared" si="13"/>
        <v>40</v>
      </c>
      <c r="R64" s="275">
        <f t="shared" si="13"/>
        <v>50</v>
      </c>
      <c r="S64" s="275">
        <f t="shared" si="13"/>
        <v>60</v>
      </c>
      <c r="T64" s="275">
        <f t="shared" si="13"/>
        <v>70</v>
      </c>
      <c r="U64" s="275">
        <f t="shared" si="13"/>
        <v>80</v>
      </c>
      <c r="V64" s="275">
        <f t="shared" si="13"/>
        <v>90</v>
      </c>
      <c r="W64" s="275">
        <f t="shared" si="13"/>
        <v>100</v>
      </c>
      <c r="X64" s="275">
        <f t="shared" si="13"/>
        <v>200</v>
      </c>
      <c r="Y64" s="275">
        <f t="shared" si="13"/>
        <v>300</v>
      </c>
      <c r="Z64" s="281"/>
      <c r="AA64" s="68"/>
    </row>
    <row r="65" ht="16.5" customHeight="1">
      <c r="A65" s="223" t="str">
        <f t="shared" ref="A65:E65" si="14">A12</f>
        <v>SGD</v>
      </c>
      <c r="B65" s="223" t="str">
        <f t="shared" si="14"/>
        <v>S$</v>
      </c>
      <c r="C65" s="223" t="str">
        <f t="shared" si="14"/>
        <v>新加坡幣</v>
      </c>
      <c r="D65" s="158" t="str">
        <f t="shared" si="14"/>
        <v/>
      </c>
      <c r="E65" s="251">
        <f t="shared" si="14"/>
        <v>0.001</v>
      </c>
      <c r="F65" s="252">
        <f t="shared" ref="F65:Y65" si="15">HLOOKUP(F12,$F$1:$AI$2,2) * $D$1 * $E65</f>
        <v>0.2</v>
      </c>
      <c r="G65" s="252">
        <f t="shared" si="15"/>
        <v>0.3</v>
      </c>
      <c r="H65" s="252">
        <f t="shared" si="15"/>
        <v>0.4</v>
      </c>
      <c r="I65" s="252">
        <f t="shared" si="15"/>
        <v>0.5</v>
      </c>
      <c r="J65" s="252">
        <f t="shared" si="15"/>
        <v>0.6</v>
      </c>
      <c r="K65" s="252">
        <f t="shared" si="15"/>
        <v>0.8</v>
      </c>
      <c r="L65" s="252">
        <f t="shared" si="15"/>
        <v>1.2</v>
      </c>
      <c r="M65" s="252">
        <f t="shared" si="15"/>
        <v>1.5</v>
      </c>
      <c r="N65" s="252">
        <f t="shared" si="15"/>
        <v>2</v>
      </c>
      <c r="O65" s="252">
        <f t="shared" si="15"/>
        <v>3</v>
      </c>
      <c r="P65" s="252">
        <f t="shared" si="15"/>
        <v>4</v>
      </c>
      <c r="Q65" s="252">
        <f t="shared" si="15"/>
        <v>6</v>
      </c>
      <c r="R65" s="252">
        <f t="shared" si="15"/>
        <v>8</v>
      </c>
      <c r="S65" s="252">
        <f t="shared" si="15"/>
        <v>10</v>
      </c>
      <c r="T65" s="252">
        <f t="shared" si="15"/>
        <v>20</v>
      </c>
      <c r="U65" s="252">
        <f t="shared" si="15"/>
        <v>30</v>
      </c>
      <c r="V65" s="252">
        <f t="shared" si="15"/>
        <v>40</v>
      </c>
      <c r="W65" s="252">
        <f t="shared" si="15"/>
        <v>50</v>
      </c>
      <c r="X65" s="252">
        <f t="shared" si="15"/>
        <v>60</v>
      </c>
      <c r="Y65" s="252">
        <f t="shared" si="15"/>
        <v>80</v>
      </c>
      <c r="Z65" s="281"/>
      <c r="AA65" s="68"/>
    </row>
    <row r="66" ht="16.5" customHeight="1">
      <c r="A66" s="225" t="str">
        <f t="shared" ref="A66:E66" si="16">A13</f>
        <v>USD</v>
      </c>
      <c r="B66" s="225" t="str">
        <f t="shared" si="16"/>
        <v>$</v>
      </c>
      <c r="C66" s="225" t="str">
        <f t="shared" si="16"/>
        <v>美元</v>
      </c>
      <c r="D66" s="264" t="str">
        <f t="shared" si="16"/>
        <v/>
      </c>
      <c r="E66" s="265">
        <f t="shared" si="16"/>
        <v>0.001</v>
      </c>
      <c r="F66" s="268">
        <f t="shared" ref="F66:Y66" si="17">HLOOKUP(F13,$F$1:$AI$2,2) * $D$1 * $E66</f>
        <v>0.2</v>
      </c>
      <c r="G66" s="268">
        <f t="shared" si="17"/>
        <v>0.3</v>
      </c>
      <c r="H66" s="268">
        <f t="shared" si="17"/>
        <v>0.4</v>
      </c>
      <c r="I66" s="268">
        <f t="shared" si="17"/>
        <v>0.5</v>
      </c>
      <c r="J66" s="268">
        <f t="shared" si="17"/>
        <v>0.6</v>
      </c>
      <c r="K66" s="268">
        <f t="shared" si="17"/>
        <v>0.8</v>
      </c>
      <c r="L66" s="268">
        <f t="shared" si="17"/>
        <v>1.2</v>
      </c>
      <c r="M66" s="268">
        <f t="shared" si="17"/>
        <v>1.5</v>
      </c>
      <c r="N66" s="268">
        <f t="shared" si="17"/>
        <v>2</v>
      </c>
      <c r="O66" s="268">
        <f t="shared" si="17"/>
        <v>3</v>
      </c>
      <c r="P66" s="268">
        <f t="shared" si="17"/>
        <v>4</v>
      </c>
      <c r="Q66" s="268">
        <f t="shared" si="17"/>
        <v>6</v>
      </c>
      <c r="R66" s="268">
        <f t="shared" si="17"/>
        <v>8</v>
      </c>
      <c r="S66" s="268">
        <f t="shared" si="17"/>
        <v>10</v>
      </c>
      <c r="T66" s="268">
        <f t="shared" si="17"/>
        <v>20</v>
      </c>
      <c r="U66" s="268">
        <f t="shared" si="17"/>
        <v>30</v>
      </c>
      <c r="V66" s="268">
        <f t="shared" si="17"/>
        <v>40</v>
      </c>
      <c r="W66" s="268">
        <f t="shared" si="17"/>
        <v>50</v>
      </c>
      <c r="X66" s="268">
        <f t="shared" si="17"/>
        <v>60</v>
      </c>
      <c r="Y66" s="268">
        <f t="shared" si="17"/>
        <v>80</v>
      </c>
      <c r="Z66" s="281"/>
      <c r="AA66" s="68"/>
    </row>
    <row r="67" ht="16.5" customHeight="1">
      <c r="A67" s="218" t="str">
        <f t="shared" ref="A67:E67" si="18">A14</f>
        <v>BDT</v>
      </c>
      <c r="B67" s="218" t="str">
        <f t="shared" si="18"/>
        <v>৳</v>
      </c>
      <c r="C67" s="218" t="str">
        <f t="shared" si="18"/>
        <v>孟加拉塔卡</v>
      </c>
      <c r="D67" s="253" t="str">
        <f t="shared" si="18"/>
        <v/>
      </c>
      <c r="E67" s="254">
        <f t="shared" si="18"/>
        <v>0.01</v>
      </c>
      <c r="F67" s="255">
        <f t="shared" ref="F67:Y67" si="19">HLOOKUP(F14,$F$1:$AI$2,2) * $D$1 * $E67</f>
        <v>1</v>
      </c>
      <c r="G67" s="255">
        <f t="shared" si="19"/>
        <v>2</v>
      </c>
      <c r="H67" s="255">
        <f t="shared" si="19"/>
        <v>4</v>
      </c>
      <c r="I67" s="255">
        <f t="shared" si="19"/>
        <v>5</v>
      </c>
      <c r="J67" s="255">
        <f t="shared" si="19"/>
        <v>6</v>
      </c>
      <c r="K67" s="255">
        <f t="shared" si="19"/>
        <v>8</v>
      </c>
      <c r="L67" s="255">
        <f t="shared" si="19"/>
        <v>12</v>
      </c>
      <c r="M67" s="255">
        <f t="shared" si="19"/>
        <v>15</v>
      </c>
      <c r="N67" s="255">
        <f t="shared" si="19"/>
        <v>20</v>
      </c>
      <c r="O67" s="255">
        <f t="shared" si="19"/>
        <v>30</v>
      </c>
      <c r="P67" s="255">
        <f t="shared" si="19"/>
        <v>40</v>
      </c>
      <c r="Q67" s="255">
        <f t="shared" si="19"/>
        <v>60</v>
      </c>
      <c r="R67" s="255">
        <f t="shared" si="19"/>
        <v>90</v>
      </c>
      <c r="S67" s="255">
        <f t="shared" si="19"/>
        <v>100</v>
      </c>
      <c r="T67" s="255">
        <f t="shared" si="19"/>
        <v>200</v>
      </c>
      <c r="U67" s="255">
        <f t="shared" si="19"/>
        <v>500</v>
      </c>
      <c r="V67" s="255">
        <f t="shared" si="19"/>
        <v>800</v>
      </c>
      <c r="W67" s="255">
        <f t="shared" si="19"/>
        <v>1000</v>
      </c>
      <c r="X67" s="255">
        <f t="shared" si="19"/>
        <v>1500</v>
      </c>
      <c r="Y67" s="255">
        <f t="shared" si="19"/>
        <v>2000</v>
      </c>
      <c r="Z67" s="281"/>
      <c r="AA67" s="68"/>
    </row>
    <row r="68" ht="16.5" customHeight="1">
      <c r="A68" s="218" t="str">
        <f t="shared" ref="A68:E68" si="20">A15</f>
        <v>PKR</v>
      </c>
      <c r="B68" s="218" t="str">
        <f t="shared" si="20"/>
        <v>₨</v>
      </c>
      <c r="C68" s="218" t="str">
        <f t="shared" si="20"/>
        <v>巴基斯坦盧比</v>
      </c>
      <c r="D68" s="253" t="str">
        <f t="shared" si="20"/>
        <v/>
      </c>
      <c r="E68" s="254">
        <f t="shared" si="20"/>
        <v>0.01</v>
      </c>
      <c r="F68" s="255">
        <f t="shared" ref="F68:Y68" si="21">HLOOKUP(F15,$F$1:$AI$2,2) * $D$1 * $E68</f>
        <v>1</v>
      </c>
      <c r="G68" s="255">
        <f t="shared" si="21"/>
        <v>2</v>
      </c>
      <c r="H68" s="255">
        <f t="shared" si="21"/>
        <v>4</v>
      </c>
      <c r="I68" s="255">
        <f t="shared" si="21"/>
        <v>5</v>
      </c>
      <c r="J68" s="255">
        <f t="shared" si="21"/>
        <v>6</v>
      </c>
      <c r="K68" s="255">
        <f t="shared" si="21"/>
        <v>8</v>
      </c>
      <c r="L68" s="255">
        <f t="shared" si="21"/>
        <v>12</v>
      </c>
      <c r="M68" s="255">
        <f t="shared" si="21"/>
        <v>15</v>
      </c>
      <c r="N68" s="255">
        <f t="shared" si="21"/>
        <v>20</v>
      </c>
      <c r="O68" s="255">
        <f t="shared" si="21"/>
        <v>30</v>
      </c>
      <c r="P68" s="255">
        <f t="shared" si="21"/>
        <v>40</v>
      </c>
      <c r="Q68" s="255">
        <f t="shared" si="21"/>
        <v>60</v>
      </c>
      <c r="R68" s="255">
        <f t="shared" si="21"/>
        <v>90</v>
      </c>
      <c r="S68" s="255">
        <f t="shared" si="21"/>
        <v>100</v>
      </c>
      <c r="T68" s="255">
        <f t="shared" si="21"/>
        <v>200</v>
      </c>
      <c r="U68" s="255">
        <f t="shared" si="21"/>
        <v>500</v>
      </c>
      <c r="V68" s="255">
        <f t="shared" si="21"/>
        <v>800</v>
      </c>
      <c r="W68" s="255">
        <f t="shared" si="21"/>
        <v>1000</v>
      </c>
      <c r="X68" s="255">
        <f t="shared" si="21"/>
        <v>1500</v>
      </c>
      <c r="Y68" s="255">
        <f t="shared" si="21"/>
        <v>2000</v>
      </c>
      <c r="Z68" s="281"/>
      <c r="AA68" s="68"/>
    </row>
    <row r="69" ht="16.5" customHeight="1">
      <c r="A69" s="223" t="str">
        <f t="shared" ref="A69:E69" si="22">A16</f>
        <v>MMK</v>
      </c>
      <c r="B69" s="223" t="str">
        <f t="shared" si="22"/>
        <v>K</v>
      </c>
      <c r="C69" s="223" t="str">
        <f t="shared" si="22"/>
        <v>緬甸元(K)</v>
      </c>
      <c r="D69" s="158">
        <f t="shared" si="22"/>
        <v>1000</v>
      </c>
      <c r="E69" s="251">
        <f t="shared" si="22"/>
        <v>0.001</v>
      </c>
      <c r="F69" s="252">
        <f t="shared" ref="F69:Y69" si="23">HLOOKUP(F16,$F$1:$AI$2,2) * $D$1 * $E69</f>
        <v>0.2</v>
      </c>
      <c r="G69" s="252">
        <f t="shared" si="23"/>
        <v>0.3</v>
      </c>
      <c r="H69" s="252">
        <f t="shared" si="23"/>
        <v>0.4</v>
      </c>
      <c r="I69" s="252">
        <f t="shared" si="23"/>
        <v>0.5</v>
      </c>
      <c r="J69" s="252">
        <f t="shared" si="23"/>
        <v>0.6</v>
      </c>
      <c r="K69" s="252">
        <f t="shared" si="23"/>
        <v>0.8</v>
      </c>
      <c r="L69" s="252">
        <f t="shared" si="23"/>
        <v>1.2</v>
      </c>
      <c r="M69" s="252">
        <f t="shared" si="23"/>
        <v>1.5</v>
      </c>
      <c r="N69" s="252">
        <f t="shared" si="23"/>
        <v>2</v>
      </c>
      <c r="O69" s="252">
        <f t="shared" si="23"/>
        <v>3</v>
      </c>
      <c r="P69" s="252">
        <f t="shared" si="23"/>
        <v>4</v>
      </c>
      <c r="Q69" s="252">
        <f t="shared" si="23"/>
        <v>6</v>
      </c>
      <c r="R69" s="252">
        <f t="shared" si="23"/>
        <v>8</v>
      </c>
      <c r="S69" s="252">
        <f t="shared" si="23"/>
        <v>10</v>
      </c>
      <c r="T69" s="252">
        <f t="shared" si="23"/>
        <v>20</v>
      </c>
      <c r="U69" s="252">
        <f t="shared" si="23"/>
        <v>30</v>
      </c>
      <c r="V69" s="252">
        <f t="shared" si="23"/>
        <v>40</v>
      </c>
      <c r="W69" s="252">
        <f t="shared" si="23"/>
        <v>50</v>
      </c>
      <c r="X69" s="252">
        <f t="shared" si="23"/>
        <v>60</v>
      </c>
      <c r="Y69" s="252">
        <f t="shared" si="23"/>
        <v>80</v>
      </c>
      <c r="Z69" s="281"/>
      <c r="AA69" s="68"/>
    </row>
    <row r="70" ht="16.5" customHeight="1">
      <c r="A70" s="56" t="str">
        <f t="shared" ref="A70:E70" si="24">A17</f>
        <v>MMH</v>
      </c>
      <c r="B70" s="56" t="str">
        <f t="shared" si="24"/>
        <v>K</v>
      </c>
      <c r="C70" s="56" t="str">
        <f t="shared" si="24"/>
        <v>緬甸元(H)</v>
      </c>
      <c r="D70" s="50">
        <f t="shared" si="24"/>
        <v>100</v>
      </c>
      <c r="E70" s="263">
        <f t="shared" si="24"/>
        <v>0.01</v>
      </c>
      <c r="F70" s="65">
        <f t="shared" ref="F70:Y70" si="25">HLOOKUP(F17,$F$1:$AI$2,2) * $D$1 * $E70</f>
        <v>1</v>
      </c>
      <c r="G70" s="65">
        <f t="shared" si="25"/>
        <v>2</v>
      </c>
      <c r="H70" s="65">
        <f t="shared" si="25"/>
        <v>3</v>
      </c>
      <c r="I70" s="65">
        <f t="shared" si="25"/>
        <v>4</v>
      </c>
      <c r="J70" s="65">
        <f t="shared" si="25"/>
        <v>5</v>
      </c>
      <c r="K70" s="65">
        <f t="shared" si="25"/>
        <v>8</v>
      </c>
      <c r="L70" s="65">
        <f t="shared" si="25"/>
        <v>12</v>
      </c>
      <c r="M70" s="65">
        <f t="shared" si="25"/>
        <v>15</v>
      </c>
      <c r="N70" s="65">
        <f t="shared" si="25"/>
        <v>20</v>
      </c>
      <c r="O70" s="65">
        <f t="shared" si="25"/>
        <v>30</v>
      </c>
      <c r="P70" s="65">
        <f t="shared" si="25"/>
        <v>40</v>
      </c>
      <c r="Q70" s="65">
        <f t="shared" si="25"/>
        <v>60</v>
      </c>
      <c r="R70" s="65">
        <f t="shared" si="25"/>
        <v>80</v>
      </c>
      <c r="S70" s="65">
        <f t="shared" si="25"/>
        <v>100</v>
      </c>
      <c r="T70" s="65">
        <f t="shared" si="25"/>
        <v>200</v>
      </c>
      <c r="U70" s="65">
        <f t="shared" si="25"/>
        <v>300</v>
      </c>
      <c r="V70" s="65">
        <f t="shared" si="25"/>
        <v>400</v>
      </c>
      <c r="W70" s="65">
        <f t="shared" si="25"/>
        <v>500</v>
      </c>
      <c r="X70" s="65">
        <f t="shared" si="25"/>
        <v>600</v>
      </c>
      <c r="Y70" s="65">
        <f t="shared" si="25"/>
        <v>800</v>
      </c>
      <c r="Z70" s="281"/>
      <c r="AA70" s="68"/>
    </row>
    <row r="71" ht="16.5" customHeight="1">
      <c r="A71" s="218" t="str">
        <f t="shared" ref="A71:E71" si="26">A18</f>
        <v>PHP</v>
      </c>
      <c r="B71" s="218" t="str">
        <f t="shared" si="26"/>
        <v>₱</v>
      </c>
      <c r="C71" s="218" t="str">
        <f t="shared" si="26"/>
        <v>菲律賓披索</v>
      </c>
      <c r="D71" s="253" t="str">
        <f t="shared" si="26"/>
        <v/>
      </c>
      <c r="E71" s="254">
        <f t="shared" si="26"/>
        <v>0.01</v>
      </c>
      <c r="F71" s="255">
        <f t="shared" ref="F71:Y71" si="27">HLOOKUP(F18,$F$1:$AI$2,2) * $D$1 * $E71</f>
        <v>1</v>
      </c>
      <c r="G71" s="255">
        <f t="shared" si="27"/>
        <v>2</v>
      </c>
      <c r="H71" s="255">
        <f t="shared" si="27"/>
        <v>4</v>
      </c>
      <c r="I71" s="255">
        <f t="shared" si="27"/>
        <v>5</v>
      </c>
      <c r="J71" s="255">
        <f t="shared" si="27"/>
        <v>6</v>
      </c>
      <c r="K71" s="255">
        <f t="shared" si="27"/>
        <v>8</v>
      </c>
      <c r="L71" s="255">
        <f t="shared" si="27"/>
        <v>12</v>
      </c>
      <c r="M71" s="255">
        <f t="shared" si="27"/>
        <v>15</v>
      </c>
      <c r="N71" s="255">
        <f t="shared" si="27"/>
        <v>20</v>
      </c>
      <c r="O71" s="255">
        <f t="shared" si="27"/>
        <v>30</v>
      </c>
      <c r="P71" s="255">
        <f t="shared" si="27"/>
        <v>40</v>
      </c>
      <c r="Q71" s="255">
        <f t="shared" si="27"/>
        <v>60</v>
      </c>
      <c r="R71" s="255">
        <f t="shared" si="27"/>
        <v>90</v>
      </c>
      <c r="S71" s="255">
        <f t="shared" si="27"/>
        <v>100</v>
      </c>
      <c r="T71" s="255">
        <f t="shared" si="27"/>
        <v>200</v>
      </c>
      <c r="U71" s="255">
        <f t="shared" si="27"/>
        <v>500</v>
      </c>
      <c r="V71" s="255">
        <f t="shared" si="27"/>
        <v>800</v>
      </c>
      <c r="W71" s="255">
        <f t="shared" si="27"/>
        <v>1000</v>
      </c>
      <c r="X71" s="255">
        <f t="shared" si="27"/>
        <v>1500</v>
      </c>
      <c r="Y71" s="255">
        <f t="shared" si="27"/>
        <v>2000</v>
      </c>
      <c r="Z71" s="281"/>
      <c r="AA71" s="68"/>
    </row>
    <row r="72" ht="16.5" customHeight="1">
      <c r="A72" s="220" t="str">
        <f t="shared" ref="A72:E72" si="28">A19</f>
        <v>CNY</v>
      </c>
      <c r="B72" s="220" t="str">
        <f t="shared" si="28"/>
        <v>￥</v>
      </c>
      <c r="C72" s="220" t="str">
        <f t="shared" si="28"/>
        <v>人民幣</v>
      </c>
      <c r="D72" s="261" t="str">
        <f t="shared" si="28"/>
        <v/>
      </c>
      <c r="E72" s="262">
        <f t="shared" si="28"/>
        <v>0.01</v>
      </c>
      <c r="F72" s="275">
        <f t="shared" ref="F72:Y72" si="29">HLOOKUP(F19,$F$1:$AI$2,2) * $D$1 * $E72</f>
        <v>1</v>
      </c>
      <c r="G72" s="275">
        <f t="shared" si="29"/>
        <v>2</v>
      </c>
      <c r="H72" s="275">
        <f t="shared" si="29"/>
        <v>4</v>
      </c>
      <c r="I72" s="275">
        <f t="shared" si="29"/>
        <v>5</v>
      </c>
      <c r="J72" s="275">
        <f t="shared" si="29"/>
        <v>6</v>
      </c>
      <c r="K72" s="275">
        <f t="shared" si="29"/>
        <v>8</v>
      </c>
      <c r="L72" s="275">
        <f t="shared" si="29"/>
        <v>10</v>
      </c>
      <c r="M72" s="275">
        <f t="shared" si="29"/>
        <v>12</v>
      </c>
      <c r="N72" s="275">
        <f t="shared" si="29"/>
        <v>15</v>
      </c>
      <c r="O72" s="275">
        <f t="shared" si="29"/>
        <v>20</v>
      </c>
      <c r="P72" s="275">
        <f t="shared" si="29"/>
        <v>30</v>
      </c>
      <c r="Q72" s="275">
        <f t="shared" si="29"/>
        <v>40</v>
      </c>
      <c r="R72" s="275">
        <f t="shared" si="29"/>
        <v>50</v>
      </c>
      <c r="S72" s="275">
        <f t="shared" si="29"/>
        <v>60</v>
      </c>
      <c r="T72" s="275">
        <f t="shared" si="29"/>
        <v>80</v>
      </c>
      <c r="U72" s="275">
        <f t="shared" si="29"/>
        <v>90</v>
      </c>
      <c r="V72" s="275">
        <f t="shared" si="29"/>
        <v>100</v>
      </c>
      <c r="W72" s="275">
        <f t="shared" si="29"/>
        <v>200</v>
      </c>
      <c r="X72" s="275">
        <f t="shared" si="29"/>
        <v>300</v>
      </c>
      <c r="Y72" s="275">
        <f t="shared" si="29"/>
        <v>400</v>
      </c>
      <c r="Z72" s="281"/>
      <c r="AA72" s="68"/>
    </row>
    <row r="73" ht="16.5" customHeight="1">
      <c r="A73" s="227" t="str">
        <f t="shared" ref="A73:E73" si="30">A20</f>
        <v>MXN</v>
      </c>
      <c r="B73" s="227" t="str">
        <f t="shared" si="30"/>
        <v>Mex$</v>
      </c>
      <c r="C73" s="227" t="str">
        <f t="shared" si="30"/>
        <v>墨⻄哥披索</v>
      </c>
      <c r="D73" s="266" t="str">
        <f t="shared" si="30"/>
        <v/>
      </c>
      <c r="E73" s="263">
        <f t="shared" si="30"/>
        <v>0.01</v>
      </c>
      <c r="F73" s="65">
        <f t="shared" ref="F73:Y73" si="31">HLOOKUP(F20,$F$1:$AI$2,2) * $D$1 * $E73</f>
        <v>1</v>
      </c>
      <c r="G73" s="65">
        <f t="shared" si="31"/>
        <v>2</v>
      </c>
      <c r="H73" s="65">
        <f t="shared" si="31"/>
        <v>3</v>
      </c>
      <c r="I73" s="65">
        <f t="shared" si="31"/>
        <v>4</v>
      </c>
      <c r="J73" s="65">
        <f t="shared" si="31"/>
        <v>5</v>
      </c>
      <c r="K73" s="65">
        <f t="shared" si="31"/>
        <v>8</v>
      </c>
      <c r="L73" s="65">
        <f t="shared" si="31"/>
        <v>12</v>
      </c>
      <c r="M73" s="65">
        <f t="shared" si="31"/>
        <v>15</v>
      </c>
      <c r="N73" s="65">
        <f t="shared" si="31"/>
        <v>20</v>
      </c>
      <c r="O73" s="65">
        <f t="shared" si="31"/>
        <v>30</v>
      </c>
      <c r="P73" s="65">
        <f t="shared" si="31"/>
        <v>40</v>
      </c>
      <c r="Q73" s="65">
        <f t="shared" si="31"/>
        <v>60</v>
      </c>
      <c r="R73" s="65">
        <f t="shared" si="31"/>
        <v>80</v>
      </c>
      <c r="S73" s="65">
        <f t="shared" si="31"/>
        <v>100</v>
      </c>
      <c r="T73" s="65">
        <f t="shared" si="31"/>
        <v>200</v>
      </c>
      <c r="U73" s="65">
        <f t="shared" si="31"/>
        <v>300</v>
      </c>
      <c r="V73" s="65">
        <f t="shared" si="31"/>
        <v>400</v>
      </c>
      <c r="W73" s="65">
        <f t="shared" si="31"/>
        <v>500</v>
      </c>
      <c r="X73" s="65">
        <f t="shared" si="31"/>
        <v>600</v>
      </c>
      <c r="Y73" s="65">
        <f t="shared" si="31"/>
        <v>800</v>
      </c>
      <c r="Z73" s="282"/>
      <c r="AA73" s="68"/>
    </row>
    <row r="74" ht="16.5" customHeight="1">
      <c r="A74" s="220" t="str">
        <f t="shared" ref="A74:E74" si="32">A21</f>
        <v>BRL</v>
      </c>
      <c r="B74" s="220" t="str">
        <f t="shared" si="32"/>
        <v>R$</v>
      </c>
      <c r="C74" s="220" t="str">
        <f t="shared" si="32"/>
        <v>巴西雷亞爾</v>
      </c>
      <c r="D74" s="267" t="str">
        <f t="shared" si="32"/>
        <v/>
      </c>
      <c r="E74" s="262">
        <f t="shared" si="32"/>
        <v>0.01</v>
      </c>
      <c r="F74" s="275">
        <f t="shared" ref="F74:Y74" si="33">HLOOKUP(F21,$F$1:$AI$2,2) * $D$1 * $E74</f>
        <v>1</v>
      </c>
      <c r="G74" s="275">
        <f t="shared" si="33"/>
        <v>2</v>
      </c>
      <c r="H74" s="275">
        <f t="shared" si="33"/>
        <v>3</v>
      </c>
      <c r="I74" s="275">
        <f t="shared" si="33"/>
        <v>4</v>
      </c>
      <c r="J74" s="275">
        <f t="shared" si="33"/>
        <v>5</v>
      </c>
      <c r="K74" s="275">
        <f t="shared" si="33"/>
        <v>6</v>
      </c>
      <c r="L74" s="275">
        <f t="shared" si="33"/>
        <v>8</v>
      </c>
      <c r="M74" s="275">
        <f t="shared" si="33"/>
        <v>10</v>
      </c>
      <c r="N74" s="275">
        <f t="shared" si="33"/>
        <v>15</v>
      </c>
      <c r="O74" s="275">
        <f t="shared" si="33"/>
        <v>20</v>
      </c>
      <c r="P74" s="275">
        <f t="shared" si="33"/>
        <v>30</v>
      </c>
      <c r="Q74" s="275">
        <f t="shared" si="33"/>
        <v>40</v>
      </c>
      <c r="R74" s="275">
        <f t="shared" si="33"/>
        <v>50</v>
      </c>
      <c r="S74" s="275">
        <f t="shared" si="33"/>
        <v>60</v>
      </c>
      <c r="T74" s="275">
        <f t="shared" si="33"/>
        <v>70</v>
      </c>
      <c r="U74" s="275">
        <f t="shared" si="33"/>
        <v>80</v>
      </c>
      <c r="V74" s="275">
        <f t="shared" si="33"/>
        <v>90</v>
      </c>
      <c r="W74" s="275">
        <f t="shared" si="33"/>
        <v>100</v>
      </c>
      <c r="X74" s="275">
        <f t="shared" si="33"/>
        <v>200</v>
      </c>
      <c r="Y74" s="275">
        <f t="shared" si="33"/>
        <v>300</v>
      </c>
      <c r="Z74" s="282"/>
      <c r="AA74" s="68"/>
    </row>
    <row r="75" ht="16.5" customHeight="1">
      <c r="A75" s="223" t="str">
        <f t="shared" ref="A75:E75" si="34">A22</f>
        <v>AUD</v>
      </c>
      <c r="B75" s="223" t="str">
        <f t="shared" si="34"/>
        <v>A$</v>
      </c>
      <c r="C75" s="223" t="str">
        <f t="shared" si="34"/>
        <v>澳洲元</v>
      </c>
      <c r="D75" s="250" t="str">
        <f t="shared" si="34"/>
        <v/>
      </c>
      <c r="E75" s="251">
        <f t="shared" si="34"/>
        <v>0.001</v>
      </c>
      <c r="F75" s="252">
        <f t="shared" ref="F75:Y75" si="35">HLOOKUP(F22,$F$1:$AI$2,2) * $D$1 * $E75</f>
        <v>0.2</v>
      </c>
      <c r="G75" s="252">
        <f t="shared" si="35"/>
        <v>0.3</v>
      </c>
      <c r="H75" s="252">
        <f t="shared" si="35"/>
        <v>0.4</v>
      </c>
      <c r="I75" s="252">
        <f t="shared" si="35"/>
        <v>0.5</v>
      </c>
      <c r="J75" s="252">
        <f t="shared" si="35"/>
        <v>0.6</v>
      </c>
      <c r="K75" s="252">
        <f t="shared" si="35"/>
        <v>0.8</v>
      </c>
      <c r="L75" s="252">
        <f t="shared" si="35"/>
        <v>1.2</v>
      </c>
      <c r="M75" s="252">
        <f t="shared" si="35"/>
        <v>1.5</v>
      </c>
      <c r="N75" s="252">
        <f t="shared" si="35"/>
        <v>2</v>
      </c>
      <c r="O75" s="252">
        <f t="shared" si="35"/>
        <v>3</v>
      </c>
      <c r="P75" s="252">
        <f t="shared" si="35"/>
        <v>4</v>
      </c>
      <c r="Q75" s="252">
        <f t="shared" si="35"/>
        <v>6</v>
      </c>
      <c r="R75" s="252">
        <f t="shared" si="35"/>
        <v>8</v>
      </c>
      <c r="S75" s="252">
        <f t="shared" si="35"/>
        <v>10</v>
      </c>
      <c r="T75" s="252">
        <f t="shared" si="35"/>
        <v>20</v>
      </c>
      <c r="U75" s="252">
        <f t="shared" si="35"/>
        <v>30</v>
      </c>
      <c r="V75" s="252">
        <f t="shared" si="35"/>
        <v>40</v>
      </c>
      <c r="W75" s="252">
        <f t="shared" si="35"/>
        <v>50</v>
      </c>
      <c r="X75" s="252">
        <f t="shared" si="35"/>
        <v>60</v>
      </c>
      <c r="Y75" s="252">
        <f t="shared" si="35"/>
        <v>80</v>
      </c>
      <c r="Z75" s="282"/>
      <c r="AA75" s="68"/>
    </row>
    <row r="76" ht="16.5" customHeight="1">
      <c r="A76" s="218" t="str">
        <f t="shared" ref="A76:E76" si="36">A23</f>
        <v>JPY</v>
      </c>
      <c r="B76" s="218" t="str">
        <f t="shared" si="36"/>
        <v>￥</v>
      </c>
      <c r="C76" s="218" t="str">
        <f t="shared" si="36"/>
        <v>日圓</v>
      </c>
      <c r="D76" s="253" t="str">
        <f t="shared" si="36"/>
        <v/>
      </c>
      <c r="E76" s="254">
        <f t="shared" si="36"/>
        <v>0.02</v>
      </c>
      <c r="F76" s="255">
        <f t="shared" ref="F76:Y76" si="37">HLOOKUP(F23,$F$1:$AI$2,2) * $D$1 * $E76</f>
        <v>2</v>
      </c>
      <c r="G76" s="255">
        <f t="shared" si="37"/>
        <v>4</v>
      </c>
      <c r="H76" s="255">
        <f t="shared" si="37"/>
        <v>8</v>
      </c>
      <c r="I76" s="255">
        <f t="shared" si="37"/>
        <v>10</v>
      </c>
      <c r="J76" s="255">
        <f t="shared" si="37"/>
        <v>12</v>
      </c>
      <c r="K76" s="255">
        <f t="shared" si="37"/>
        <v>16</v>
      </c>
      <c r="L76" s="255">
        <f t="shared" si="37"/>
        <v>24</v>
      </c>
      <c r="M76" s="255">
        <f t="shared" si="37"/>
        <v>30</v>
      </c>
      <c r="N76" s="255">
        <f t="shared" si="37"/>
        <v>40</v>
      </c>
      <c r="O76" s="255">
        <f t="shared" si="37"/>
        <v>60</v>
      </c>
      <c r="P76" s="255">
        <f t="shared" si="37"/>
        <v>80</v>
      </c>
      <c r="Q76" s="255">
        <f t="shared" si="37"/>
        <v>120</v>
      </c>
      <c r="R76" s="255">
        <f t="shared" si="37"/>
        <v>180</v>
      </c>
      <c r="S76" s="255">
        <f t="shared" si="37"/>
        <v>200</v>
      </c>
      <c r="T76" s="255">
        <f t="shared" si="37"/>
        <v>400</v>
      </c>
      <c r="U76" s="255">
        <f t="shared" si="37"/>
        <v>1000</v>
      </c>
      <c r="V76" s="255">
        <f t="shared" si="37"/>
        <v>1600</v>
      </c>
      <c r="W76" s="255">
        <f t="shared" si="37"/>
        <v>2000</v>
      </c>
      <c r="X76" s="255">
        <f t="shared" si="37"/>
        <v>3000</v>
      </c>
      <c r="Y76" s="255">
        <f t="shared" si="37"/>
        <v>4000</v>
      </c>
      <c r="Z76" s="282"/>
      <c r="AA76" s="68"/>
    </row>
    <row r="77" ht="16.5" customHeight="1">
      <c r="A77" s="218" t="str">
        <f t="shared" ref="A77:E77" si="38">A24</f>
        <v>KRW</v>
      </c>
      <c r="B77" s="218" t="str">
        <f t="shared" si="38"/>
        <v>₩</v>
      </c>
      <c r="C77" s="218" t="str">
        <f t="shared" si="38"/>
        <v>韓圓</v>
      </c>
      <c r="D77" s="253" t="str">
        <f t="shared" si="38"/>
        <v/>
      </c>
      <c r="E77" s="254">
        <f t="shared" si="38"/>
        <v>0.2</v>
      </c>
      <c r="F77" s="255">
        <f t="shared" ref="F77:Y77" si="39">HLOOKUP(F24,$F$1:$AI$2,2) * $D$1 * $E77</f>
        <v>20</v>
      </c>
      <c r="G77" s="255">
        <f t="shared" si="39"/>
        <v>40</v>
      </c>
      <c r="H77" s="255">
        <f t="shared" si="39"/>
        <v>80</v>
      </c>
      <c r="I77" s="255">
        <f t="shared" si="39"/>
        <v>100</v>
      </c>
      <c r="J77" s="255">
        <f t="shared" si="39"/>
        <v>120</v>
      </c>
      <c r="K77" s="255">
        <f t="shared" si="39"/>
        <v>160</v>
      </c>
      <c r="L77" s="255">
        <f t="shared" si="39"/>
        <v>240</v>
      </c>
      <c r="M77" s="255">
        <f t="shared" si="39"/>
        <v>300</v>
      </c>
      <c r="N77" s="255">
        <f t="shared" si="39"/>
        <v>400</v>
      </c>
      <c r="O77" s="255">
        <f t="shared" si="39"/>
        <v>600</v>
      </c>
      <c r="P77" s="255">
        <f t="shared" si="39"/>
        <v>800</v>
      </c>
      <c r="Q77" s="255">
        <f t="shared" si="39"/>
        <v>1200</v>
      </c>
      <c r="R77" s="255">
        <f t="shared" si="39"/>
        <v>1800</v>
      </c>
      <c r="S77" s="255">
        <f t="shared" si="39"/>
        <v>2000</v>
      </c>
      <c r="T77" s="255">
        <f t="shared" si="39"/>
        <v>4000</v>
      </c>
      <c r="U77" s="255">
        <f t="shared" si="39"/>
        <v>10000</v>
      </c>
      <c r="V77" s="255">
        <f t="shared" si="39"/>
        <v>16000</v>
      </c>
      <c r="W77" s="255">
        <f t="shared" si="39"/>
        <v>20000</v>
      </c>
      <c r="X77" s="255">
        <f t="shared" si="39"/>
        <v>30000</v>
      </c>
      <c r="Y77" s="255">
        <f t="shared" si="39"/>
        <v>40000</v>
      </c>
      <c r="Z77" s="282"/>
      <c r="AA77" s="68"/>
    </row>
    <row r="78" ht="16.5" customHeight="1">
      <c r="A78" s="218" t="str">
        <f t="shared" ref="A78:E78" si="40">A25</f>
        <v>CLP</v>
      </c>
      <c r="B78" s="218" t="str">
        <f t="shared" si="40"/>
        <v>$</v>
      </c>
      <c r="C78" s="218" t="str">
        <f t="shared" si="40"/>
        <v>智利披索</v>
      </c>
      <c r="D78" s="253" t="str">
        <f t="shared" si="40"/>
        <v/>
      </c>
      <c r="E78" s="254">
        <f t="shared" si="40"/>
        <v>0.2</v>
      </c>
      <c r="F78" s="255">
        <f t="shared" ref="F78:Y78" si="41">HLOOKUP(F25,$F$1:$AI$2,2) * $D$1 * $E78</f>
        <v>20</v>
      </c>
      <c r="G78" s="255">
        <f t="shared" si="41"/>
        <v>40</v>
      </c>
      <c r="H78" s="255">
        <f t="shared" si="41"/>
        <v>80</v>
      </c>
      <c r="I78" s="255">
        <f t="shared" si="41"/>
        <v>100</v>
      </c>
      <c r="J78" s="255">
        <f t="shared" si="41"/>
        <v>120</v>
      </c>
      <c r="K78" s="255">
        <f t="shared" si="41"/>
        <v>160</v>
      </c>
      <c r="L78" s="255">
        <f t="shared" si="41"/>
        <v>240</v>
      </c>
      <c r="M78" s="255">
        <f t="shared" si="41"/>
        <v>300</v>
      </c>
      <c r="N78" s="255">
        <f t="shared" si="41"/>
        <v>400</v>
      </c>
      <c r="O78" s="255">
        <f t="shared" si="41"/>
        <v>600</v>
      </c>
      <c r="P78" s="255">
        <f t="shared" si="41"/>
        <v>800</v>
      </c>
      <c r="Q78" s="255">
        <f t="shared" si="41"/>
        <v>1200</v>
      </c>
      <c r="R78" s="255">
        <f t="shared" si="41"/>
        <v>1800</v>
      </c>
      <c r="S78" s="255">
        <f t="shared" si="41"/>
        <v>2000</v>
      </c>
      <c r="T78" s="255">
        <f t="shared" si="41"/>
        <v>4000</v>
      </c>
      <c r="U78" s="255">
        <f t="shared" si="41"/>
        <v>10000</v>
      </c>
      <c r="V78" s="255">
        <f t="shared" si="41"/>
        <v>16000</v>
      </c>
      <c r="W78" s="255">
        <f t="shared" si="41"/>
        <v>20000</v>
      </c>
      <c r="X78" s="255">
        <f t="shared" si="41"/>
        <v>30000</v>
      </c>
      <c r="Y78" s="255">
        <f t="shared" si="41"/>
        <v>40000</v>
      </c>
      <c r="Z78" s="282"/>
      <c r="AA78" s="68"/>
    </row>
    <row r="79" ht="16.5" customHeight="1">
      <c r="A79" s="218" t="str">
        <f t="shared" ref="A79:E79" si="42">A26</f>
        <v>MMKO</v>
      </c>
      <c r="B79" s="218" t="str">
        <f t="shared" si="42"/>
        <v>K</v>
      </c>
      <c r="C79" s="218" t="str">
        <f t="shared" si="42"/>
        <v>緬甸元</v>
      </c>
      <c r="D79" s="253" t="str">
        <f t="shared" si="42"/>
        <v/>
      </c>
      <c r="E79" s="254">
        <f t="shared" si="42"/>
        <v>0.2</v>
      </c>
      <c r="F79" s="255">
        <f t="shared" ref="F79:Y79" si="43">HLOOKUP(F26,$F$1:$AI$2,2) * $D$1 * $E79</f>
        <v>20</v>
      </c>
      <c r="G79" s="255">
        <f t="shared" si="43"/>
        <v>40</v>
      </c>
      <c r="H79" s="255">
        <f t="shared" si="43"/>
        <v>80</v>
      </c>
      <c r="I79" s="255">
        <f t="shared" si="43"/>
        <v>100</v>
      </c>
      <c r="J79" s="255">
        <f t="shared" si="43"/>
        <v>120</v>
      </c>
      <c r="K79" s="255">
        <f t="shared" si="43"/>
        <v>160</v>
      </c>
      <c r="L79" s="255">
        <f t="shared" si="43"/>
        <v>240</v>
      </c>
      <c r="M79" s="255">
        <f t="shared" si="43"/>
        <v>300</v>
      </c>
      <c r="N79" s="255">
        <f t="shared" si="43"/>
        <v>400</v>
      </c>
      <c r="O79" s="255">
        <f t="shared" si="43"/>
        <v>600</v>
      </c>
      <c r="P79" s="255">
        <f t="shared" si="43"/>
        <v>800</v>
      </c>
      <c r="Q79" s="255">
        <f t="shared" si="43"/>
        <v>1200</v>
      </c>
      <c r="R79" s="255">
        <f t="shared" si="43"/>
        <v>1800</v>
      </c>
      <c r="S79" s="255">
        <f t="shared" si="43"/>
        <v>2000</v>
      </c>
      <c r="T79" s="255">
        <f t="shared" si="43"/>
        <v>4000</v>
      </c>
      <c r="U79" s="255">
        <f t="shared" si="43"/>
        <v>10000</v>
      </c>
      <c r="V79" s="255">
        <f t="shared" si="43"/>
        <v>16000</v>
      </c>
      <c r="W79" s="255">
        <f t="shared" si="43"/>
        <v>20000</v>
      </c>
      <c r="X79" s="255">
        <f t="shared" si="43"/>
        <v>30000</v>
      </c>
      <c r="Y79" s="255">
        <f t="shared" si="43"/>
        <v>40000</v>
      </c>
      <c r="Z79" s="282"/>
      <c r="AA79" s="68"/>
    </row>
    <row r="80" ht="16.5" customHeight="1">
      <c r="A80" s="218" t="str">
        <f t="shared" ref="A80:E80" si="44">A27</f>
        <v>IDRO</v>
      </c>
      <c r="B80" s="218" t="str">
        <f t="shared" si="44"/>
        <v>Rp</v>
      </c>
      <c r="C80" s="218" t="str">
        <f t="shared" si="44"/>
        <v>印尼盧比</v>
      </c>
      <c r="D80" s="253" t="str">
        <f t="shared" si="44"/>
        <v/>
      </c>
      <c r="E80" s="254">
        <f t="shared" si="44"/>
        <v>0.2</v>
      </c>
      <c r="F80" s="255">
        <f t="shared" ref="F80:Y80" si="45">HLOOKUP(F27,$F$1:$AI$2,2) * $D$1 * $E80</f>
        <v>20</v>
      </c>
      <c r="G80" s="255">
        <f t="shared" si="45"/>
        <v>40</v>
      </c>
      <c r="H80" s="255">
        <f t="shared" si="45"/>
        <v>80</v>
      </c>
      <c r="I80" s="255">
        <f t="shared" si="45"/>
        <v>100</v>
      </c>
      <c r="J80" s="255">
        <f t="shared" si="45"/>
        <v>120</v>
      </c>
      <c r="K80" s="255">
        <f t="shared" si="45"/>
        <v>160</v>
      </c>
      <c r="L80" s="255">
        <f t="shared" si="45"/>
        <v>240</v>
      </c>
      <c r="M80" s="255">
        <f t="shared" si="45"/>
        <v>300</v>
      </c>
      <c r="N80" s="255">
        <f t="shared" si="45"/>
        <v>400</v>
      </c>
      <c r="O80" s="255">
        <f t="shared" si="45"/>
        <v>600</v>
      </c>
      <c r="P80" s="255">
        <f t="shared" si="45"/>
        <v>800</v>
      </c>
      <c r="Q80" s="255">
        <f t="shared" si="45"/>
        <v>1200</v>
      </c>
      <c r="R80" s="255">
        <f t="shared" si="45"/>
        <v>1800</v>
      </c>
      <c r="S80" s="255">
        <f t="shared" si="45"/>
        <v>2000</v>
      </c>
      <c r="T80" s="255">
        <f t="shared" si="45"/>
        <v>4000</v>
      </c>
      <c r="U80" s="255">
        <f t="shared" si="45"/>
        <v>10000</v>
      </c>
      <c r="V80" s="255">
        <f t="shared" si="45"/>
        <v>16000</v>
      </c>
      <c r="W80" s="255">
        <f t="shared" si="45"/>
        <v>20000</v>
      </c>
      <c r="X80" s="255">
        <f t="shared" si="45"/>
        <v>30000</v>
      </c>
      <c r="Y80" s="255">
        <f t="shared" si="45"/>
        <v>40000</v>
      </c>
      <c r="Z80" s="282"/>
      <c r="AA80" s="68"/>
    </row>
    <row r="81" ht="16.5" customHeight="1">
      <c r="A81" s="218" t="str">
        <f t="shared" ref="A81:E81" si="46">A28</f>
        <v>RUB</v>
      </c>
      <c r="B81" s="218" t="str">
        <f t="shared" si="46"/>
        <v>₽</v>
      </c>
      <c r="C81" s="218" t="str">
        <f t="shared" si="46"/>
        <v>盧布</v>
      </c>
      <c r="D81" s="253" t="str">
        <f t="shared" si="46"/>
        <v/>
      </c>
      <c r="E81" s="254">
        <f t="shared" si="46"/>
        <v>0.01</v>
      </c>
      <c r="F81" s="255">
        <f t="shared" ref="F81:Y81" si="47">HLOOKUP(F28,$F$1:$AI$2,2) * $D$1 * $E81</f>
        <v>1</v>
      </c>
      <c r="G81" s="255">
        <f t="shared" si="47"/>
        <v>2</v>
      </c>
      <c r="H81" s="255">
        <f t="shared" si="47"/>
        <v>4</v>
      </c>
      <c r="I81" s="255">
        <f t="shared" si="47"/>
        <v>5</v>
      </c>
      <c r="J81" s="255">
        <f t="shared" si="47"/>
        <v>6</v>
      </c>
      <c r="K81" s="255">
        <f t="shared" si="47"/>
        <v>8</v>
      </c>
      <c r="L81" s="255">
        <f t="shared" si="47"/>
        <v>12</v>
      </c>
      <c r="M81" s="255">
        <f t="shared" si="47"/>
        <v>15</v>
      </c>
      <c r="N81" s="255">
        <f t="shared" si="47"/>
        <v>20</v>
      </c>
      <c r="O81" s="255">
        <f t="shared" si="47"/>
        <v>30</v>
      </c>
      <c r="P81" s="255">
        <f t="shared" si="47"/>
        <v>40</v>
      </c>
      <c r="Q81" s="255">
        <f t="shared" si="47"/>
        <v>60</v>
      </c>
      <c r="R81" s="255">
        <f t="shared" si="47"/>
        <v>90</v>
      </c>
      <c r="S81" s="255">
        <f t="shared" si="47"/>
        <v>100</v>
      </c>
      <c r="T81" s="255">
        <f t="shared" si="47"/>
        <v>200</v>
      </c>
      <c r="U81" s="255">
        <f t="shared" si="47"/>
        <v>500</v>
      </c>
      <c r="V81" s="255">
        <f t="shared" si="47"/>
        <v>800</v>
      </c>
      <c r="W81" s="255">
        <f t="shared" si="47"/>
        <v>1000</v>
      </c>
      <c r="X81" s="255">
        <f t="shared" si="47"/>
        <v>1500</v>
      </c>
      <c r="Y81" s="255">
        <f t="shared" si="47"/>
        <v>2000</v>
      </c>
      <c r="Z81" s="282"/>
      <c r="AA81" s="68"/>
    </row>
    <row r="82" ht="16.5" customHeight="1">
      <c r="A82" s="218" t="str">
        <f t="shared" ref="A82:E82" si="48">A29</f>
        <v>LKR</v>
      </c>
      <c r="B82" s="218" t="str">
        <f t="shared" si="48"/>
        <v>₨</v>
      </c>
      <c r="C82" s="218" t="str">
        <f t="shared" si="48"/>
        <v>斯里蘭卡盧比</v>
      </c>
      <c r="D82" s="253" t="str">
        <f t="shared" si="48"/>
        <v/>
      </c>
      <c r="E82" s="254">
        <f t="shared" si="48"/>
        <v>0.01</v>
      </c>
      <c r="F82" s="255">
        <f t="shared" ref="F82:Y82" si="49">HLOOKUP(F29,$F$1:$AI$2,2) * $D$1 * $E82</f>
        <v>1</v>
      </c>
      <c r="G82" s="255">
        <f t="shared" si="49"/>
        <v>2</v>
      </c>
      <c r="H82" s="255">
        <f t="shared" si="49"/>
        <v>4</v>
      </c>
      <c r="I82" s="255">
        <f t="shared" si="49"/>
        <v>5</v>
      </c>
      <c r="J82" s="255">
        <f t="shared" si="49"/>
        <v>6</v>
      </c>
      <c r="K82" s="255">
        <f t="shared" si="49"/>
        <v>8</v>
      </c>
      <c r="L82" s="255">
        <f t="shared" si="49"/>
        <v>12</v>
      </c>
      <c r="M82" s="255">
        <f t="shared" si="49"/>
        <v>15</v>
      </c>
      <c r="N82" s="255">
        <f t="shared" si="49"/>
        <v>20</v>
      </c>
      <c r="O82" s="255">
        <f t="shared" si="49"/>
        <v>30</v>
      </c>
      <c r="P82" s="255">
        <f t="shared" si="49"/>
        <v>40</v>
      </c>
      <c r="Q82" s="255">
        <f t="shared" si="49"/>
        <v>60</v>
      </c>
      <c r="R82" s="255">
        <f t="shared" si="49"/>
        <v>90</v>
      </c>
      <c r="S82" s="255">
        <f t="shared" si="49"/>
        <v>100</v>
      </c>
      <c r="T82" s="255">
        <f t="shared" si="49"/>
        <v>200</v>
      </c>
      <c r="U82" s="255">
        <f t="shared" si="49"/>
        <v>500</v>
      </c>
      <c r="V82" s="255">
        <f t="shared" si="49"/>
        <v>800</v>
      </c>
      <c r="W82" s="255">
        <f t="shared" si="49"/>
        <v>1000</v>
      </c>
      <c r="X82" s="255">
        <f t="shared" si="49"/>
        <v>1500</v>
      </c>
      <c r="Y82" s="255">
        <f t="shared" si="49"/>
        <v>2000</v>
      </c>
      <c r="Z82" s="282"/>
      <c r="AA82" s="68"/>
    </row>
    <row r="83" ht="16.5" customHeight="1">
      <c r="A83" s="218" t="str">
        <f t="shared" ref="A83:E83" si="50">A30</f>
        <v>ETB</v>
      </c>
      <c r="B83" s="218" t="str">
        <f t="shared" si="50"/>
        <v>Br‎</v>
      </c>
      <c r="C83" s="218" t="str">
        <f t="shared" si="50"/>
        <v>衣索比亞比爾</v>
      </c>
      <c r="D83" s="253" t="str">
        <f t="shared" si="50"/>
        <v/>
      </c>
      <c r="E83" s="254">
        <f t="shared" si="50"/>
        <v>0.01</v>
      </c>
      <c r="F83" s="255">
        <f t="shared" ref="F83:Y83" si="51">HLOOKUP(F30,$F$1:$AI$2,2) * $D$1 * $E83</f>
        <v>1</v>
      </c>
      <c r="G83" s="255">
        <f t="shared" si="51"/>
        <v>2</v>
      </c>
      <c r="H83" s="255">
        <f t="shared" si="51"/>
        <v>4</v>
      </c>
      <c r="I83" s="255">
        <f t="shared" si="51"/>
        <v>5</v>
      </c>
      <c r="J83" s="255">
        <f t="shared" si="51"/>
        <v>6</v>
      </c>
      <c r="K83" s="255">
        <f t="shared" si="51"/>
        <v>8</v>
      </c>
      <c r="L83" s="255">
        <f t="shared" si="51"/>
        <v>12</v>
      </c>
      <c r="M83" s="255">
        <f t="shared" si="51"/>
        <v>15</v>
      </c>
      <c r="N83" s="255">
        <f t="shared" si="51"/>
        <v>20</v>
      </c>
      <c r="O83" s="255">
        <f t="shared" si="51"/>
        <v>30</v>
      </c>
      <c r="P83" s="255">
        <f t="shared" si="51"/>
        <v>40</v>
      </c>
      <c r="Q83" s="255">
        <f t="shared" si="51"/>
        <v>60</v>
      </c>
      <c r="R83" s="255">
        <f t="shared" si="51"/>
        <v>90</v>
      </c>
      <c r="S83" s="255">
        <f t="shared" si="51"/>
        <v>100</v>
      </c>
      <c r="T83" s="255">
        <f t="shared" si="51"/>
        <v>200</v>
      </c>
      <c r="U83" s="255">
        <f t="shared" si="51"/>
        <v>500</v>
      </c>
      <c r="V83" s="255">
        <f t="shared" si="51"/>
        <v>800</v>
      </c>
      <c r="W83" s="255">
        <f t="shared" si="51"/>
        <v>1000</v>
      </c>
      <c r="X83" s="255">
        <f t="shared" si="51"/>
        <v>1500</v>
      </c>
      <c r="Y83" s="255">
        <f t="shared" si="51"/>
        <v>2000</v>
      </c>
      <c r="Z83" s="282"/>
      <c r="AA83" s="68"/>
    </row>
    <row r="84" ht="16.5" customHeight="1">
      <c r="A84" s="218" t="str">
        <f t="shared" ref="A84:E84" si="52">A31</f>
        <v>UGX</v>
      </c>
      <c r="B84" s="218" t="str">
        <f t="shared" si="52"/>
        <v>USh</v>
      </c>
      <c r="C84" s="218" t="str">
        <f t="shared" si="52"/>
        <v>烏干達先令</v>
      </c>
      <c r="D84" s="253" t="str">
        <f t="shared" si="52"/>
        <v/>
      </c>
      <c r="E84" s="254">
        <f t="shared" si="52"/>
        <v>0.2</v>
      </c>
      <c r="F84" s="255">
        <f t="shared" ref="F84:Y84" si="53">HLOOKUP(F31,$F$1:$AI$2,2) * $D$1 * $E84</f>
        <v>20</v>
      </c>
      <c r="G84" s="255">
        <f t="shared" si="53"/>
        <v>40</v>
      </c>
      <c r="H84" s="255">
        <f t="shared" si="53"/>
        <v>80</v>
      </c>
      <c r="I84" s="255">
        <f t="shared" si="53"/>
        <v>100</v>
      </c>
      <c r="J84" s="255">
        <f t="shared" si="53"/>
        <v>120</v>
      </c>
      <c r="K84" s="255">
        <f t="shared" si="53"/>
        <v>160</v>
      </c>
      <c r="L84" s="255">
        <f t="shared" si="53"/>
        <v>240</v>
      </c>
      <c r="M84" s="255">
        <f t="shared" si="53"/>
        <v>300</v>
      </c>
      <c r="N84" s="255">
        <f t="shared" si="53"/>
        <v>400</v>
      </c>
      <c r="O84" s="255">
        <f t="shared" si="53"/>
        <v>600</v>
      </c>
      <c r="P84" s="255">
        <f t="shared" si="53"/>
        <v>800</v>
      </c>
      <c r="Q84" s="255">
        <f t="shared" si="53"/>
        <v>1200</v>
      </c>
      <c r="R84" s="255">
        <f t="shared" si="53"/>
        <v>1800</v>
      </c>
      <c r="S84" s="255">
        <f t="shared" si="53"/>
        <v>2000</v>
      </c>
      <c r="T84" s="255">
        <f t="shared" si="53"/>
        <v>4000</v>
      </c>
      <c r="U84" s="255">
        <f t="shared" si="53"/>
        <v>10000</v>
      </c>
      <c r="V84" s="255">
        <f t="shared" si="53"/>
        <v>16000</v>
      </c>
      <c r="W84" s="255">
        <f t="shared" si="53"/>
        <v>20000</v>
      </c>
      <c r="X84" s="255">
        <f t="shared" si="53"/>
        <v>30000</v>
      </c>
      <c r="Y84" s="255">
        <f t="shared" si="53"/>
        <v>40000</v>
      </c>
      <c r="Z84" s="282"/>
      <c r="AA84" s="68"/>
    </row>
    <row r="85" ht="16.5" customHeight="1">
      <c r="A85" s="225" t="str">
        <f t="shared" ref="A85:E85" si="54">A32</f>
        <v>EUR</v>
      </c>
      <c r="B85" s="225" t="str">
        <f t="shared" si="54"/>
        <v>€</v>
      </c>
      <c r="C85" s="225" t="str">
        <f t="shared" si="54"/>
        <v>歐元</v>
      </c>
      <c r="D85" s="264" t="str">
        <f t="shared" si="54"/>
        <v/>
      </c>
      <c r="E85" s="265">
        <f t="shared" si="54"/>
        <v>0.001</v>
      </c>
      <c r="F85" s="268">
        <f t="shared" ref="F85:Y85" si="55">HLOOKUP(F32,$F$1:$AI$2,2) * $D$1 * $E85</f>
        <v>0.2</v>
      </c>
      <c r="G85" s="268">
        <f t="shared" si="55"/>
        <v>0.3</v>
      </c>
      <c r="H85" s="268">
        <f t="shared" si="55"/>
        <v>0.4</v>
      </c>
      <c r="I85" s="268">
        <f t="shared" si="55"/>
        <v>0.5</v>
      </c>
      <c r="J85" s="268">
        <f t="shared" si="55"/>
        <v>0.6</v>
      </c>
      <c r="K85" s="268">
        <f t="shared" si="55"/>
        <v>0.8</v>
      </c>
      <c r="L85" s="268">
        <f t="shared" si="55"/>
        <v>1.2</v>
      </c>
      <c r="M85" s="268">
        <f t="shared" si="55"/>
        <v>1.5</v>
      </c>
      <c r="N85" s="268">
        <f t="shared" si="55"/>
        <v>2</v>
      </c>
      <c r="O85" s="268">
        <f t="shared" si="55"/>
        <v>3</v>
      </c>
      <c r="P85" s="268">
        <f t="shared" si="55"/>
        <v>4</v>
      </c>
      <c r="Q85" s="268">
        <f t="shared" si="55"/>
        <v>6</v>
      </c>
      <c r="R85" s="268">
        <f t="shared" si="55"/>
        <v>8</v>
      </c>
      <c r="S85" s="268">
        <f t="shared" si="55"/>
        <v>10</v>
      </c>
      <c r="T85" s="268">
        <f t="shared" si="55"/>
        <v>20</v>
      </c>
      <c r="U85" s="268">
        <f t="shared" si="55"/>
        <v>30</v>
      </c>
      <c r="V85" s="268">
        <f t="shared" si="55"/>
        <v>40</v>
      </c>
      <c r="W85" s="268">
        <f t="shared" si="55"/>
        <v>50</v>
      </c>
      <c r="X85" s="268">
        <f t="shared" si="55"/>
        <v>60</v>
      </c>
      <c r="Y85" s="268">
        <f t="shared" si="55"/>
        <v>80</v>
      </c>
      <c r="Z85" s="282"/>
      <c r="AA85" s="68"/>
    </row>
    <row r="86" ht="16.5" customHeight="1">
      <c r="A86" s="218" t="str">
        <f t="shared" ref="A86:E86" si="56">A33</f>
        <v>ARS</v>
      </c>
      <c r="B86" s="218" t="str">
        <f t="shared" si="56"/>
        <v>$</v>
      </c>
      <c r="C86" s="218" t="str">
        <f t="shared" si="56"/>
        <v>阿根廷披索</v>
      </c>
      <c r="D86" s="253" t="str">
        <f t="shared" si="56"/>
        <v/>
      </c>
      <c r="E86" s="254">
        <f t="shared" si="56"/>
        <v>0.01</v>
      </c>
      <c r="F86" s="255">
        <f t="shared" ref="F86:Y86" si="57">HLOOKUP(F33,$F$1:$AI$2,2) * $D$1 * $E86</f>
        <v>1</v>
      </c>
      <c r="G86" s="255">
        <f t="shared" si="57"/>
        <v>2</v>
      </c>
      <c r="H86" s="255">
        <f t="shared" si="57"/>
        <v>4</v>
      </c>
      <c r="I86" s="255">
        <f t="shared" si="57"/>
        <v>5</v>
      </c>
      <c r="J86" s="255">
        <f t="shared" si="57"/>
        <v>6</v>
      </c>
      <c r="K86" s="255">
        <f t="shared" si="57"/>
        <v>8</v>
      </c>
      <c r="L86" s="255">
        <f t="shared" si="57"/>
        <v>12</v>
      </c>
      <c r="M86" s="255">
        <f t="shared" si="57"/>
        <v>15</v>
      </c>
      <c r="N86" s="255">
        <f t="shared" si="57"/>
        <v>20</v>
      </c>
      <c r="O86" s="255">
        <f t="shared" si="57"/>
        <v>30</v>
      </c>
      <c r="P86" s="255">
        <f t="shared" si="57"/>
        <v>40</v>
      </c>
      <c r="Q86" s="255">
        <f t="shared" si="57"/>
        <v>60</v>
      </c>
      <c r="R86" s="255">
        <f t="shared" si="57"/>
        <v>90</v>
      </c>
      <c r="S86" s="255">
        <f t="shared" si="57"/>
        <v>100</v>
      </c>
      <c r="T86" s="255">
        <f t="shared" si="57"/>
        <v>200</v>
      </c>
      <c r="U86" s="255">
        <f t="shared" si="57"/>
        <v>500</v>
      </c>
      <c r="V86" s="255">
        <f t="shared" si="57"/>
        <v>800</v>
      </c>
      <c r="W86" s="255">
        <f t="shared" si="57"/>
        <v>1000</v>
      </c>
      <c r="X86" s="255">
        <f t="shared" si="57"/>
        <v>1500</v>
      </c>
      <c r="Y86" s="255">
        <f t="shared" si="57"/>
        <v>2000</v>
      </c>
      <c r="Z86" s="282"/>
      <c r="AA86" s="68"/>
    </row>
    <row r="87" ht="16.5" customHeight="1">
      <c r="A87" s="218" t="str">
        <f t="shared" ref="A87:E87" si="58">A34</f>
        <v>NGN</v>
      </c>
      <c r="B87" s="218" t="str">
        <f t="shared" si="58"/>
        <v>₦</v>
      </c>
      <c r="C87" s="218" t="str">
        <f t="shared" si="58"/>
        <v>奈及利亞奈拉</v>
      </c>
      <c r="D87" s="253" t="str">
        <f t="shared" si="58"/>
        <v/>
      </c>
      <c r="E87" s="254">
        <f t="shared" si="58"/>
        <v>0.2</v>
      </c>
      <c r="F87" s="255">
        <f t="shared" ref="F87:Y87" si="59">HLOOKUP(F34,$F$1:$AI$2,2) * $D$1 * $E87</f>
        <v>20</v>
      </c>
      <c r="G87" s="255">
        <f t="shared" si="59"/>
        <v>40</v>
      </c>
      <c r="H87" s="255">
        <f t="shared" si="59"/>
        <v>80</v>
      </c>
      <c r="I87" s="255">
        <f t="shared" si="59"/>
        <v>100</v>
      </c>
      <c r="J87" s="255">
        <f t="shared" si="59"/>
        <v>120</v>
      </c>
      <c r="K87" s="255">
        <f t="shared" si="59"/>
        <v>160</v>
      </c>
      <c r="L87" s="255">
        <f t="shared" si="59"/>
        <v>240</v>
      </c>
      <c r="M87" s="255">
        <f t="shared" si="59"/>
        <v>300</v>
      </c>
      <c r="N87" s="255">
        <f t="shared" si="59"/>
        <v>400</v>
      </c>
      <c r="O87" s="255">
        <f t="shared" si="59"/>
        <v>600</v>
      </c>
      <c r="P87" s="255">
        <f t="shared" si="59"/>
        <v>800</v>
      </c>
      <c r="Q87" s="255">
        <f t="shared" si="59"/>
        <v>1200</v>
      </c>
      <c r="R87" s="255">
        <f t="shared" si="59"/>
        <v>1800</v>
      </c>
      <c r="S87" s="255">
        <f t="shared" si="59"/>
        <v>2000</v>
      </c>
      <c r="T87" s="255">
        <f t="shared" si="59"/>
        <v>4000</v>
      </c>
      <c r="U87" s="255">
        <f t="shared" si="59"/>
        <v>10000</v>
      </c>
      <c r="V87" s="255">
        <f t="shared" si="59"/>
        <v>16000</v>
      </c>
      <c r="W87" s="255">
        <f t="shared" si="59"/>
        <v>20000</v>
      </c>
      <c r="X87" s="255">
        <f t="shared" si="59"/>
        <v>30000</v>
      </c>
      <c r="Y87" s="255">
        <f t="shared" si="59"/>
        <v>40000</v>
      </c>
      <c r="Z87" s="282"/>
      <c r="AA87" s="68"/>
    </row>
    <row r="88" ht="16.5" customHeight="1">
      <c r="A88" s="218" t="str">
        <f t="shared" ref="A88:E88" si="60">A35</f>
        <v>KES</v>
      </c>
      <c r="B88" s="218" t="str">
        <f t="shared" si="60"/>
        <v>KSh</v>
      </c>
      <c r="C88" s="218" t="str">
        <f t="shared" si="60"/>
        <v>肯亞先令</v>
      </c>
      <c r="D88" s="253" t="str">
        <f t="shared" si="60"/>
        <v/>
      </c>
      <c r="E88" s="254">
        <f t="shared" si="60"/>
        <v>0.02</v>
      </c>
      <c r="F88" s="255">
        <f t="shared" ref="F88:Y88" si="61">HLOOKUP(F35,$F$1:$AI$2,2) * $D$1 * $E88</f>
        <v>2</v>
      </c>
      <c r="G88" s="255">
        <f t="shared" si="61"/>
        <v>4</v>
      </c>
      <c r="H88" s="255">
        <f t="shared" si="61"/>
        <v>8</v>
      </c>
      <c r="I88" s="255">
        <f t="shared" si="61"/>
        <v>10</v>
      </c>
      <c r="J88" s="255">
        <f t="shared" si="61"/>
        <v>12</v>
      </c>
      <c r="K88" s="255">
        <f t="shared" si="61"/>
        <v>16</v>
      </c>
      <c r="L88" s="255">
        <f t="shared" si="61"/>
        <v>24</v>
      </c>
      <c r="M88" s="255">
        <f t="shared" si="61"/>
        <v>30</v>
      </c>
      <c r="N88" s="255">
        <f t="shared" si="61"/>
        <v>40</v>
      </c>
      <c r="O88" s="255">
        <f t="shared" si="61"/>
        <v>60</v>
      </c>
      <c r="P88" s="255">
        <f t="shared" si="61"/>
        <v>80</v>
      </c>
      <c r="Q88" s="255">
        <f t="shared" si="61"/>
        <v>120</v>
      </c>
      <c r="R88" s="255">
        <f t="shared" si="61"/>
        <v>180</v>
      </c>
      <c r="S88" s="255">
        <f t="shared" si="61"/>
        <v>200</v>
      </c>
      <c r="T88" s="255">
        <f t="shared" si="61"/>
        <v>400</v>
      </c>
      <c r="U88" s="255">
        <f t="shared" si="61"/>
        <v>1000</v>
      </c>
      <c r="V88" s="255">
        <f t="shared" si="61"/>
        <v>1600</v>
      </c>
      <c r="W88" s="255">
        <f t="shared" si="61"/>
        <v>2000</v>
      </c>
      <c r="X88" s="255">
        <f t="shared" si="61"/>
        <v>3000</v>
      </c>
      <c r="Y88" s="255">
        <f t="shared" si="61"/>
        <v>4000</v>
      </c>
      <c r="Z88" s="282"/>
      <c r="AA88" s="68"/>
    </row>
    <row r="89" ht="16.5" customHeight="1">
      <c r="A89" s="227" t="str">
        <f t="shared" ref="A89:E89" si="62">A36</f>
        <v>ZAR</v>
      </c>
      <c r="B89" s="227" t="str">
        <f t="shared" si="62"/>
        <v>R</v>
      </c>
      <c r="C89" s="227" t="str">
        <f t="shared" si="62"/>
        <v>南非鍰</v>
      </c>
      <c r="D89" s="266" t="str">
        <f t="shared" si="62"/>
        <v/>
      </c>
      <c r="E89" s="263">
        <f t="shared" si="62"/>
        <v>0.01</v>
      </c>
      <c r="F89" s="65">
        <f t="shared" ref="F89:Y89" si="63">HLOOKUP(F36,$F$1:$AI$2,2) * $D$1 * $E89</f>
        <v>1</v>
      </c>
      <c r="G89" s="65">
        <f t="shared" si="63"/>
        <v>2</v>
      </c>
      <c r="H89" s="65">
        <f t="shared" si="63"/>
        <v>3</v>
      </c>
      <c r="I89" s="65">
        <f t="shared" si="63"/>
        <v>4</v>
      </c>
      <c r="J89" s="65">
        <f t="shared" si="63"/>
        <v>5</v>
      </c>
      <c r="K89" s="65">
        <f t="shared" si="63"/>
        <v>8</v>
      </c>
      <c r="L89" s="65">
        <f t="shared" si="63"/>
        <v>12</v>
      </c>
      <c r="M89" s="65">
        <f t="shared" si="63"/>
        <v>15</v>
      </c>
      <c r="N89" s="65">
        <f t="shared" si="63"/>
        <v>20</v>
      </c>
      <c r="O89" s="65">
        <f t="shared" si="63"/>
        <v>30</v>
      </c>
      <c r="P89" s="65">
        <f t="shared" si="63"/>
        <v>40</v>
      </c>
      <c r="Q89" s="65">
        <f t="shared" si="63"/>
        <v>60</v>
      </c>
      <c r="R89" s="65">
        <f t="shared" si="63"/>
        <v>80</v>
      </c>
      <c r="S89" s="65">
        <f t="shared" si="63"/>
        <v>100</v>
      </c>
      <c r="T89" s="65">
        <f t="shared" si="63"/>
        <v>200</v>
      </c>
      <c r="U89" s="65">
        <f t="shared" si="63"/>
        <v>300</v>
      </c>
      <c r="V89" s="65">
        <f t="shared" si="63"/>
        <v>400</v>
      </c>
      <c r="W89" s="65">
        <f t="shared" si="63"/>
        <v>500</v>
      </c>
      <c r="X89" s="65">
        <f t="shared" si="63"/>
        <v>600</v>
      </c>
      <c r="Y89" s="65">
        <f t="shared" si="63"/>
        <v>800</v>
      </c>
      <c r="Z89" s="282"/>
      <c r="AA89" s="68"/>
    </row>
    <row r="90" ht="16.5" customHeight="1">
      <c r="A90" s="227" t="str">
        <f t="shared" ref="A90:E90" si="64">A37</f>
        <v>TRY</v>
      </c>
      <c r="B90" s="227" t="str">
        <f t="shared" si="64"/>
        <v>₺</v>
      </c>
      <c r="C90" s="227" t="str">
        <f t="shared" si="64"/>
        <v>土耳其里拉</v>
      </c>
      <c r="D90" s="266" t="str">
        <f t="shared" si="64"/>
        <v/>
      </c>
      <c r="E90" s="263">
        <f t="shared" si="64"/>
        <v>0.01</v>
      </c>
      <c r="F90" s="65">
        <f t="shared" ref="F90:Y90" si="65">HLOOKUP(F37,$F$1:$AI$2,2) * $D$1 * $E90</f>
        <v>1</v>
      </c>
      <c r="G90" s="65">
        <f t="shared" si="65"/>
        <v>2</v>
      </c>
      <c r="H90" s="65">
        <f t="shared" si="65"/>
        <v>3</v>
      </c>
      <c r="I90" s="65">
        <f t="shared" si="65"/>
        <v>4</v>
      </c>
      <c r="J90" s="65">
        <f t="shared" si="65"/>
        <v>5</v>
      </c>
      <c r="K90" s="65">
        <f t="shared" si="65"/>
        <v>8</v>
      </c>
      <c r="L90" s="65">
        <f t="shared" si="65"/>
        <v>12</v>
      </c>
      <c r="M90" s="65">
        <f t="shared" si="65"/>
        <v>15</v>
      </c>
      <c r="N90" s="65">
        <f t="shared" si="65"/>
        <v>20</v>
      </c>
      <c r="O90" s="65">
        <f t="shared" si="65"/>
        <v>30</v>
      </c>
      <c r="P90" s="65">
        <f t="shared" si="65"/>
        <v>40</v>
      </c>
      <c r="Q90" s="65">
        <f t="shared" si="65"/>
        <v>60</v>
      </c>
      <c r="R90" s="65">
        <f t="shared" si="65"/>
        <v>80</v>
      </c>
      <c r="S90" s="65">
        <f t="shared" si="65"/>
        <v>100</v>
      </c>
      <c r="T90" s="65">
        <f t="shared" si="65"/>
        <v>200</v>
      </c>
      <c r="U90" s="65">
        <f t="shared" si="65"/>
        <v>300</v>
      </c>
      <c r="V90" s="65">
        <f t="shared" si="65"/>
        <v>400</v>
      </c>
      <c r="W90" s="65">
        <f t="shared" si="65"/>
        <v>500</v>
      </c>
      <c r="X90" s="65">
        <f t="shared" si="65"/>
        <v>600</v>
      </c>
      <c r="Y90" s="65">
        <f t="shared" si="65"/>
        <v>800</v>
      </c>
      <c r="Z90" s="282"/>
      <c r="AA90" s="68"/>
    </row>
    <row r="91" ht="16.5" customHeight="1">
      <c r="A91" s="268" t="str">
        <f t="shared" ref="A91:E91" si="66">A38</f>
        <v>GBP</v>
      </c>
      <c r="B91" s="269" t="str">
        <f t="shared" si="66"/>
        <v>£</v>
      </c>
      <c r="C91" s="269" t="str">
        <f t="shared" si="66"/>
        <v>英鎊</v>
      </c>
      <c r="D91" s="269" t="str">
        <f t="shared" si="66"/>
        <v/>
      </c>
      <c r="E91" s="270">
        <f t="shared" si="66"/>
        <v>0.001</v>
      </c>
      <c r="F91" s="268">
        <f t="shared" ref="F91:Y91" si="67">HLOOKUP(F38,$F$1:$AI$2,2) * $D$1 * $E91</f>
        <v>0.2</v>
      </c>
      <c r="G91" s="268">
        <f t="shared" si="67"/>
        <v>0.3</v>
      </c>
      <c r="H91" s="268">
        <f t="shared" si="67"/>
        <v>0.4</v>
      </c>
      <c r="I91" s="268">
        <f t="shared" si="67"/>
        <v>0.5</v>
      </c>
      <c r="J91" s="268">
        <f t="shared" si="67"/>
        <v>0.6</v>
      </c>
      <c r="K91" s="268">
        <f t="shared" si="67"/>
        <v>0.8</v>
      </c>
      <c r="L91" s="268">
        <f t="shared" si="67"/>
        <v>1.2</v>
      </c>
      <c r="M91" s="268">
        <f t="shared" si="67"/>
        <v>1.5</v>
      </c>
      <c r="N91" s="268">
        <f t="shared" si="67"/>
        <v>2</v>
      </c>
      <c r="O91" s="268">
        <f t="shared" si="67"/>
        <v>3</v>
      </c>
      <c r="P91" s="268">
        <f t="shared" si="67"/>
        <v>4</v>
      </c>
      <c r="Q91" s="268">
        <f t="shared" si="67"/>
        <v>6</v>
      </c>
      <c r="R91" s="268">
        <f t="shared" si="67"/>
        <v>8</v>
      </c>
      <c r="S91" s="268">
        <f t="shared" si="67"/>
        <v>10</v>
      </c>
      <c r="T91" s="268">
        <f t="shared" si="67"/>
        <v>20</v>
      </c>
      <c r="U91" s="268">
        <f t="shared" si="67"/>
        <v>30</v>
      </c>
      <c r="V91" s="268">
        <f t="shared" si="67"/>
        <v>40</v>
      </c>
      <c r="W91" s="268">
        <f t="shared" si="67"/>
        <v>50</v>
      </c>
      <c r="X91" s="268">
        <f t="shared" si="67"/>
        <v>60</v>
      </c>
      <c r="Y91" s="268">
        <f t="shared" si="67"/>
        <v>80</v>
      </c>
      <c r="Z91" s="282"/>
      <c r="AA91" s="68"/>
    </row>
    <row r="92" ht="16.5" customHeight="1">
      <c r="A92" s="255" t="str">
        <f t="shared" ref="A92:E92" si="68">A39</f>
        <v>NPR</v>
      </c>
      <c r="B92" s="271" t="str">
        <f t="shared" si="68"/>
        <v>रू</v>
      </c>
      <c r="C92" s="271" t="str">
        <f t="shared" si="68"/>
        <v>尼泊爾盧比</v>
      </c>
      <c r="D92" s="271" t="str">
        <f t="shared" si="68"/>
        <v/>
      </c>
      <c r="E92" s="272">
        <f t="shared" si="68"/>
        <v>0.02</v>
      </c>
      <c r="F92" s="255">
        <f t="shared" ref="F92:Y92" si="69">HLOOKUP(F39,$F$1:$AI$2,2) * $D$1 * $E92</f>
        <v>2</v>
      </c>
      <c r="G92" s="255">
        <f t="shared" si="69"/>
        <v>4</v>
      </c>
      <c r="H92" s="255">
        <f t="shared" si="69"/>
        <v>8</v>
      </c>
      <c r="I92" s="255">
        <f t="shared" si="69"/>
        <v>10</v>
      </c>
      <c r="J92" s="255">
        <f t="shared" si="69"/>
        <v>12</v>
      </c>
      <c r="K92" s="255">
        <f t="shared" si="69"/>
        <v>16</v>
      </c>
      <c r="L92" s="255">
        <f t="shared" si="69"/>
        <v>24</v>
      </c>
      <c r="M92" s="255">
        <f t="shared" si="69"/>
        <v>30</v>
      </c>
      <c r="N92" s="255">
        <f t="shared" si="69"/>
        <v>40</v>
      </c>
      <c r="O92" s="255">
        <f t="shared" si="69"/>
        <v>60</v>
      </c>
      <c r="P92" s="255">
        <f t="shared" si="69"/>
        <v>80</v>
      </c>
      <c r="Q92" s="255">
        <f t="shared" si="69"/>
        <v>120</v>
      </c>
      <c r="R92" s="255">
        <f t="shared" si="69"/>
        <v>180</v>
      </c>
      <c r="S92" s="255">
        <f t="shared" si="69"/>
        <v>200</v>
      </c>
      <c r="T92" s="255">
        <f t="shared" si="69"/>
        <v>400</v>
      </c>
      <c r="U92" s="255">
        <f t="shared" si="69"/>
        <v>1000</v>
      </c>
      <c r="V92" s="255">
        <f t="shared" si="69"/>
        <v>1600</v>
      </c>
      <c r="W92" s="255">
        <f t="shared" si="69"/>
        <v>2000</v>
      </c>
      <c r="X92" s="255">
        <f t="shared" si="69"/>
        <v>3000</v>
      </c>
      <c r="Y92" s="255">
        <f t="shared" si="69"/>
        <v>4000</v>
      </c>
      <c r="Z92" s="282"/>
      <c r="AA92" s="68"/>
    </row>
    <row r="93" ht="16.5" customHeight="1">
      <c r="A93" s="268" t="str">
        <f t="shared" ref="A93:E93" si="70">A40</f>
        <v>CHF</v>
      </c>
      <c r="B93" s="269" t="str">
        <f t="shared" si="70"/>
        <v>CHF</v>
      </c>
      <c r="C93" s="269" t="str">
        <f t="shared" si="70"/>
        <v>瑞士法郎</v>
      </c>
      <c r="D93" s="269" t="str">
        <f t="shared" si="70"/>
        <v/>
      </c>
      <c r="E93" s="270">
        <f t="shared" si="70"/>
        <v>0.001</v>
      </c>
      <c r="F93" s="268">
        <f t="shared" ref="F93:Y93" si="71">HLOOKUP(F40,$F$1:$AI$2,2) * $D$1 * $E93</f>
        <v>0.2</v>
      </c>
      <c r="G93" s="268">
        <f t="shared" si="71"/>
        <v>0.3</v>
      </c>
      <c r="H93" s="268">
        <f t="shared" si="71"/>
        <v>0.4</v>
      </c>
      <c r="I93" s="268">
        <f t="shared" si="71"/>
        <v>0.5</v>
      </c>
      <c r="J93" s="268">
        <f t="shared" si="71"/>
        <v>0.6</v>
      </c>
      <c r="K93" s="268">
        <f t="shared" si="71"/>
        <v>0.8</v>
      </c>
      <c r="L93" s="268">
        <f t="shared" si="71"/>
        <v>1.2</v>
      </c>
      <c r="M93" s="268">
        <f t="shared" si="71"/>
        <v>1.5</v>
      </c>
      <c r="N93" s="268">
        <f t="shared" si="71"/>
        <v>2</v>
      </c>
      <c r="O93" s="268">
        <f t="shared" si="71"/>
        <v>3</v>
      </c>
      <c r="P93" s="268">
        <f t="shared" si="71"/>
        <v>4</v>
      </c>
      <c r="Q93" s="268">
        <f t="shared" si="71"/>
        <v>6</v>
      </c>
      <c r="R93" s="268">
        <f t="shared" si="71"/>
        <v>8</v>
      </c>
      <c r="S93" s="268">
        <f t="shared" si="71"/>
        <v>10</v>
      </c>
      <c r="T93" s="268">
        <f t="shared" si="71"/>
        <v>20</v>
      </c>
      <c r="U93" s="268">
        <f t="shared" si="71"/>
        <v>30</v>
      </c>
      <c r="V93" s="268">
        <f t="shared" si="71"/>
        <v>40</v>
      </c>
      <c r="W93" s="268">
        <f t="shared" si="71"/>
        <v>50</v>
      </c>
      <c r="X93" s="268">
        <f t="shared" si="71"/>
        <v>60</v>
      </c>
      <c r="Y93" s="268">
        <f t="shared" si="71"/>
        <v>80</v>
      </c>
      <c r="Z93" s="282"/>
      <c r="AA93" s="68"/>
    </row>
    <row r="94" ht="16.5" customHeight="1">
      <c r="A94" s="252" t="str">
        <f t="shared" ref="A94:E94" si="72">A41</f>
        <v>CAD</v>
      </c>
      <c r="B94" s="273" t="str">
        <f t="shared" si="72"/>
        <v>$</v>
      </c>
      <c r="C94" s="273" t="str">
        <f t="shared" si="72"/>
        <v>加幣</v>
      </c>
      <c r="D94" s="273" t="str">
        <f t="shared" si="72"/>
        <v/>
      </c>
      <c r="E94" s="274">
        <f t="shared" si="72"/>
        <v>0.001</v>
      </c>
      <c r="F94" s="252">
        <f t="shared" ref="F94:Y94" si="73">HLOOKUP(F41,$F$1:$AI$2,2) * $D$1 * $E94</f>
        <v>0.2</v>
      </c>
      <c r="G94" s="252">
        <f t="shared" si="73"/>
        <v>0.3</v>
      </c>
      <c r="H94" s="252">
        <f t="shared" si="73"/>
        <v>0.4</v>
      </c>
      <c r="I94" s="252">
        <f t="shared" si="73"/>
        <v>0.5</v>
      </c>
      <c r="J94" s="252">
        <f t="shared" si="73"/>
        <v>0.6</v>
      </c>
      <c r="K94" s="252">
        <f t="shared" si="73"/>
        <v>0.8</v>
      </c>
      <c r="L94" s="252">
        <f t="shared" si="73"/>
        <v>1.2</v>
      </c>
      <c r="M94" s="252">
        <f t="shared" si="73"/>
        <v>1.5</v>
      </c>
      <c r="N94" s="252">
        <f t="shared" si="73"/>
        <v>2</v>
      </c>
      <c r="O94" s="252">
        <f t="shared" si="73"/>
        <v>3</v>
      </c>
      <c r="P94" s="252">
        <f t="shared" si="73"/>
        <v>4</v>
      </c>
      <c r="Q94" s="252">
        <f t="shared" si="73"/>
        <v>6</v>
      </c>
      <c r="R94" s="252">
        <f t="shared" si="73"/>
        <v>8</v>
      </c>
      <c r="S94" s="252">
        <f t="shared" si="73"/>
        <v>10</v>
      </c>
      <c r="T94" s="252">
        <f t="shared" si="73"/>
        <v>20</v>
      </c>
      <c r="U94" s="252">
        <f t="shared" si="73"/>
        <v>30</v>
      </c>
      <c r="V94" s="252">
        <f t="shared" si="73"/>
        <v>40</v>
      </c>
      <c r="W94" s="252">
        <f t="shared" si="73"/>
        <v>50</v>
      </c>
      <c r="X94" s="252">
        <f t="shared" si="73"/>
        <v>60</v>
      </c>
      <c r="Y94" s="252">
        <f t="shared" si="73"/>
        <v>80</v>
      </c>
      <c r="Z94" s="282"/>
      <c r="AA94" s="68"/>
    </row>
    <row r="95" ht="16.5" customHeight="1">
      <c r="A95" s="275" t="str">
        <f t="shared" ref="A95:E95" si="74">A42</f>
        <v>PEN</v>
      </c>
      <c r="B95" s="276" t="str">
        <f t="shared" si="74"/>
        <v>PEN</v>
      </c>
      <c r="C95" s="276" t="str">
        <f t="shared" si="74"/>
        <v>秘魯新索爾</v>
      </c>
      <c r="D95" s="276" t="str">
        <f t="shared" si="74"/>
        <v/>
      </c>
      <c r="E95" s="277">
        <f t="shared" si="74"/>
        <v>0.01</v>
      </c>
      <c r="F95" s="275">
        <f t="shared" ref="F95:Y95" si="75">HLOOKUP(F42,$F$1:$AI$2,2) * $D$1 * $E95</f>
        <v>1</v>
      </c>
      <c r="G95" s="275">
        <f t="shared" si="75"/>
        <v>2</v>
      </c>
      <c r="H95" s="275">
        <f t="shared" si="75"/>
        <v>3</v>
      </c>
      <c r="I95" s="275">
        <f t="shared" si="75"/>
        <v>4</v>
      </c>
      <c r="J95" s="275">
        <f t="shared" si="75"/>
        <v>5</v>
      </c>
      <c r="K95" s="275">
        <f t="shared" si="75"/>
        <v>6</v>
      </c>
      <c r="L95" s="275">
        <f t="shared" si="75"/>
        <v>8</v>
      </c>
      <c r="M95" s="275">
        <f t="shared" si="75"/>
        <v>10</v>
      </c>
      <c r="N95" s="275">
        <f t="shared" si="75"/>
        <v>15</v>
      </c>
      <c r="O95" s="275">
        <f t="shared" si="75"/>
        <v>20</v>
      </c>
      <c r="P95" s="275">
        <f t="shared" si="75"/>
        <v>30</v>
      </c>
      <c r="Q95" s="275">
        <f t="shared" si="75"/>
        <v>40</v>
      </c>
      <c r="R95" s="275">
        <f t="shared" si="75"/>
        <v>50</v>
      </c>
      <c r="S95" s="275">
        <f t="shared" si="75"/>
        <v>60</v>
      </c>
      <c r="T95" s="275">
        <f t="shared" si="75"/>
        <v>70</v>
      </c>
      <c r="U95" s="275">
        <f t="shared" si="75"/>
        <v>80</v>
      </c>
      <c r="V95" s="275">
        <f t="shared" si="75"/>
        <v>90</v>
      </c>
      <c r="W95" s="275">
        <f t="shared" si="75"/>
        <v>100</v>
      </c>
      <c r="X95" s="275">
        <f t="shared" si="75"/>
        <v>200</v>
      </c>
      <c r="Y95" s="275">
        <f t="shared" si="75"/>
        <v>300</v>
      </c>
      <c r="Z95" s="282"/>
      <c r="AA95" s="68"/>
    </row>
    <row r="96" ht="16.5" customHeight="1">
      <c r="A96" s="275" t="str">
        <f t="shared" ref="A96:E96" si="76">A43</f>
        <v>AED</v>
      </c>
      <c r="B96" s="276" t="str">
        <f t="shared" si="76"/>
        <v>AED</v>
      </c>
      <c r="C96" s="276" t="str">
        <f t="shared" si="76"/>
        <v>阿聯迪拉姆</v>
      </c>
      <c r="D96" s="276" t="str">
        <f t="shared" si="76"/>
        <v/>
      </c>
      <c r="E96" s="277">
        <f t="shared" si="76"/>
        <v>0.01</v>
      </c>
      <c r="F96" s="275">
        <f t="shared" ref="F96:Y96" si="77">HLOOKUP(F43,$F$1:$AI$2,2) * $D$1 * $E96</f>
        <v>1</v>
      </c>
      <c r="G96" s="275">
        <f t="shared" si="77"/>
        <v>2</v>
      </c>
      <c r="H96" s="275">
        <f t="shared" si="77"/>
        <v>3</v>
      </c>
      <c r="I96" s="275">
        <f t="shared" si="77"/>
        <v>4</v>
      </c>
      <c r="J96" s="275">
        <f t="shared" si="77"/>
        <v>5</v>
      </c>
      <c r="K96" s="275">
        <f t="shared" si="77"/>
        <v>6</v>
      </c>
      <c r="L96" s="275">
        <f t="shared" si="77"/>
        <v>8</v>
      </c>
      <c r="M96" s="275">
        <f t="shared" si="77"/>
        <v>10</v>
      </c>
      <c r="N96" s="275">
        <f t="shared" si="77"/>
        <v>15</v>
      </c>
      <c r="O96" s="275">
        <f t="shared" si="77"/>
        <v>20</v>
      </c>
      <c r="P96" s="275">
        <f t="shared" si="77"/>
        <v>30</v>
      </c>
      <c r="Q96" s="275">
        <f t="shared" si="77"/>
        <v>40</v>
      </c>
      <c r="R96" s="275">
        <f t="shared" si="77"/>
        <v>50</v>
      </c>
      <c r="S96" s="275">
        <f t="shared" si="77"/>
        <v>60</v>
      </c>
      <c r="T96" s="275">
        <f t="shared" si="77"/>
        <v>70</v>
      </c>
      <c r="U96" s="275">
        <f t="shared" si="77"/>
        <v>80</v>
      </c>
      <c r="V96" s="275">
        <f t="shared" si="77"/>
        <v>90</v>
      </c>
      <c r="W96" s="275">
        <f t="shared" si="77"/>
        <v>100</v>
      </c>
      <c r="X96" s="275">
        <f t="shared" si="77"/>
        <v>200</v>
      </c>
      <c r="Y96" s="275">
        <f t="shared" si="77"/>
        <v>300</v>
      </c>
      <c r="Z96" s="282"/>
      <c r="AA96" s="68"/>
    </row>
    <row r="97" ht="16.5" customHeight="1">
      <c r="A97" s="252" t="str">
        <f t="shared" ref="A97:E97" si="78">A44</f>
        <v>BND</v>
      </c>
      <c r="B97" s="273" t="str">
        <f t="shared" si="78"/>
        <v>B$</v>
      </c>
      <c r="C97" s="273" t="str">
        <f t="shared" si="78"/>
        <v>汶萊幣</v>
      </c>
      <c r="D97" s="273" t="str">
        <f t="shared" si="78"/>
        <v/>
      </c>
      <c r="E97" s="274">
        <f t="shared" si="78"/>
        <v>0.001</v>
      </c>
      <c r="F97" s="252">
        <f t="shared" ref="F97:Y97" si="79">HLOOKUP(F44,$F$1:$AI$2,2) * $D$1 * $E97</f>
        <v>0.2</v>
      </c>
      <c r="G97" s="252">
        <f t="shared" si="79"/>
        <v>0.3</v>
      </c>
      <c r="H97" s="252">
        <f t="shared" si="79"/>
        <v>0.4</v>
      </c>
      <c r="I97" s="252">
        <f t="shared" si="79"/>
        <v>0.5</v>
      </c>
      <c r="J97" s="252">
        <f t="shared" si="79"/>
        <v>0.6</v>
      </c>
      <c r="K97" s="252">
        <f t="shared" si="79"/>
        <v>0.8</v>
      </c>
      <c r="L97" s="252">
        <f t="shared" si="79"/>
        <v>1.2</v>
      </c>
      <c r="M97" s="252">
        <f t="shared" si="79"/>
        <v>1.5</v>
      </c>
      <c r="N97" s="252">
        <f t="shared" si="79"/>
        <v>2</v>
      </c>
      <c r="O97" s="252">
        <f t="shared" si="79"/>
        <v>3</v>
      </c>
      <c r="P97" s="252">
        <f t="shared" si="79"/>
        <v>4</v>
      </c>
      <c r="Q97" s="252">
        <f t="shared" si="79"/>
        <v>6</v>
      </c>
      <c r="R97" s="252">
        <f t="shared" si="79"/>
        <v>8</v>
      </c>
      <c r="S97" s="252">
        <f t="shared" si="79"/>
        <v>10</v>
      </c>
      <c r="T97" s="252">
        <f t="shared" si="79"/>
        <v>20</v>
      </c>
      <c r="U97" s="252">
        <f t="shared" si="79"/>
        <v>30</v>
      </c>
      <c r="V97" s="252">
        <f t="shared" si="79"/>
        <v>40</v>
      </c>
      <c r="W97" s="252">
        <f t="shared" si="79"/>
        <v>50</v>
      </c>
      <c r="X97" s="252">
        <f t="shared" si="79"/>
        <v>60</v>
      </c>
      <c r="Y97" s="252">
        <f t="shared" si="79"/>
        <v>80</v>
      </c>
      <c r="Z97" s="282"/>
      <c r="AA97" s="68"/>
    </row>
    <row r="98" ht="16.5" customHeight="1">
      <c r="A98" s="255" t="str">
        <f t="shared" ref="A98:E98" si="80">A45</f>
        <v>COP</v>
      </c>
      <c r="B98" s="271" t="str">
        <f t="shared" si="80"/>
        <v>$</v>
      </c>
      <c r="C98" s="271" t="str">
        <f t="shared" si="80"/>
        <v>哥倫比亞披索</v>
      </c>
      <c r="D98" s="271" t="str">
        <f t="shared" si="80"/>
        <v/>
      </c>
      <c r="E98" s="272">
        <f t="shared" si="80"/>
        <v>0.2</v>
      </c>
      <c r="F98" s="255">
        <f t="shared" ref="F98:Y98" si="81">HLOOKUP(F45,$F$1:$AI$2,2) * $D$1 * $E98</f>
        <v>20</v>
      </c>
      <c r="G98" s="255">
        <f t="shared" si="81"/>
        <v>40</v>
      </c>
      <c r="H98" s="255">
        <f t="shared" si="81"/>
        <v>80</v>
      </c>
      <c r="I98" s="255">
        <f t="shared" si="81"/>
        <v>100</v>
      </c>
      <c r="J98" s="255">
        <f t="shared" si="81"/>
        <v>120</v>
      </c>
      <c r="K98" s="255">
        <f t="shared" si="81"/>
        <v>160</v>
      </c>
      <c r="L98" s="255">
        <f t="shared" si="81"/>
        <v>240</v>
      </c>
      <c r="M98" s="255">
        <f t="shared" si="81"/>
        <v>300</v>
      </c>
      <c r="N98" s="255">
        <f t="shared" si="81"/>
        <v>400</v>
      </c>
      <c r="O98" s="255">
        <f t="shared" si="81"/>
        <v>600</v>
      </c>
      <c r="P98" s="255">
        <f t="shared" si="81"/>
        <v>800</v>
      </c>
      <c r="Q98" s="255">
        <f t="shared" si="81"/>
        <v>1200</v>
      </c>
      <c r="R98" s="255">
        <f t="shared" si="81"/>
        <v>1800</v>
      </c>
      <c r="S98" s="255">
        <f t="shared" si="81"/>
        <v>2000</v>
      </c>
      <c r="T98" s="255">
        <f t="shared" si="81"/>
        <v>4000</v>
      </c>
      <c r="U98" s="255">
        <f t="shared" si="81"/>
        <v>10000</v>
      </c>
      <c r="V98" s="255">
        <f t="shared" si="81"/>
        <v>16000</v>
      </c>
      <c r="W98" s="255">
        <f t="shared" si="81"/>
        <v>20000</v>
      </c>
      <c r="X98" s="255">
        <f t="shared" si="81"/>
        <v>30000</v>
      </c>
      <c r="Y98" s="255">
        <f t="shared" si="81"/>
        <v>40000</v>
      </c>
      <c r="Z98" s="282"/>
      <c r="AA98" s="68"/>
    </row>
    <row r="99" ht="16.5" customHeight="1">
      <c r="A99" s="255" t="str">
        <f t="shared" ref="A99:E99" si="82">A46</f>
        <v>VNDO</v>
      </c>
      <c r="B99" s="271" t="str">
        <f t="shared" si="82"/>
        <v>₫</v>
      </c>
      <c r="C99" s="271" t="str">
        <f t="shared" si="82"/>
        <v>越南盾</v>
      </c>
      <c r="D99" s="271" t="str">
        <f t="shared" si="82"/>
        <v/>
      </c>
      <c r="E99" s="272">
        <f t="shared" si="82"/>
        <v>0.2</v>
      </c>
      <c r="F99" s="255">
        <f t="shared" ref="F99:Y99" si="83">HLOOKUP(F46,$F$1:$AI$2,2) * $D$1 * $E99</f>
        <v>20</v>
      </c>
      <c r="G99" s="255">
        <f t="shared" si="83"/>
        <v>40</v>
      </c>
      <c r="H99" s="255">
        <f t="shared" si="83"/>
        <v>80</v>
      </c>
      <c r="I99" s="255">
        <f t="shared" si="83"/>
        <v>100</v>
      </c>
      <c r="J99" s="255">
        <f t="shared" si="83"/>
        <v>120</v>
      </c>
      <c r="K99" s="255">
        <f t="shared" si="83"/>
        <v>160</v>
      </c>
      <c r="L99" s="255">
        <f t="shared" si="83"/>
        <v>240</v>
      </c>
      <c r="M99" s="255">
        <f t="shared" si="83"/>
        <v>300</v>
      </c>
      <c r="N99" s="255">
        <f t="shared" si="83"/>
        <v>400</v>
      </c>
      <c r="O99" s="255">
        <f t="shared" si="83"/>
        <v>600</v>
      </c>
      <c r="P99" s="255">
        <f t="shared" si="83"/>
        <v>800</v>
      </c>
      <c r="Q99" s="255">
        <f t="shared" si="83"/>
        <v>1200</v>
      </c>
      <c r="R99" s="255">
        <f t="shared" si="83"/>
        <v>1800</v>
      </c>
      <c r="S99" s="255">
        <f t="shared" si="83"/>
        <v>2000</v>
      </c>
      <c r="T99" s="255">
        <f t="shared" si="83"/>
        <v>4000</v>
      </c>
      <c r="U99" s="255">
        <f t="shared" si="83"/>
        <v>10000</v>
      </c>
      <c r="V99" s="255">
        <f t="shared" si="83"/>
        <v>16000</v>
      </c>
      <c r="W99" s="255">
        <f t="shared" si="83"/>
        <v>20000</v>
      </c>
      <c r="X99" s="255">
        <f t="shared" si="83"/>
        <v>30000</v>
      </c>
      <c r="Y99" s="255">
        <f t="shared" si="83"/>
        <v>40000</v>
      </c>
      <c r="Z99" s="282"/>
      <c r="AA99" s="68"/>
    </row>
    <row r="100" ht="16.5" customHeight="1">
      <c r="A100" s="218" t="str">
        <f t="shared" ref="A100:E100" si="84">A47</f>
        <v>MYRC</v>
      </c>
      <c r="B100" s="218" t="str">
        <f t="shared" si="84"/>
        <v>RM</v>
      </c>
      <c r="C100" s="218" t="str">
        <f t="shared" si="84"/>
        <v>馬來西亞令吉</v>
      </c>
      <c r="D100" s="253">
        <f t="shared" si="84"/>
        <v>0.01</v>
      </c>
      <c r="E100" s="254">
        <f t="shared" si="84"/>
        <v>0.1</v>
      </c>
      <c r="F100" s="255">
        <f t="shared" ref="F100:Y100" si="85">HLOOKUP(F47,$F$1:$AI$2,2) * $D$1 * $E100</f>
        <v>10</v>
      </c>
      <c r="G100" s="255">
        <f t="shared" si="85"/>
        <v>20</v>
      </c>
      <c r="H100" s="255">
        <f t="shared" si="85"/>
        <v>40</v>
      </c>
      <c r="I100" s="255">
        <f t="shared" si="85"/>
        <v>50</v>
      </c>
      <c r="J100" s="255">
        <f t="shared" si="85"/>
        <v>60</v>
      </c>
      <c r="K100" s="255">
        <f t="shared" si="85"/>
        <v>80</v>
      </c>
      <c r="L100" s="255">
        <f t="shared" si="85"/>
        <v>120</v>
      </c>
      <c r="M100" s="255">
        <f t="shared" si="85"/>
        <v>150</v>
      </c>
      <c r="N100" s="255">
        <f t="shared" si="85"/>
        <v>200</v>
      </c>
      <c r="O100" s="255">
        <f t="shared" si="85"/>
        <v>300</v>
      </c>
      <c r="P100" s="255">
        <f t="shared" si="85"/>
        <v>400</v>
      </c>
      <c r="Q100" s="255">
        <f t="shared" si="85"/>
        <v>600</v>
      </c>
      <c r="R100" s="255">
        <f t="shared" si="85"/>
        <v>900</v>
      </c>
      <c r="S100" s="255">
        <f t="shared" si="85"/>
        <v>1000</v>
      </c>
      <c r="T100" s="255">
        <f t="shared" si="85"/>
        <v>2000</v>
      </c>
      <c r="U100" s="255">
        <f t="shared" si="85"/>
        <v>5000</v>
      </c>
      <c r="V100" s="255">
        <f t="shared" si="85"/>
        <v>8000</v>
      </c>
      <c r="W100" s="255">
        <f t="shared" si="85"/>
        <v>10000</v>
      </c>
      <c r="X100" s="255">
        <f t="shared" si="85"/>
        <v>15000</v>
      </c>
      <c r="Y100" s="255">
        <f t="shared" si="85"/>
        <v>20000</v>
      </c>
      <c r="Z100" s="282"/>
      <c r="AA100" s="69"/>
    </row>
    <row r="101" ht="16.5" customHeight="1">
      <c r="A101" s="218" t="str">
        <f t="shared" ref="A101:E101" si="86">A48</f>
        <v>XSD</v>
      </c>
      <c r="B101" s="218" t="str">
        <f t="shared" si="86"/>
        <v/>
      </c>
      <c r="C101" s="218" t="str">
        <f t="shared" si="86"/>
        <v>星幣</v>
      </c>
      <c r="D101" s="253" t="str">
        <f t="shared" si="86"/>
        <v/>
      </c>
      <c r="E101" s="254">
        <f t="shared" si="86"/>
        <v>1</v>
      </c>
      <c r="F101" s="255">
        <f t="shared" ref="F101:Y101" si="87">HLOOKUP(F48,$F$1:$AI$2,2) * $D$1 * $E101</f>
        <v>100</v>
      </c>
      <c r="G101" s="255">
        <f t="shared" si="87"/>
        <v>200</v>
      </c>
      <c r="H101" s="255">
        <f t="shared" si="87"/>
        <v>300</v>
      </c>
      <c r="I101" s="255">
        <f t="shared" si="87"/>
        <v>400</v>
      </c>
      <c r="J101" s="255">
        <f t="shared" si="87"/>
        <v>500</v>
      </c>
      <c r="K101" s="255">
        <f t="shared" si="87"/>
        <v>600</v>
      </c>
      <c r="L101" s="255">
        <f t="shared" si="87"/>
        <v>800</v>
      </c>
      <c r="M101" s="255">
        <f t="shared" si="87"/>
        <v>1000</v>
      </c>
      <c r="N101" s="255">
        <f t="shared" si="87"/>
        <v>1200</v>
      </c>
      <c r="O101" s="255">
        <f t="shared" si="87"/>
        <v>1500</v>
      </c>
      <c r="P101" s="255">
        <f t="shared" si="87"/>
        <v>2000</v>
      </c>
      <c r="Q101" s="255">
        <f t="shared" si="87"/>
        <v>2500</v>
      </c>
      <c r="R101" s="255">
        <f t="shared" si="87"/>
        <v>3000</v>
      </c>
      <c r="S101" s="255">
        <f t="shared" si="87"/>
        <v>4000</v>
      </c>
      <c r="T101" s="255">
        <f t="shared" si="87"/>
        <v>6000</v>
      </c>
      <c r="U101" s="255">
        <f t="shared" si="87"/>
        <v>8000</v>
      </c>
      <c r="V101" s="255">
        <f t="shared" si="87"/>
        <v>10000</v>
      </c>
      <c r="W101" s="255">
        <f t="shared" si="87"/>
        <v>20000</v>
      </c>
      <c r="X101" s="255">
        <f t="shared" si="87"/>
        <v>30000</v>
      </c>
      <c r="Y101" s="255">
        <f t="shared" si="87"/>
        <v>50000</v>
      </c>
    </row>
    <row r="102" ht="16.5" customHeight="1">
      <c r="A102" s="218" t="str">
        <f t="shared" ref="A102:E102" si="88">A49</f>
        <v>DZD</v>
      </c>
      <c r="B102" s="218" t="str">
        <f t="shared" si="88"/>
        <v>دج</v>
      </c>
      <c r="C102" s="218" t="str">
        <f t="shared" si="88"/>
        <v>阿爾及利亞第納爾</v>
      </c>
      <c r="D102" s="253" t="str">
        <f t="shared" si="88"/>
        <v/>
      </c>
      <c r="E102" s="254">
        <f t="shared" si="88"/>
        <v>0.01</v>
      </c>
      <c r="F102" s="255">
        <f t="shared" ref="F102:Y102" si="89">HLOOKUP(F49,$F$1:$AI$2,2) * $D$1 * $E102</f>
        <v>1</v>
      </c>
      <c r="G102" s="255">
        <f t="shared" si="89"/>
        <v>2</v>
      </c>
      <c r="H102" s="255">
        <f t="shared" si="89"/>
        <v>4</v>
      </c>
      <c r="I102" s="255">
        <f t="shared" si="89"/>
        <v>5</v>
      </c>
      <c r="J102" s="255">
        <f t="shared" si="89"/>
        <v>6</v>
      </c>
      <c r="K102" s="255">
        <f t="shared" si="89"/>
        <v>8</v>
      </c>
      <c r="L102" s="255">
        <f t="shared" si="89"/>
        <v>12</v>
      </c>
      <c r="M102" s="255">
        <f t="shared" si="89"/>
        <v>15</v>
      </c>
      <c r="N102" s="255">
        <f t="shared" si="89"/>
        <v>20</v>
      </c>
      <c r="O102" s="255">
        <f t="shared" si="89"/>
        <v>30</v>
      </c>
      <c r="P102" s="255">
        <f t="shared" si="89"/>
        <v>40</v>
      </c>
      <c r="Q102" s="255">
        <f t="shared" si="89"/>
        <v>60</v>
      </c>
      <c r="R102" s="255">
        <f t="shared" si="89"/>
        <v>90</v>
      </c>
      <c r="S102" s="255">
        <f t="shared" si="89"/>
        <v>100</v>
      </c>
      <c r="T102" s="255">
        <f t="shared" si="89"/>
        <v>200</v>
      </c>
      <c r="U102" s="255">
        <f t="shared" si="89"/>
        <v>500</v>
      </c>
      <c r="V102" s="255">
        <f t="shared" si="89"/>
        <v>800</v>
      </c>
      <c r="W102" s="255">
        <f t="shared" si="89"/>
        <v>1000</v>
      </c>
      <c r="X102" s="255">
        <f t="shared" si="89"/>
        <v>1500</v>
      </c>
      <c r="Y102" s="255">
        <f t="shared" si="89"/>
        <v>2000</v>
      </c>
    </row>
    <row r="103" ht="16.5" customHeight="1">
      <c r="A103" s="220" t="str">
        <f t="shared" ref="A103:E103" si="90">A50</f>
        <v>MAD</v>
      </c>
      <c r="B103" s="220" t="str">
        <f t="shared" si="90"/>
        <v>DH</v>
      </c>
      <c r="C103" s="220" t="str">
        <f t="shared" si="90"/>
        <v>摩洛哥迪拉姆</v>
      </c>
      <c r="D103" s="261" t="str">
        <f t="shared" si="90"/>
        <v/>
      </c>
      <c r="E103" s="262">
        <f t="shared" si="90"/>
        <v>0.01</v>
      </c>
      <c r="F103" s="275">
        <f t="shared" ref="F103:Y103" si="91">HLOOKUP(F50,$F$1:$AI$2,2) * $D$1 * $E103</f>
        <v>1</v>
      </c>
      <c r="G103" s="275">
        <f t="shared" si="91"/>
        <v>2</v>
      </c>
      <c r="H103" s="275">
        <f t="shared" si="91"/>
        <v>4</v>
      </c>
      <c r="I103" s="275">
        <f t="shared" si="91"/>
        <v>5</v>
      </c>
      <c r="J103" s="275">
        <f t="shared" si="91"/>
        <v>6</v>
      </c>
      <c r="K103" s="275">
        <f t="shared" si="91"/>
        <v>8</v>
      </c>
      <c r="L103" s="275">
        <f t="shared" si="91"/>
        <v>10</v>
      </c>
      <c r="M103" s="275">
        <f t="shared" si="91"/>
        <v>12</v>
      </c>
      <c r="N103" s="275">
        <f t="shared" si="91"/>
        <v>15</v>
      </c>
      <c r="O103" s="275">
        <f t="shared" si="91"/>
        <v>20</v>
      </c>
      <c r="P103" s="275">
        <f t="shared" si="91"/>
        <v>30</v>
      </c>
      <c r="Q103" s="275">
        <f t="shared" si="91"/>
        <v>40</v>
      </c>
      <c r="R103" s="275">
        <f t="shared" si="91"/>
        <v>50</v>
      </c>
      <c r="S103" s="275">
        <f t="shared" si="91"/>
        <v>60</v>
      </c>
      <c r="T103" s="275">
        <f t="shared" si="91"/>
        <v>80</v>
      </c>
      <c r="U103" s="275">
        <f t="shared" si="91"/>
        <v>90</v>
      </c>
      <c r="V103" s="275">
        <f t="shared" si="91"/>
        <v>100</v>
      </c>
      <c r="W103" s="275">
        <f t="shared" si="91"/>
        <v>200</v>
      </c>
      <c r="X103" s="275">
        <f t="shared" si="91"/>
        <v>300</v>
      </c>
      <c r="Y103" s="275">
        <f t="shared" si="91"/>
        <v>400</v>
      </c>
    </row>
    <row r="104" ht="16.5" customHeight="1">
      <c r="A104" s="220" t="str">
        <f t="shared" ref="A104:E104" si="92">A51</f>
        <v>FRF</v>
      </c>
      <c r="B104" s="220" t="str">
        <f t="shared" si="92"/>
        <v>₣</v>
      </c>
      <c r="C104" s="220" t="str">
        <f t="shared" si="92"/>
        <v>法國法郎</v>
      </c>
      <c r="D104" s="261" t="str">
        <f t="shared" si="92"/>
        <v/>
      </c>
      <c r="E104" s="262">
        <f t="shared" si="92"/>
        <v>0.01</v>
      </c>
      <c r="F104" s="275">
        <f t="shared" ref="F104:Y104" si="93">HLOOKUP(F51,$F$1:$AI$2,2) * $D$1 * $E104</f>
        <v>1</v>
      </c>
      <c r="G104" s="275">
        <f t="shared" si="93"/>
        <v>2</v>
      </c>
      <c r="H104" s="275">
        <f t="shared" si="93"/>
        <v>4</v>
      </c>
      <c r="I104" s="275">
        <f t="shared" si="93"/>
        <v>5</v>
      </c>
      <c r="J104" s="275">
        <f t="shared" si="93"/>
        <v>6</v>
      </c>
      <c r="K104" s="275">
        <f t="shared" si="93"/>
        <v>8</v>
      </c>
      <c r="L104" s="275">
        <f t="shared" si="93"/>
        <v>10</v>
      </c>
      <c r="M104" s="275">
        <f t="shared" si="93"/>
        <v>12</v>
      </c>
      <c r="N104" s="275">
        <f t="shared" si="93"/>
        <v>15</v>
      </c>
      <c r="O104" s="275">
        <f t="shared" si="93"/>
        <v>20</v>
      </c>
      <c r="P104" s="275">
        <f t="shared" si="93"/>
        <v>30</v>
      </c>
      <c r="Q104" s="275">
        <f t="shared" si="93"/>
        <v>40</v>
      </c>
      <c r="R104" s="275">
        <f t="shared" si="93"/>
        <v>50</v>
      </c>
      <c r="S104" s="275">
        <f t="shared" si="93"/>
        <v>60</v>
      </c>
      <c r="T104" s="275">
        <f t="shared" si="93"/>
        <v>80</v>
      </c>
      <c r="U104" s="275">
        <f t="shared" si="93"/>
        <v>90</v>
      </c>
      <c r="V104" s="275">
        <f t="shared" si="93"/>
        <v>100</v>
      </c>
      <c r="W104" s="275">
        <f t="shared" si="93"/>
        <v>200</v>
      </c>
      <c r="X104" s="275">
        <f t="shared" si="93"/>
        <v>300</v>
      </c>
      <c r="Y104" s="275">
        <f t="shared" si="93"/>
        <v>400</v>
      </c>
    </row>
    <row r="105" ht="16.5" customHeight="1">
      <c r="A105" s="220" t="str">
        <f t="shared" ref="A105:E105" si="94">A52</f>
        <v>GHS</v>
      </c>
      <c r="B105" s="220" t="str">
        <f t="shared" si="94"/>
        <v>Gp</v>
      </c>
      <c r="C105" s="220" t="str">
        <f t="shared" si="94"/>
        <v>迦納塞地</v>
      </c>
      <c r="D105" s="261" t="str">
        <f t="shared" si="94"/>
        <v/>
      </c>
      <c r="E105" s="262">
        <f t="shared" si="94"/>
        <v>0.01</v>
      </c>
      <c r="F105" s="275">
        <f t="shared" ref="F105:Y105" si="95">HLOOKUP(F52,$F$1:$AI$2,2) * $D$1 * $E105</f>
        <v>1</v>
      </c>
      <c r="G105" s="275">
        <f t="shared" si="95"/>
        <v>2</v>
      </c>
      <c r="H105" s="275">
        <f t="shared" si="95"/>
        <v>4</v>
      </c>
      <c r="I105" s="275">
        <f t="shared" si="95"/>
        <v>5</v>
      </c>
      <c r="J105" s="275">
        <f t="shared" si="95"/>
        <v>6</v>
      </c>
      <c r="K105" s="275">
        <f t="shared" si="95"/>
        <v>8</v>
      </c>
      <c r="L105" s="275">
        <f t="shared" si="95"/>
        <v>10</v>
      </c>
      <c r="M105" s="275">
        <f t="shared" si="95"/>
        <v>12</v>
      </c>
      <c r="N105" s="275">
        <f t="shared" si="95"/>
        <v>15</v>
      </c>
      <c r="O105" s="275">
        <f t="shared" si="95"/>
        <v>20</v>
      </c>
      <c r="P105" s="275">
        <f t="shared" si="95"/>
        <v>30</v>
      </c>
      <c r="Q105" s="275">
        <f t="shared" si="95"/>
        <v>40</v>
      </c>
      <c r="R105" s="275">
        <f t="shared" si="95"/>
        <v>50</v>
      </c>
      <c r="S105" s="275">
        <f t="shared" si="95"/>
        <v>60</v>
      </c>
      <c r="T105" s="275">
        <f t="shared" si="95"/>
        <v>80</v>
      </c>
      <c r="U105" s="275">
        <f t="shared" si="95"/>
        <v>90</v>
      </c>
      <c r="V105" s="275">
        <f t="shared" si="95"/>
        <v>100</v>
      </c>
      <c r="W105" s="275">
        <f t="shared" si="95"/>
        <v>200</v>
      </c>
      <c r="X105" s="275">
        <f t="shared" si="95"/>
        <v>300</v>
      </c>
      <c r="Y105" s="275">
        <f t="shared" si="95"/>
        <v>400</v>
      </c>
    </row>
    <row r="106" ht="16.5" customHeight="1">
      <c r="A106" s="225" t="str">
        <f t="shared" ref="A106:E106" si="96">A53</f>
        <v>RCC</v>
      </c>
      <c r="B106" s="225" t="str">
        <f t="shared" si="96"/>
        <v/>
      </c>
      <c r="C106" s="225" t="str">
        <f t="shared" si="96"/>
        <v>RCC幣</v>
      </c>
      <c r="D106" s="264" t="str">
        <f t="shared" si="96"/>
        <v/>
      </c>
      <c r="E106" s="265">
        <f t="shared" si="96"/>
        <v>0.001</v>
      </c>
      <c r="F106" s="268">
        <f t="shared" ref="F106:Y106" si="97">HLOOKUP(F53,$F$1:$AI$2,2) * $D$1 * $E106</f>
        <v>0.2</v>
      </c>
      <c r="G106" s="268">
        <f t="shared" si="97"/>
        <v>0.3</v>
      </c>
      <c r="H106" s="268">
        <f t="shared" si="97"/>
        <v>0.4</v>
      </c>
      <c r="I106" s="268">
        <f t="shared" si="97"/>
        <v>0.5</v>
      </c>
      <c r="J106" s="268">
        <f t="shared" si="97"/>
        <v>0.6</v>
      </c>
      <c r="K106" s="268">
        <f t="shared" si="97"/>
        <v>0.8</v>
      </c>
      <c r="L106" s="268">
        <f t="shared" si="97"/>
        <v>1.2</v>
      </c>
      <c r="M106" s="268">
        <f t="shared" si="97"/>
        <v>1.5</v>
      </c>
      <c r="N106" s="268">
        <f t="shared" si="97"/>
        <v>2</v>
      </c>
      <c r="O106" s="268">
        <f t="shared" si="97"/>
        <v>3</v>
      </c>
      <c r="P106" s="268">
        <f t="shared" si="97"/>
        <v>4</v>
      </c>
      <c r="Q106" s="268">
        <f t="shared" si="97"/>
        <v>6</v>
      </c>
      <c r="R106" s="268">
        <f t="shared" si="97"/>
        <v>8</v>
      </c>
      <c r="S106" s="268">
        <f t="shared" si="97"/>
        <v>10</v>
      </c>
      <c r="T106" s="268">
        <f t="shared" si="97"/>
        <v>20</v>
      </c>
      <c r="U106" s="268">
        <f t="shared" si="97"/>
        <v>30</v>
      </c>
      <c r="V106" s="268">
        <f t="shared" si="97"/>
        <v>40</v>
      </c>
      <c r="W106" s="268">
        <f t="shared" si="97"/>
        <v>50</v>
      </c>
      <c r="X106" s="268">
        <f t="shared" si="97"/>
        <v>60</v>
      </c>
      <c r="Y106" s="268">
        <f t="shared" si="97"/>
        <v>80</v>
      </c>
    </row>
    <row r="107" ht="16.5" customHeight="1">
      <c r="A107" s="218" t="str">
        <f t="shared" ref="A107:E107" si="98">A54</f>
        <v>KBB</v>
      </c>
      <c r="B107" s="218" t="str">
        <f t="shared" si="98"/>
        <v/>
      </c>
      <c r="C107" s="218" t="str">
        <f t="shared" si="98"/>
        <v>爸幣</v>
      </c>
      <c r="D107" s="253" t="str">
        <f t="shared" si="98"/>
        <v/>
      </c>
      <c r="E107" s="254">
        <f t="shared" si="98"/>
        <v>0.05</v>
      </c>
      <c r="F107" s="255">
        <f t="shared" ref="F107:Y107" si="99">HLOOKUP(F54,$F$1:$AI$2,2) * $D$1 * $E107</f>
        <v>5</v>
      </c>
      <c r="G107" s="255">
        <f t="shared" si="99"/>
        <v>10</v>
      </c>
      <c r="H107" s="255">
        <f t="shared" si="99"/>
        <v>20</v>
      </c>
      <c r="I107" s="255">
        <f t="shared" si="99"/>
        <v>25</v>
      </c>
      <c r="J107" s="255">
        <f t="shared" si="99"/>
        <v>30</v>
      </c>
      <c r="K107" s="255">
        <f t="shared" si="99"/>
        <v>40</v>
      </c>
      <c r="L107" s="255">
        <f t="shared" si="99"/>
        <v>60</v>
      </c>
      <c r="M107" s="255">
        <f t="shared" si="99"/>
        <v>75</v>
      </c>
      <c r="N107" s="255">
        <f t="shared" si="99"/>
        <v>100</v>
      </c>
      <c r="O107" s="255">
        <f t="shared" si="99"/>
        <v>150</v>
      </c>
      <c r="P107" s="255">
        <f t="shared" si="99"/>
        <v>200</v>
      </c>
      <c r="Q107" s="255">
        <f t="shared" si="99"/>
        <v>300</v>
      </c>
      <c r="R107" s="255">
        <f t="shared" si="99"/>
        <v>450</v>
      </c>
      <c r="S107" s="255">
        <f t="shared" si="99"/>
        <v>500</v>
      </c>
      <c r="T107" s="255">
        <f t="shared" si="99"/>
        <v>1000</v>
      </c>
      <c r="U107" s="255">
        <f t="shared" si="99"/>
        <v>2500</v>
      </c>
      <c r="V107" s="255">
        <f t="shared" si="99"/>
        <v>4000</v>
      </c>
      <c r="W107" s="255">
        <f t="shared" si="99"/>
        <v>5000</v>
      </c>
      <c r="X107" s="255">
        <f t="shared" si="99"/>
        <v>7500</v>
      </c>
      <c r="Y107" s="255">
        <f t="shared" si="99"/>
        <v>10000</v>
      </c>
    </row>
    <row r="108" ht="16.5" customHeight="1">
      <c r="A108" s="218" t="str">
        <f t="shared" ref="A108:E108" si="100">A55</f>
        <v>XSMY</v>
      </c>
      <c r="B108" s="218" t="str">
        <f t="shared" si="100"/>
        <v/>
      </c>
      <c r="C108" s="218" t="str">
        <f t="shared" si="100"/>
        <v>星城馬來西亞</v>
      </c>
      <c r="D108" s="253" t="str">
        <f t="shared" si="100"/>
        <v/>
      </c>
      <c r="E108" s="254">
        <f t="shared" si="100"/>
        <v>1</v>
      </c>
      <c r="F108" s="255">
        <f t="shared" ref="F108:Y108" si="101">HLOOKUP(F55,$F$1:$AI$2,2) * $D$1 * $E108</f>
        <v>100</v>
      </c>
      <c r="G108" s="255">
        <f t="shared" si="101"/>
        <v>200</v>
      </c>
      <c r="H108" s="255">
        <f t="shared" si="101"/>
        <v>300</v>
      </c>
      <c r="I108" s="255">
        <f t="shared" si="101"/>
        <v>400</v>
      </c>
      <c r="J108" s="255">
        <f t="shared" si="101"/>
        <v>500</v>
      </c>
      <c r="K108" s="255">
        <f t="shared" si="101"/>
        <v>600</v>
      </c>
      <c r="L108" s="255">
        <f t="shared" si="101"/>
        <v>800</v>
      </c>
      <c r="M108" s="255">
        <f t="shared" si="101"/>
        <v>1000</v>
      </c>
      <c r="N108" s="255">
        <f t="shared" si="101"/>
        <v>1200</v>
      </c>
      <c r="O108" s="255">
        <f t="shared" si="101"/>
        <v>1500</v>
      </c>
      <c r="P108" s="255">
        <f t="shared" si="101"/>
        <v>2000</v>
      </c>
      <c r="Q108" s="255">
        <f t="shared" si="101"/>
        <v>2500</v>
      </c>
      <c r="R108" s="255">
        <f t="shared" si="101"/>
        <v>3000</v>
      </c>
      <c r="S108" s="255">
        <f t="shared" si="101"/>
        <v>4000</v>
      </c>
      <c r="T108" s="255">
        <f t="shared" si="101"/>
        <v>6000</v>
      </c>
      <c r="U108" s="255">
        <f t="shared" si="101"/>
        <v>8000</v>
      </c>
      <c r="V108" s="255">
        <f t="shared" si="101"/>
        <v>10000</v>
      </c>
      <c r="W108" s="255">
        <f t="shared" si="101"/>
        <v>20000</v>
      </c>
      <c r="X108" s="255">
        <f t="shared" si="101"/>
        <v>30000</v>
      </c>
      <c r="Y108" s="255">
        <f t="shared" si="101"/>
        <v>50000</v>
      </c>
    </row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</sheetData>
  <mergeCells count="9">
    <mergeCell ref="AA5:AA47"/>
    <mergeCell ref="AA58:AA100"/>
    <mergeCell ref="A1:A2"/>
    <mergeCell ref="B1:B2"/>
    <mergeCell ref="C1:C2"/>
    <mergeCell ref="D1:D2"/>
    <mergeCell ref="E1:E2"/>
    <mergeCell ref="A4:AA4"/>
    <mergeCell ref="A57:AA5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6.22"/>
    <col customWidth="1" min="3" max="3" width="11.56"/>
    <col customWidth="1" min="4" max="4" width="6.22"/>
    <col customWidth="1" min="5" max="5" width="6.78"/>
    <col customWidth="1" min="6" max="6" width="7.33"/>
    <col customWidth="1" min="7" max="7" width="8.33"/>
    <col customWidth="1" min="8" max="9" width="9.33"/>
    <col customWidth="1" min="10" max="14" width="6.44"/>
    <col customWidth="1" min="15" max="15" width="7.44"/>
    <col customWidth="1" min="16" max="16" width="7.33"/>
    <col customWidth="1" min="17" max="35" width="7.44"/>
    <col customWidth="1" min="36" max="36" width="6.44"/>
  </cols>
  <sheetData>
    <row r="1" ht="16.5" customHeight="1">
      <c r="A1" s="283"/>
      <c r="B1" s="284"/>
      <c r="C1" s="285" t="s">
        <v>43</v>
      </c>
      <c r="D1" s="286">
        <v>100.0</v>
      </c>
      <c r="E1" s="285" t="s">
        <v>44</v>
      </c>
      <c r="F1" s="156">
        <v>1.0</v>
      </c>
      <c r="G1" s="157">
        <v>2.0</v>
      </c>
      <c r="H1" s="157">
        <v>3.0</v>
      </c>
      <c r="I1" s="157">
        <v>4.0</v>
      </c>
      <c r="J1" s="157">
        <v>5.0</v>
      </c>
      <c r="K1" s="157">
        <v>6.0</v>
      </c>
      <c r="L1" s="157">
        <v>7.0</v>
      </c>
      <c r="M1" s="157">
        <v>8.0</v>
      </c>
      <c r="N1" s="157">
        <v>9.0</v>
      </c>
      <c r="O1" s="157">
        <v>10.0</v>
      </c>
      <c r="P1" s="157">
        <v>11.0</v>
      </c>
      <c r="Q1" s="157">
        <v>12.0</v>
      </c>
      <c r="R1" s="157">
        <v>13.0</v>
      </c>
      <c r="S1" s="157">
        <v>14.0</v>
      </c>
      <c r="T1" s="157">
        <v>15.0</v>
      </c>
      <c r="U1" s="157">
        <v>16.0</v>
      </c>
      <c r="V1" s="157">
        <v>17.0</v>
      </c>
      <c r="W1" s="157">
        <v>18.0</v>
      </c>
      <c r="X1" s="157">
        <v>19.0</v>
      </c>
      <c r="Y1" s="157">
        <v>20.0</v>
      </c>
      <c r="Z1" s="157">
        <v>21.0</v>
      </c>
      <c r="AA1" s="157">
        <v>22.0</v>
      </c>
      <c r="AB1" s="157">
        <v>23.0</v>
      </c>
      <c r="AC1" s="157">
        <v>24.0</v>
      </c>
      <c r="AD1" s="157">
        <v>25.0</v>
      </c>
      <c r="AE1" s="157">
        <v>26.0</v>
      </c>
      <c r="AF1" s="157">
        <v>27.0</v>
      </c>
      <c r="AG1" s="157">
        <v>28.0</v>
      </c>
      <c r="AH1" s="157">
        <v>29.0</v>
      </c>
      <c r="AI1" s="157">
        <v>30.0</v>
      </c>
      <c r="AJ1" s="283"/>
    </row>
    <row r="2" ht="16.5" customHeight="1">
      <c r="B2" s="287"/>
      <c r="C2" s="69"/>
      <c r="D2" s="69"/>
      <c r="E2" s="69"/>
      <c r="F2" s="288">
        <v>1.0</v>
      </c>
      <c r="G2" s="288">
        <v>2.0</v>
      </c>
      <c r="H2" s="288">
        <v>4.0</v>
      </c>
      <c r="I2" s="288">
        <v>10.0</v>
      </c>
      <c r="J2" s="288">
        <v>20.0</v>
      </c>
      <c r="K2" s="288">
        <v>25.0</v>
      </c>
      <c r="L2" s="288">
        <v>40.0</v>
      </c>
      <c r="M2" s="288">
        <v>50.0</v>
      </c>
      <c r="N2" s="288">
        <v>100.0</v>
      </c>
      <c r="O2" s="288">
        <v>125.0</v>
      </c>
      <c r="P2" s="288">
        <v>150.0</v>
      </c>
      <c r="Q2" s="288">
        <v>200.0</v>
      </c>
      <c r="R2" s="288">
        <v>250.0</v>
      </c>
      <c r="S2" s="288">
        <v>400.0</v>
      </c>
      <c r="T2" s="288">
        <v>500.0</v>
      </c>
      <c r="U2" s="288">
        <v>1000.0</v>
      </c>
      <c r="V2" s="288">
        <v>1500.0</v>
      </c>
      <c r="W2" s="289">
        <v>2000.0</v>
      </c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83"/>
    </row>
    <row r="3" ht="16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83"/>
      <c r="AC3" s="283"/>
      <c r="AD3" s="283"/>
      <c r="AE3" s="283"/>
      <c r="AF3" s="283"/>
      <c r="AG3" s="283"/>
      <c r="AH3" s="283"/>
      <c r="AI3" s="283"/>
      <c r="AJ3" s="283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22"/>
      <c r="K4" s="22"/>
      <c r="L4" s="22"/>
      <c r="M4" s="22"/>
      <c r="N4" s="22"/>
      <c r="O4" s="22"/>
      <c r="P4" s="22"/>
      <c r="Q4" s="22"/>
      <c r="R4" s="22"/>
      <c r="S4" s="1"/>
      <c r="T4" s="22"/>
      <c r="U4" s="22"/>
      <c r="V4" s="22"/>
      <c r="W4" s="22"/>
      <c r="X4" s="22"/>
      <c r="Y4" s="22"/>
      <c r="Z4" s="22"/>
      <c r="AA4" s="22"/>
      <c r="AB4" s="283"/>
      <c r="AC4" s="283"/>
      <c r="AD4" s="283"/>
      <c r="AE4" s="283"/>
      <c r="AF4" s="283"/>
      <c r="AG4" s="283"/>
      <c r="AH4" s="283"/>
      <c r="AI4" s="283"/>
      <c r="AJ4" s="283"/>
    </row>
    <row r="5" ht="16.5" customHeight="1">
      <c r="A5" s="291" t="s">
        <v>45</v>
      </c>
      <c r="B5" s="292" t="s">
        <v>46</v>
      </c>
      <c r="C5" s="13" t="s">
        <v>47</v>
      </c>
      <c r="D5" s="292" t="s">
        <v>48</v>
      </c>
      <c r="E5" s="293" t="s">
        <v>49</v>
      </c>
      <c r="F5" s="294" t="s">
        <v>251</v>
      </c>
      <c r="G5" s="294" t="s">
        <v>252</v>
      </c>
      <c r="H5" s="294" t="s">
        <v>253</v>
      </c>
      <c r="I5" s="294" t="s">
        <v>254</v>
      </c>
      <c r="J5" s="283"/>
      <c r="K5" s="283"/>
      <c r="L5" s="283"/>
      <c r="M5" s="283"/>
      <c r="N5" s="283"/>
      <c r="O5" s="283"/>
      <c r="P5" s="283"/>
      <c r="Q5" s="283"/>
      <c r="R5" s="284"/>
      <c r="S5" s="295" t="s">
        <v>70</v>
      </c>
      <c r="T5" s="283"/>
      <c r="U5" s="283"/>
      <c r="V5" s="283"/>
      <c r="W5" s="283"/>
      <c r="X5" s="283"/>
      <c r="Y5" s="283"/>
      <c r="Z5" s="283"/>
      <c r="AA5" s="283"/>
      <c r="AB5" s="283"/>
      <c r="AC5" s="296"/>
      <c r="AD5" s="296"/>
      <c r="AE5" s="296"/>
      <c r="AF5" s="296"/>
      <c r="AG5" s="296"/>
      <c r="AH5" s="296"/>
      <c r="AI5" s="296"/>
      <c r="AJ5" s="296"/>
    </row>
    <row r="6" ht="16.5" customHeight="1">
      <c r="A6" s="297" t="str">
        <f>'試算-SLOT'!A6</f>
        <v>THB</v>
      </c>
      <c r="B6" s="298" t="str">
        <f>'試算-SLOT'!B6</f>
        <v>฿</v>
      </c>
      <c r="C6" s="13" t="str">
        <f>'試算-SLOT'!C6</f>
        <v>泰銖</v>
      </c>
      <c r="D6" s="13" t="str">
        <f>IF('試算-SLOT'!D6=1,"",'試算-SLOT'!D6)</f>
        <v/>
      </c>
      <c r="E6" s="299">
        <v>0.005</v>
      </c>
      <c r="F6" s="300">
        <v>2.0</v>
      </c>
      <c r="G6" s="300">
        <v>5.0</v>
      </c>
      <c r="H6" s="300">
        <v>12.0</v>
      </c>
      <c r="I6" s="300">
        <v>16.0</v>
      </c>
      <c r="J6" s="283"/>
      <c r="K6" s="283"/>
      <c r="L6" s="283"/>
      <c r="M6" s="283"/>
      <c r="N6" s="283"/>
      <c r="O6" s="283"/>
      <c r="P6" s="283"/>
      <c r="Q6" s="283"/>
      <c r="R6" s="301"/>
      <c r="S6" s="287"/>
      <c r="T6" s="302"/>
      <c r="U6" s="302"/>
      <c r="V6" s="302"/>
      <c r="W6" s="302"/>
      <c r="X6" s="303"/>
      <c r="Y6" s="303"/>
      <c r="Z6" s="303"/>
      <c r="AA6" s="303"/>
      <c r="AB6" s="283"/>
      <c r="AC6" s="296"/>
      <c r="AD6" s="296"/>
      <c r="AE6" s="296"/>
      <c r="AF6" s="296"/>
      <c r="AG6" s="296"/>
      <c r="AH6" s="296"/>
      <c r="AI6" s="296"/>
      <c r="AJ6" s="296"/>
    </row>
    <row r="7" ht="16.5" customHeight="1">
      <c r="A7" s="297" t="str">
        <f>'試算-SLOT'!A7</f>
        <v>HKD</v>
      </c>
      <c r="B7" s="298" t="str">
        <f>'試算-SLOT'!B7</f>
        <v>HK$</v>
      </c>
      <c r="C7" s="13" t="str">
        <f>'試算-SLOT'!C7</f>
        <v>港幣</v>
      </c>
      <c r="D7" s="13" t="str">
        <f>IF('試算-SLOT'!D7=1,"",'試算-SLOT'!D7)</f>
        <v/>
      </c>
      <c r="E7" s="299">
        <v>0.001</v>
      </c>
      <c r="F7" s="300">
        <v>4.0</v>
      </c>
      <c r="G7" s="300">
        <v>8.0</v>
      </c>
      <c r="H7" s="300">
        <v>15.0</v>
      </c>
      <c r="I7" s="300">
        <v>17.0</v>
      </c>
      <c r="J7" s="283"/>
      <c r="K7" s="283"/>
      <c r="L7" s="283"/>
      <c r="M7" s="283"/>
      <c r="N7" s="283"/>
      <c r="O7" s="283"/>
      <c r="P7" s="283"/>
      <c r="Q7" s="283"/>
      <c r="R7" s="301"/>
      <c r="S7" s="287"/>
      <c r="T7" s="302"/>
      <c r="U7" s="302"/>
      <c r="V7" s="302"/>
      <c r="W7" s="302"/>
      <c r="X7" s="304"/>
      <c r="Y7" s="304"/>
      <c r="Z7" s="305"/>
      <c r="AA7" s="303"/>
      <c r="AB7" s="283"/>
      <c r="AC7" s="296"/>
      <c r="AD7" s="296"/>
      <c r="AE7" s="296"/>
      <c r="AF7" s="296"/>
      <c r="AG7" s="296"/>
      <c r="AH7" s="296"/>
      <c r="AI7" s="296"/>
      <c r="AJ7" s="296"/>
    </row>
    <row r="8" ht="16.5" customHeight="1">
      <c r="A8" s="297" t="str">
        <f>'試算-SLOT'!A8</f>
        <v>INR</v>
      </c>
      <c r="B8" s="298" t="str">
        <f>'試算-SLOT'!B8</f>
        <v>₹</v>
      </c>
      <c r="C8" s="13" t="str">
        <f>'試算-SLOT'!C8</f>
        <v>印度盧比</v>
      </c>
      <c r="D8" s="13" t="str">
        <f>IF('試算-SLOT'!D8=1,"",'試算-SLOT'!D8)</f>
        <v/>
      </c>
      <c r="E8" s="299">
        <v>0.01</v>
      </c>
      <c r="F8" s="300">
        <v>2.0</v>
      </c>
      <c r="G8" s="300">
        <v>4.0</v>
      </c>
      <c r="H8" s="300">
        <v>9.0</v>
      </c>
      <c r="I8" s="300">
        <v>17.0</v>
      </c>
      <c r="J8" s="283"/>
      <c r="K8" s="283"/>
      <c r="L8" s="283"/>
      <c r="M8" s="283"/>
      <c r="N8" s="283"/>
      <c r="O8" s="283"/>
      <c r="P8" s="283"/>
      <c r="Q8" s="283"/>
      <c r="R8" s="301"/>
      <c r="S8" s="287"/>
      <c r="T8" s="303"/>
      <c r="U8" s="303"/>
      <c r="V8" s="303"/>
      <c r="W8" s="306"/>
      <c r="X8" s="307"/>
      <c r="Y8" s="303"/>
      <c r="Z8" s="303"/>
      <c r="AA8" s="303"/>
      <c r="AB8" s="283"/>
      <c r="AC8" s="296"/>
      <c r="AD8" s="296"/>
      <c r="AE8" s="296"/>
      <c r="AF8" s="296"/>
      <c r="AG8" s="296"/>
      <c r="AH8" s="296"/>
      <c r="AI8" s="296"/>
      <c r="AJ8" s="296"/>
    </row>
    <row r="9" ht="16.5" customHeight="1">
      <c r="A9" s="297" t="str">
        <f>'試算-SLOT'!A9</f>
        <v>IDR</v>
      </c>
      <c r="B9" s="298" t="str">
        <f>'試算-SLOT'!B9</f>
        <v>Rp</v>
      </c>
      <c r="C9" s="13" t="str">
        <f>'試算-SLOT'!C9</f>
        <v>印尼盧比(K)</v>
      </c>
      <c r="D9" s="13">
        <f>IF('試算-SLOT'!D9=1,"",'試算-SLOT'!D9)</f>
        <v>1000</v>
      </c>
      <c r="E9" s="299">
        <v>0.001</v>
      </c>
      <c r="F9" s="300">
        <v>4.0</v>
      </c>
      <c r="G9" s="300">
        <v>8.0</v>
      </c>
      <c r="H9" s="300">
        <v>15.0</v>
      </c>
      <c r="I9" s="300">
        <v>18.0</v>
      </c>
      <c r="J9" s="283"/>
      <c r="K9" s="283"/>
      <c r="L9" s="283"/>
      <c r="M9" s="283"/>
      <c r="N9" s="283"/>
      <c r="O9" s="283"/>
      <c r="P9" s="283"/>
      <c r="Q9" s="283"/>
      <c r="R9" s="301"/>
      <c r="S9" s="287"/>
      <c r="T9" s="303"/>
      <c r="U9" s="303"/>
      <c r="V9" s="303"/>
      <c r="W9" s="306"/>
      <c r="X9" s="307"/>
      <c r="Y9" s="303"/>
      <c r="Z9" s="303"/>
      <c r="AA9" s="303"/>
      <c r="AB9" s="283"/>
      <c r="AC9" s="296"/>
      <c r="AD9" s="296"/>
      <c r="AE9" s="296"/>
      <c r="AF9" s="296"/>
      <c r="AG9" s="296"/>
      <c r="AH9" s="296"/>
      <c r="AI9" s="296"/>
      <c r="AJ9" s="296"/>
    </row>
    <row r="10" ht="16.5" customHeight="1">
      <c r="A10" s="297" t="str">
        <f>'試算-SLOT'!A10</f>
        <v>VND</v>
      </c>
      <c r="B10" s="298" t="str">
        <f>'試算-SLOT'!B10</f>
        <v>₫</v>
      </c>
      <c r="C10" s="13" t="str">
        <f>'試算-SLOT'!C10</f>
        <v>越南盾(K)</v>
      </c>
      <c r="D10" s="13">
        <f>IF('試算-SLOT'!D10=1,"",'試算-SLOT'!D10)</f>
        <v>1000</v>
      </c>
      <c r="E10" s="299">
        <v>0.005</v>
      </c>
      <c r="F10" s="300">
        <v>2.0</v>
      </c>
      <c r="G10" s="300">
        <v>5.0</v>
      </c>
      <c r="H10" s="300">
        <v>12.0</v>
      </c>
      <c r="I10" s="300">
        <v>16.0</v>
      </c>
      <c r="J10" s="283"/>
      <c r="K10" s="283"/>
      <c r="L10" s="283"/>
      <c r="M10" s="283"/>
      <c r="N10" s="283"/>
      <c r="O10" s="283"/>
      <c r="P10" s="283"/>
      <c r="Q10" s="283"/>
      <c r="R10" s="301"/>
      <c r="S10" s="287"/>
      <c r="T10" s="303"/>
      <c r="U10" s="303"/>
      <c r="V10" s="303"/>
      <c r="W10" s="306"/>
      <c r="X10" s="307"/>
      <c r="Y10" s="303"/>
      <c r="Z10" s="303"/>
      <c r="AA10" s="303"/>
      <c r="AB10" s="283"/>
      <c r="AC10" s="296"/>
      <c r="AD10" s="296"/>
      <c r="AE10" s="296"/>
      <c r="AF10" s="296"/>
      <c r="AG10" s="296"/>
      <c r="AH10" s="296"/>
      <c r="AI10" s="296"/>
      <c r="AJ10" s="296"/>
    </row>
    <row r="11" ht="16.5" customHeight="1">
      <c r="A11" s="297" t="str">
        <f>'試算-SLOT'!A11</f>
        <v>MYR</v>
      </c>
      <c r="B11" s="298" t="str">
        <f>'試算-SLOT'!B11</f>
        <v>RM</v>
      </c>
      <c r="C11" s="13" t="str">
        <f>'試算-SLOT'!C11</f>
        <v>馬來西亞令吉</v>
      </c>
      <c r="D11" s="13" t="str">
        <f>IF('試算-SLOT'!D11=1,"",'試算-SLOT'!D11)</f>
        <v/>
      </c>
      <c r="E11" s="299">
        <v>0.001</v>
      </c>
      <c r="F11" s="300">
        <v>4.0</v>
      </c>
      <c r="G11" s="300">
        <v>8.0</v>
      </c>
      <c r="H11" s="300">
        <v>9.0</v>
      </c>
      <c r="I11" s="300">
        <v>16.0</v>
      </c>
      <c r="J11" s="283"/>
      <c r="K11" s="283"/>
      <c r="L11" s="283"/>
      <c r="M11" s="283"/>
      <c r="N11" s="283"/>
      <c r="O11" s="283"/>
      <c r="P11" s="283"/>
      <c r="Q11" s="283"/>
      <c r="R11" s="301"/>
      <c r="S11" s="287"/>
      <c r="T11" s="303"/>
      <c r="U11" s="303"/>
      <c r="V11" s="303"/>
      <c r="W11" s="306"/>
      <c r="X11" s="307"/>
      <c r="Y11" s="303"/>
      <c r="Z11" s="303"/>
      <c r="AA11" s="303"/>
      <c r="AB11" s="283"/>
      <c r="AC11" s="296"/>
      <c r="AD11" s="296"/>
      <c r="AE11" s="296"/>
      <c r="AF11" s="296"/>
      <c r="AG11" s="296"/>
      <c r="AH11" s="296"/>
      <c r="AI11" s="296"/>
      <c r="AJ11" s="296"/>
    </row>
    <row r="12" ht="16.5" customHeight="1">
      <c r="A12" s="297" t="str">
        <f>'試算-SLOT'!A12</f>
        <v>SGD</v>
      </c>
      <c r="B12" s="298" t="str">
        <f>'試算-SLOT'!B12</f>
        <v>S$</v>
      </c>
      <c r="C12" s="13" t="str">
        <f>'試算-SLOT'!C12</f>
        <v>新加坡幣</v>
      </c>
      <c r="D12" s="13" t="str">
        <f>IF('試算-SLOT'!D12=1,"",'試算-SLOT'!D12)</f>
        <v/>
      </c>
      <c r="E12" s="299">
        <v>0.001</v>
      </c>
      <c r="F12" s="300">
        <v>4.0</v>
      </c>
      <c r="G12" s="300">
        <v>8.0</v>
      </c>
      <c r="H12" s="300">
        <v>9.0</v>
      </c>
      <c r="I12" s="300">
        <v>13.0</v>
      </c>
      <c r="J12" s="283"/>
      <c r="K12" s="283"/>
      <c r="L12" s="283"/>
      <c r="M12" s="283"/>
      <c r="N12" s="283"/>
      <c r="O12" s="283"/>
      <c r="P12" s="283"/>
      <c r="Q12" s="283"/>
      <c r="R12" s="301"/>
      <c r="S12" s="287"/>
      <c r="T12" s="302"/>
      <c r="U12" s="302"/>
      <c r="V12" s="302"/>
      <c r="W12" s="302"/>
      <c r="X12" s="303"/>
      <c r="Y12" s="303"/>
      <c r="Z12" s="303"/>
      <c r="AA12" s="303"/>
      <c r="AB12" s="283"/>
      <c r="AC12" s="296"/>
      <c r="AD12" s="296"/>
      <c r="AE12" s="296"/>
      <c r="AF12" s="296"/>
      <c r="AG12" s="296"/>
      <c r="AH12" s="296"/>
      <c r="AI12" s="296"/>
      <c r="AJ12" s="296"/>
    </row>
    <row r="13" ht="16.5" customHeight="1">
      <c r="A13" s="297" t="str">
        <f>'試算-SLOT'!A13</f>
        <v>USD</v>
      </c>
      <c r="B13" s="298" t="str">
        <f>'試算-SLOT'!B13</f>
        <v>$</v>
      </c>
      <c r="C13" s="13" t="str">
        <f>'試算-SLOT'!C13</f>
        <v>美元</v>
      </c>
      <c r="D13" s="13" t="str">
        <f>IF('試算-SLOT'!D13=1,"",'試算-SLOT'!D13)</f>
        <v/>
      </c>
      <c r="E13" s="299">
        <v>0.001</v>
      </c>
      <c r="F13" s="300">
        <v>4.0</v>
      </c>
      <c r="G13" s="300">
        <v>8.0</v>
      </c>
      <c r="H13" s="300">
        <v>9.0</v>
      </c>
      <c r="I13" s="300">
        <v>12.0</v>
      </c>
      <c r="J13" s="283"/>
      <c r="K13" s="283"/>
      <c r="L13" s="283"/>
      <c r="M13" s="283"/>
      <c r="N13" s="283"/>
      <c r="O13" s="283"/>
      <c r="P13" s="283"/>
      <c r="Q13" s="283"/>
      <c r="R13" s="301"/>
      <c r="S13" s="287"/>
      <c r="T13" s="302"/>
      <c r="U13" s="302"/>
      <c r="V13" s="302"/>
      <c r="W13" s="302"/>
      <c r="X13" s="303"/>
      <c r="Y13" s="303"/>
      <c r="Z13" s="303"/>
      <c r="AA13" s="303"/>
      <c r="AB13" s="283"/>
      <c r="AC13" s="296"/>
      <c r="AD13" s="296"/>
      <c r="AE13" s="296"/>
      <c r="AF13" s="296"/>
      <c r="AG13" s="296"/>
      <c r="AH13" s="296"/>
      <c r="AI13" s="296"/>
      <c r="AJ13" s="296"/>
    </row>
    <row r="14" ht="16.5" customHeight="1">
      <c r="A14" s="297" t="str">
        <f>'試算-SLOT'!A14</f>
        <v>BDT</v>
      </c>
      <c r="B14" s="298" t="str">
        <f>'試算-SLOT'!B14</f>
        <v>৳</v>
      </c>
      <c r="C14" s="13" t="str">
        <f>'試算-SLOT'!C14</f>
        <v>孟加拉塔卡</v>
      </c>
      <c r="D14" s="13" t="str">
        <f>IF('試算-SLOT'!D14=1,"",'試算-SLOT'!D14)</f>
        <v/>
      </c>
      <c r="E14" s="299">
        <v>0.02</v>
      </c>
      <c r="F14" s="300">
        <v>1.0</v>
      </c>
      <c r="G14" s="300">
        <v>4.0</v>
      </c>
      <c r="H14" s="300">
        <v>9.0</v>
      </c>
      <c r="I14" s="300">
        <v>16.0</v>
      </c>
      <c r="J14" s="283"/>
      <c r="K14" s="283"/>
      <c r="L14" s="283"/>
      <c r="M14" s="283"/>
      <c r="N14" s="283"/>
      <c r="O14" s="283"/>
      <c r="P14" s="283"/>
      <c r="Q14" s="283"/>
      <c r="R14" s="301"/>
      <c r="S14" s="287"/>
      <c r="T14" s="303"/>
      <c r="U14" s="303"/>
      <c r="V14" s="303"/>
      <c r="W14" s="304"/>
      <c r="X14" s="304"/>
      <c r="Y14" s="304"/>
      <c r="Z14" s="305"/>
      <c r="AA14" s="303"/>
      <c r="AB14" s="283"/>
      <c r="AC14" s="296"/>
      <c r="AD14" s="296"/>
      <c r="AE14" s="296"/>
      <c r="AF14" s="296"/>
      <c r="AG14" s="296"/>
      <c r="AH14" s="296"/>
      <c r="AI14" s="296"/>
      <c r="AJ14" s="296"/>
    </row>
    <row r="15" ht="16.5" customHeight="1">
      <c r="A15" s="297" t="str">
        <f>'試算-SLOT'!A15</f>
        <v>PKR</v>
      </c>
      <c r="B15" s="308" t="str">
        <f>'試算-SLOT'!B15</f>
        <v>₨</v>
      </c>
      <c r="C15" s="13" t="str">
        <f>'試算-SLOT'!C15</f>
        <v>巴基斯坦盧比</v>
      </c>
      <c r="D15" s="13" t="str">
        <f>IF('試算-SLOT'!D15=1,"",'試算-SLOT'!D15)</f>
        <v/>
      </c>
      <c r="E15" s="299">
        <v>0.05</v>
      </c>
      <c r="F15" s="300">
        <v>2.0</v>
      </c>
      <c r="G15" s="300">
        <v>5.0</v>
      </c>
      <c r="H15" s="300">
        <v>12.0</v>
      </c>
      <c r="I15" s="300">
        <v>16.0</v>
      </c>
      <c r="J15" s="283"/>
      <c r="K15" s="283"/>
      <c r="L15" s="283"/>
      <c r="M15" s="283"/>
      <c r="N15" s="283"/>
      <c r="O15" s="283"/>
      <c r="P15" s="283"/>
      <c r="Q15" s="283"/>
      <c r="R15" s="301"/>
      <c r="S15" s="287"/>
      <c r="T15" s="303"/>
      <c r="U15" s="303"/>
      <c r="V15" s="303"/>
      <c r="W15" s="303"/>
      <c r="X15" s="303"/>
      <c r="Y15" s="303"/>
      <c r="Z15" s="303"/>
      <c r="AA15" s="303"/>
      <c r="AB15" s="283"/>
      <c r="AC15" s="296"/>
      <c r="AD15" s="296"/>
      <c r="AE15" s="296"/>
      <c r="AF15" s="296"/>
      <c r="AG15" s="296"/>
      <c r="AH15" s="296"/>
      <c r="AI15" s="296"/>
      <c r="AJ15" s="296"/>
    </row>
    <row r="16" ht="16.5" customHeight="1">
      <c r="A16" s="297" t="str">
        <f>'試算-SLOT'!A16</f>
        <v>MMK</v>
      </c>
      <c r="B16" s="308" t="str">
        <f>'試算-SLOT'!B16</f>
        <v>K</v>
      </c>
      <c r="C16" s="13" t="str">
        <f>'試算-SLOT'!C16</f>
        <v>緬甸元(K)</v>
      </c>
      <c r="D16" s="13">
        <f>IF('試算-SLOT'!D16=1,"",'試算-SLOT'!D16)</f>
        <v>1000</v>
      </c>
      <c r="E16" s="299">
        <v>0.001</v>
      </c>
      <c r="F16" s="300">
        <v>4.0</v>
      </c>
      <c r="G16" s="300">
        <v>8.0</v>
      </c>
      <c r="H16" s="300">
        <v>9.0</v>
      </c>
      <c r="I16" s="300">
        <v>14.0</v>
      </c>
      <c r="J16" s="283"/>
      <c r="K16" s="283"/>
      <c r="L16" s="283"/>
      <c r="M16" s="283"/>
      <c r="N16" s="283"/>
      <c r="O16" s="283"/>
      <c r="P16" s="283"/>
      <c r="Q16" s="283"/>
      <c r="R16" s="301"/>
      <c r="S16" s="287"/>
      <c r="T16" s="303"/>
      <c r="U16" s="303"/>
      <c r="V16" s="303"/>
      <c r="W16" s="303"/>
      <c r="X16" s="303"/>
      <c r="Y16" s="303"/>
      <c r="Z16" s="303"/>
      <c r="AA16" s="303"/>
      <c r="AB16" s="283"/>
      <c r="AC16" s="296"/>
      <c r="AD16" s="296"/>
      <c r="AE16" s="296"/>
      <c r="AF16" s="296"/>
      <c r="AG16" s="296"/>
      <c r="AH16" s="296"/>
      <c r="AI16" s="296"/>
      <c r="AJ16" s="296"/>
    </row>
    <row r="17" ht="16.5" customHeight="1">
      <c r="A17" s="297" t="str">
        <f>'試算-SLOT'!A17</f>
        <v>MMH</v>
      </c>
      <c r="B17" s="308" t="str">
        <f>'試算-SLOT'!B17</f>
        <v>K</v>
      </c>
      <c r="C17" s="13" t="str">
        <f>'試算-SLOT'!C17</f>
        <v>緬甸元(H)</v>
      </c>
      <c r="D17" s="13">
        <f>IF('試算-SLOT'!D17=1,"",'試算-SLOT'!D17)</f>
        <v>100</v>
      </c>
      <c r="E17" s="299">
        <v>0.01</v>
      </c>
      <c r="F17" s="300">
        <v>1.0</v>
      </c>
      <c r="G17" s="300">
        <v>4.0</v>
      </c>
      <c r="H17" s="300">
        <v>9.0</v>
      </c>
      <c r="I17" s="300">
        <v>14.0</v>
      </c>
      <c r="J17" s="283"/>
      <c r="K17" s="283"/>
      <c r="L17" s="283"/>
      <c r="M17" s="283"/>
      <c r="N17" s="283"/>
      <c r="O17" s="283"/>
      <c r="P17" s="283"/>
      <c r="Q17" s="283"/>
      <c r="R17" s="301"/>
      <c r="S17" s="287"/>
      <c r="T17" s="303"/>
      <c r="U17" s="303"/>
      <c r="V17" s="303"/>
      <c r="W17" s="303"/>
      <c r="X17" s="303"/>
      <c r="Y17" s="303"/>
      <c r="Z17" s="303"/>
      <c r="AA17" s="303"/>
      <c r="AB17" s="283"/>
      <c r="AC17" s="296"/>
      <c r="AD17" s="296"/>
      <c r="AE17" s="296"/>
      <c r="AF17" s="296"/>
      <c r="AG17" s="296"/>
      <c r="AH17" s="296"/>
      <c r="AI17" s="296"/>
      <c r="AJ17" s="296"/>
    </row>
    <row r="18" ht="16.5" customHeight="1">
      <c r="A18" s="297" t="str">
        <f>'試算-SLOT'!A18</f>
        <v>PHP</v>
      </c>
      <c r="B18" s="308" t="str">
        <f>'試算-SLOT'!B18</f>
        <v>₱</v>
      </c>
      <c r="C18" s="13" t="str">
        <f>'試算-SLOT'!C18</f>
        <v>菲律賓披索</v>
      </c>
      <c r="D18" s="13" t="str">
        <f>IF('試算-SLOT'!D18=1,"",'試算-SLOT'!D18)</f>
        <v/>
      </c>
      <c r="E18" s="299">
        <v>0.01</v>
      </c>
      <c r="F18" s="300">
        <v>1.0</v>
      </c>
      <c r="G18" s="300">
        <v>4.0</v>
      </c>
      <c r="H18" s="300">
        <v>9.0</v>
      </c>
      <c r="I18" s="300">
        <v>16.0</v>
      </c>
      <c r="J18" s="283"/>
      <c r="K18" s="283"/>
      <c r="L18" s="283"/>
      <c r="M18" s="283"/>
      <c r="N18" s="283"/>
      <c r="O18" s="283"/>
      <c r="P18" s="283"/>
      <c r="Q18" s="283"/>
      <c r="R18" s="301"/>
      <c r="S18" s="3"/>
      <c r="T18" s="303"/>
      <c r="U18" s="303"/>
      <c r="V18" s="303"/>
      <c r="W18" s="303"/>
      <c r="X18" s="303"/>
      <c r="Y18" s="303"/>
      <c r="Z18" s="303"/>
      <c r="AA18" s="303"/>
      <c r="AB18" s="283"/>
      <c r="AC18" s="296"/>
      <c r="AD18" s="296"/>
      <c r="AE18" s="296"/>
      <c r="AF18" s="296"/>
      <c r="AG18" s="296"/>
      <c r="AH18" s="296"/>
      <c r="AI18" s="296"/>
      <c r="AJ18" s="296"/>
    </row>
    <row r="19" ht="16.5" customHeight="1">
      <c r="A19" s="297" t="str">
        <f>'試算-SLOT'!A19</f>
        <v>CNY</v>
      </c>
      <c r="B19" s="308" t="str">
        <f>'試算-SLOT'!B19</f>
        <v>￥</v>
      </c>
      <c r="C19" s="13" t="str">
        <f>'試算-SLOT'!C19</f>
        <v>人民幣</v>
      </c>
      <c r="D19" s="13" t="str">
        <f>IF('試算-SLOT'!D19=1,"",'試算-SLOT'!D19)</f>
        <v/>
      </c>
      <c r="E19" s="299">
        <v>0.001</v>
      </c>
      <c r="F19" s="300">
        <v>4.0</v>
      </c>
      <c r="G19" s="300">
        <v>8.0</v>
      </c>
      <c r="H19" s="300">
        <v>9.0</v>
      </c>
      <c r="I19" s="300">
        <v>16.0</v>
      </c>
      <c r="J19" s="283"/>
      <c r="K19" s="283"/>
      <c r="L19" s="283"/>
      <c r="M19" s="283"/>
      <c r="N19" s="283"/>
      <c r="O19" s="283"/>
      <c r="P19" s="283"/>
      <c r="Q19" s="283"/>
      <c r="R19" s="303"/>
      <c r="S19" s="283"/>
      <c r="T19" s="303"/>
      <c r="U19" s="303"/>
      <c r="V19" s="303"/>
      <c r="W19" s="303"/>
      <c r="X19" s="303"/>
      <c r="Y19" s="303"/>
      <c r="Z19" s="303"/>
      <c r="AA19" s="303"/>
      <c r="AB19" s="283"/>
      <c r="AC19" s="296"/>
      <c r="AD19" s="296"/>
      <c r="AE19" s="296"/>
      <c r="AF19" s="296"/>
      <c r="AG19" s="296"/>
      <c r="AH19" s="296"/>
      <c r="AI19" s="296"/>
      <c r="AJ19" s="296"/>
    </row>
    <row r="20" ht="16.5" customHeight="1">
      <c r="A20" s="309" t="str">
        <f>'試算-SLOT'!A20</f>
        <v>MXN</v>
      </c>
      <c r="B20" s="310" t="str">
        <f>'試算-SLOT'!B20</f>
        <v>Mex$</v>
      </c>
      <c r="C20" s="13" t="str">
        <f>'試算-SLOT'!C20</f>
        <v>墨⻄哥披索</v>
      </c>
      <c r="D20" s="13" t="str">
        <f>IF('試算-SLOT'!D20=1,"",'試算-SLOT'!D20)</f>
        <v/>
      </c>
      <c r="E20" s="299">
        <v>0.002</v>
      </c>
      <c r="F20" s="300">
        <v>4.0</v>
      </c>
      <c r="G20" s="300">
        <v>8.0</v>
      </c>
      <c r="H20" s="300">
        <v>13.0</v>
      </c>
      <c r="I20" s="300">
        <v>17.0</v>
      </c>
      <c r="J20" s="283"/>
      <c r="K20" s="283"/>
      <c r="L20" s="283"/>
      <c r="M20" s="283"/>
      <c r="N20" s="283"/>
      <c r="O20" s="283"/>
      <c r="P20" s="283"/>
      <c r="Q20" s="283"/>
      <c r="R20" s="311"/>
      <c r="S20" s="312"/>
      <c r="T20" s="311"/>
      <c r="U20" s="311"/>
      <c r="V20" s="311"/>
      <c r="W20" s="311"/>
      <c r="X20" s="311"/>
      <c r="Y20" s="311"/>
      <c r="Z20" s="311"/>
      <c r="AA20" s="312"/>
      <c r="AB20" s="312"/>
      <c r="AC20" s="296"/>
      <c r="AD20" s="296"/>
      <c r="AE20" s="296"/>
      <c r="AF20" s="296"/>
      <c r="AG20" s="296"/>
      <c r="AH20" s="296"/>
      <c r="AI20" s="296"/>
      <c r="AJ20" s="296"/>
    </row>
    <row r="21" ht="16.5" customHeight="1">
      <c r="A21" s="309" t="str">
        <f>'試算-SLOT'!A21</f>
        <v>BRL</v>
      </c>
      <c r="B21" s="298" t="str">
        <f>'試算-SLOT'!B21</f>
        <v>R$</v>
      </c>
      <c r="C21" s="310" t="str">
        <f>'試算-SLOT'!C21</f>
        <v>巴西雷亞爾</v>
      </c>
      <c r="D21" s="13" t="str">
        <f>IF('試算-SLOT'!D21=1,"",'試算-SLOT'!D21)</f>
        <v/>
      </c>
      <c r="E21" s="299">
        <v>0.001</v>
      </c>
      <c r="F21" s="300">
        <v>4.0</v>
      </c>
      <c r="G21" s="300">
        <v>8.0</v>
      </c>
      <c r="H21" s="300">
        <v>9.0</v>
      </c>
      <c r="I21" s="300">
        <v>16.0</v>
      </c>
      <c r="J21" s="283"/>
      <c r="K21" s="283"/>
      <c r="L21" s="283"/>
      <c r="M21" s="283"/>
      <c r="N21" s="283"/>
      <c r="O21" s="283"/>
      <c r="P21" s="283"/>
      <c r="Q21" s="283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296"/>
      <c r="AD21" s="296"/>
      <c r="AE21" s="296"/>
      <c r="AF21" s="296"/>
      <c r="AG21" s="296"/>
      <c r="AH21" s="296"/>
      <c r="AI21" s="296"/>
      <c r="AJ21" s="296"/>
    </row>
    <row r="22" ht="16.5" customHeight="1">
      <c r="A22" s="313" t="str">
        <f>'試算-SLOT'!A22</f>
        <v>AUD</v>
      </c>
      <c r="B22" s="314" t="str">
        <f>'試算-SLOT'!B22</f>
        <v>A$</v>
      </c>
      <c r="C22" s="315" t="str">
        <f>'試算-SLOT'!C22</f>
        <v>澳洲元</v>
      </c>
      <c r="D22" s="315" t="str">
        <f>IF('試算-SLOT'!D22=1,"",'試算-SLOT'!D22)</f>
        <v/>
      </c>
      <c r="E22" s="316">
        <v>0.001</v>
      </c>
      <c r="F22" s="317">
        <v>4.0</v>
      </c>
      <c r="G22" s="317">
        <v>8.0</v>
      </c>
      <c r="H22" s="317">
        <v>9.0</v>
      </c>
      <c r="I22" s="317">
        <v>13.0</v>
      </c>
      <c r="J22" s="283"/>
      <c r="K22" s="283"/>
      <c r="L22" s="283"/>
      <c r="M22" s="283"/>
      <c r="N22" s="283"/>
      <c r="O22" s="283"/>
      <c r="P22" s="283"/>
      <c r="Q22" s="283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296"/>
      <c r="AD22" s="296"/>
      <c r="AE22" s="296"/>
      <c r="AF22" s="296"/>
      <c r="AG22" s="296"/>
      <c r="AH22" s="296"/>
      <c r="AI22" s="296"/>
      <c r="AJ22" s="296"/>
    </row>
    <row r="23" ht="16.5" customHeight="1">
      <c r="A23" s="313" t="str">
        <f>'試算-SLOT'!A23</f>
        <v>JPY</v>
      </c>
      <c r="B23" s="314" t="str">
        <f>'試算-SLOT'!B23</f>
        <v>￥</v>
      </c>
      <c r="C23" s="315" t="str">
        <f>'試算-SLOT'!C23</f>
        <v>日圓</v>
      </c>
      <c r="D23" s="315" t="str">
        <f>IF('試算-SLOT'!D23=1,"",'試算-SLOT'!D23)</f>
        <v/>
      </c>
      <c r="E23" s="316">
        <v>0.025</v>
      </c>
      <c r="F23" s="318">
        <v>2.0</v>
      </c>
      <c r="G23" s="315">
        <v>7.0</v>
      </c>
      <c r="H23" s="315">
        <v>12.0</v>
      </c>
      <c r="I23" s="317">
        <v>16.0</v>
      </c>
      <c r="J23" s="283"/>
      <c r="K23" s="283"/>
      <c r="L23" s="283"/>
      <c r="M23" s="283"/>
      <c r="N23" s="283"/>
      <c r="O23" s="283"/>
      <c r="P23" s="283"/>
      <c r="Q23" s="283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296"/>
      <c r="AD23" s="296"/>
      <c r="AE23" s="296"/>
      <c r="AF23" s="296"/>
      <c r="AG23" s="296"/>
      <c r="AH23" s="296"/>
      <c r="AI23" s="296"/>
      <c r="AJ23" s="296"/>
    </row>
    <row r="24" ht="16.5" customHeight="1">
      <c r="A24" s="313" t="str">
        <f>'試算-SLOT'!A24</f>
        <v>KRW</v>
      </c>
      <c r="B24" s="314" t="str">
        <f>'試算-SLOT'!B24</f>
        <v>₩</v>
      </c>
      <c r="C24" s="315" t="str">
        <f>'試算-SLOT'!C24</f>
        <v>韓圓</v>
      </c>
      <c r="D24" s="315" t="str">
        <f>IF('試算-SLOT'!D24=1,"",'試算-SLOT'!D24)</f>
        <v/>
      </c>
      <c r="E24" s="316">
        <v>0.25</v>
      </c>
      <c r="F24" s="318">
        <v>2.0</v>
      </c>
      <c r="G24" s="315">
        <v>5.0</v>
      </c>
      <c r="H24" s="315">
        <v>12.0</v>
      </c>
      <c r="I24" s="317">
        <v>16.0</v>
      </c>
      <c r="J24" s="283"/>
      <c r="K24" s="283"/>
      <c r="L24" s="283"/>
      <c r="M24" s="283"/>
      <c r="N24" s="283"/>
      <c r="O24" s="283"/>
      <c r="P24" s="283"/>
      <c r="Q24" s="283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B24" s="312"/>
      <c r="AC24" s="296"/>
      <c r="AD24" s="296"/>
      <c r="AE24" s="296"/>
      <c r="AF24" s="296"/>
      <c r="AG24" s="296"/>
      <c r="AH24" s="296"/>
      <c r="AI24" s="296"/>
      <c r="AJ24" s="296"/>
    </row>
    <row r="25" ht="16.5" customHeight="1">
      <c r="A25" s="313" t="str">
        <f>'試算-SLOT'!A25</f>
        <v>CLP</v>
      </c>
      <c r="B25" s="314" t="str">
        <f>'試算-SLOT'!B25</f>
        <v>$</v>
      </c>
      <c r="C25" s="315" t="str">
        <f>'試算-SLOT'!C25</f>
        <v>智利披索</v>
      </c>
      <c r="D25" s="315" t="str">
        <f>IF('試算-SLOT'!D25=1,"",'試算-SLOT'!D25)</f>
        <v/>
      </c>
      <c r="E25" s="316">
        <v>0.1</v>
      </c>
      <c r="F25" s="318">
        <v>2.0</v>
      </c>
      <c r="G25" s="315">
        <v>5.0</v>
      </c>
      <c r="H25" s="315">
        <v>12.0</v>
      </c>
      <c r="I25" s="317">
        <v>17.0</v>
      </c>
      <c r="J25" s="283"/>
      <c r="K25" s="283"/>
      <c r="L25" s="283"/>
      <c r="M25" s="283"/>
      <c r="N25" s="283"/>
      <c r="O25" s="283"/>
      <c r="P25" s="283"/>
      <c r="Q25" s="283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296"/>
      <c r="AD25" s="296"/>
      <c r="AE25" s="296"/>
      <c r="AF25" s="296"/>
      <c r="AG25" s="296"/>
      <c r="AH25" s="296"/>
      <c r="AI25" s="296"/>
      <c r="AJ25" s="296"/>
    </row>
    <row r="26" ht="16.5" customHeight="1">
      <c r="A26" s="313" t="str">
        <f>'試算-SLOT'!A26</f>
        <v>MMKO</v>
      </c>
      <c r="B26" s="314" t="str">
        <f>'試算-SLOT'!B26</f>
        <v>K</v>
      </c>
      <c r="C26" s="315" t="str">
        <f>'試算-SLOT'!C26</f>
        <v>緬甸元</v>
      </c>
      <c r="D26" s="315" t="str">
        <f>IF('試算-SLOT'!D26=1,"",'試算-SLOT'!D26)</f>
        <v/>
      </c>
      <c r="E26" s="316">
        <v>0.25</v>
      </c>
      <c r="F26" s="318">
        <v>2.0</v>
      </c>
      <c r="G26" s="315">
        <v>5.0</v>
      </c>
      <c r="H26" s="315">
        <v>12.0</v>
      </c>
      <c r="I26" s="317">
        <v>17.0</v>
      </c>
      <c r="J26" s="283"/>
      <c r="K26" s="283"/>
      <c r="L26" s="283"/>
      <c r="M26" s="283"/>
      <c r="N26" s="283"/>
      <c r="O26" s="283"/>
      <c r="P26" s="283"/>
      <c r="Q26" s="283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296"/>
      <c r="AD26" s="296"/>
      <c r="AE26" s="296"/>
      <c r="AF26" s="296"/>
      <c r="AG26" s="296"/>
      <c r="AH26" s="296"/>
      <c r="AI26" s="296"/>
      <c r="AJ26" s="296"/>
    </row>
    <row r="27" ht="16.5" customHeight="1">
      <c r="A27" s="313" t="str">
        <f>'試算-SLOT'!A27</f>
        <v>IDRO</v>
      </c>
      <c r="B27" s="314" t="str">
        <f>'試算-SLOT'!B27</f>
        <v>Rp</v>
      </c>
      <c r="C27" s="315" t="str">
        <f>'試算-SLOT'!C27</f>
        <v>印尼盧比</v>
      </c>
      <c r="D27" s="315" t="str">
        <f>IF('試算-SLOT'!D27=1,"",'試算-SLOT'!D27)</f>
        <v/>
      </c>
      <c r="E27" s="316">
        <v>2.0</v>
      </c>
      <c r="F27" s="318">
        <v>1.0</v>
      </c>
      <c r="G27" s="315">
        <v>4.0</v>
      </c>
      <c r="H27" s="315">
        <v>9.0</v>
      </c>
      <c r="I27" s="317">
        <v>17.0</v>
      </c>
      <c r="J27" s="283"/>
      <c r="K27" s="283"/>
      <c r="L27" s="283"/>
      <c r="M27" s="283"/>
      <c r="N27" s="283"/>
      <c r="O27" s="283"/>
      <c r="P27" s="283"/>
      <c r="Q27" s="283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296"/>
      <c r="AD27" s="296"/>
      <c r="AE27" s="296"/>
      <c r="AF27" s="296"/>
      <c r="AG27" s="296"/>
      <c r="AH27" s="296"/>
      <c r="AI27" s="296"/>
      <c r="AJ27" s="296"/>
    </row>
    <row r="28" ht="16.5" customHeight="1">
      <c r="A28" s="313" t="str">
        <f>'試算-SLOT'!A28</f>
        <v>RUB</v>
      </c>
      <c r="B28" s="314" t="str">
        <f>'試算-SLOT'!B28</f>
        <v>₽</v>
      </c>
      <c r="C28" s="315" t="str">
        <f>'試算-SLOT'!C28</f>
        <v>盧布</v>
      </c>
      <c r="D28" s="315" t="str">
        <f>IF('試算-SLOT'!D28=1,"",'試算-SLOT'!D28)</f>
        <v/>
      </c>
      <c r="E28" s="299">
        <v>0.02</v>
      </c>
      <c r="F28" s="300">
        <v>1.0</v>
      </c>
      <c r="G28" s="300">
        <v>4.0</v>
      </c>
      <c r="H28" s="300">
        <v>9.0</v>
      </c>
      <c r="I28" s="300">
        <v>16.0</v>
      </c>
      <c r="J28" s="283"/>
      <c r="K28" s="283"/>
      <c r="L28" s="283"/>
      <c r="M28" s="283"/>
      <c r="N28" s="283"/>
      <c r="O28" s="283"/>
      <c r="P28" s="283"/>
      <c r="Q28" s="283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296"/>
      <c r="AD28" s="296"/>
      <c r="AE28" s="296"/>
      <c r="AF28" s="296"/>
      <c r="AG28" s="296"/>
      <c r="AH28" s="296"/>
      <c r="AI28" s="296"/>
      <c r="AJ28" s="296"/>
    </row>
    <row r="29" ht="16.5" customHeight="1">
      <c r="A29" s="313" t="str">
        <f>'試算-SLOT'!A29</f>
        <v>LKR</v>
      </c>
      <c r="B29" s="314" t="str">
        <f>'試算-SLOT'!B29</f>
        <v>₨</v>
      </c>
      <c r="C29" s="315" t="str">
        <f>'試算-SLOT'!C29</f>
        <v>斯里蘭卡盧比</v>
      </c>
      <c r="D29" s="315" t="str">
        <f>IF('試算-SLOT'!D29=1,"",'試算-SLOT'!D29)</f>
        <v/>
      </c>
      <c r="E29" s="299">
        <v>0.05</v>
      </c>
      <c r="F29" s="300">
        <v>2.0</v>
      </c>
      <c r="G29" s="300">
        <v>5.0</v>
      </c>
      <c r="H29" s="300">
        <v>12.0</v>
      </c>
      <c r="I29" s="300">
        <v>16.0</v>
      </c>
      <c r="J29" s="283"/>
      <c r="K29" s="283"/>
      <c r="L29" s="283"/>
      <c r="M29" s="283"/>
      <c r="N29" s="283"/>
      <c r="O29" s="283"/>
      <c r="P29" s="283"/>
      <c r="Q29" s="283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296"/>
      <c r="AD29" s="296"/>
      <c r="AE29" s="296"/>
      <c r="AF29" s="296"/>
      <c r="AG29" s="296"/>
      <c r="AH29" s="296"/>
      <c r="AI29" s="296"/>
      <c r="AJ29" s="296"/>
    </row>
    <row r="30" ht="16.5" customHeight="1">
      <c r="A30" s="313" t="str">
        <f>'試算-SLOT'!A30</f>
        <v>ETB</v>
      </c>
      <c r="B30" s="314" t="str">
        <f>'試算-SLOT'!B30</f>
        <v>Br‎</v>
      </c>
      <c r="C30" s="315" t="str">
        <f>'試算-SLOT'!C30</f>
        <v>衣索比亞比爾</v>
      </c>
      <c r="D30" s="315" t="str">
        <f>IF('試算-SLOT'!D30=1,"",'試算-SLOT'!D30)</f>
        <v/>
      </c>
      <c r="E30" s="299">
        <v>0.01</v>
      </c>
      <c r="F30" s="300">
        <v>1.0</v>
      </c>
      <c r="G30" s="300">
        <v>4.0</v>
      </c>
      <c r="H30" s="300">
        <v>9.0</v>
      </c>
      <c r="I30" s="300">
        <v>16.0</v>
      </c>
      <c r="J30" s="283"/>
      <c r="K30" s="283"/>
      <c r="L30" s="283"/>
      <c r="M30" s="283"/>
      <c r="N30" s="283"/>
      <c r="O30" s="283"/>
      <c r="P30" s="283"/>
      <c r="Q30" s="283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296"/>
      <c r="AD30" s="296"/>
      <c r="AE30" s="296"/>
      <c r="AF30" s="296"/>
      <c r="AG30" s="296"/>
      <c r="AH30" s="296"/>
      <c r="AI30" s="296"/>
      <c r="AJ30" s="296"/>
    </row>
    <row r="31" ht="16.5" customHeight="1">
      <c r="A31" s="313" t="str">
        <f>'試算-SLOT'!A31</f>
        <v>UGX</v>
      </c>
      <c r="B31" s="314" t="str">
        <f>'試算-SLOT'!B31</f>
        <v>USh</v>
      </c>
      <c r="C31" s="315" t="str">
        <f>'試算-SLOT'!C31</f>
        <v>烏干達先令</v>
      </c>
      <c r="D31" s="315" t="str">
        <f>IF('試算-SLOT'!D31=1,"",'試算-SLOT'!D31)</f>
        <v/>
      </c>
      <c r="E31" s="316">
        <v>0.5</v>
      </c>
      <c r="F31" s="319">
        <v>1.0</v>
      </c>
      <c r="G31" s="317">
        <v>4.0</v>
      </c>
      <c r="H31" s="317">
        <v>9.0</v>
      </c>
      <c r="I31" s="317">
        <v>16.0</v>
      </c>
      <c r="J31" s="283"/>
      <c r="K31" s="283"/>
      <c r="L31" s="283"/>
      <c r="M31" s="283"/>
      <c r="N31" s="283"/>
      <c r="O31" s="283"/>
      <c r="P31" s="283"/>
      <c r="Q31" s="283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296"/>
      <c r="AD31" s="296"/>
      <c r="AE31" s="296"/>
      <c r="AF31" s="296"/>
      <c r="AG31" s="296"/>
      <c r="AH31" s="296"/>
      <c r="AI31" s="296"/>
      <c r="AJ31" s="296"/>
    </row>
    <row r="32" ht="16.5" customHeight="1">
      <c r="A32" s="297" t="str">
        <f>'試算-SLOT'!A32</f>
        <v>EUR</v>
      </c>
      <c r="B32" s="298" t="str">
        <f>'試算-SLOT'!B32</f>
        <v>€</v>
      </c>
      <c r="C32" s="13" t="str">
        <f>'試算-SLOT'!C32</f>
        <v>歐元</v>
      </c>
      <c r="D32" s="13" t="str">
        <f>IF('試算-SLOT'!D32=1,"",'試算-SLOT'!D32)</f>
        <v/>
      </c>
      <c r="E32" s="299">
        <v>0.001</v>
      </c>
      <c r="F32" s="300">
        <v>4.0</v>
      </c>
      <c r="G32" s="300">
        <v>8.0</v>
      </c>
      <c r="H32" s="300">
        <v>9.0</v>
      </c>
      <c r="I32" s="300">
        <v>12.0</v>
      </c>
      <c r="J32" s="283"/>
      <c r="K32" s="283"/>
      <c r="L32" s="283"/>
      <c r="M32" s="283"/>
      <c r="N32" s="283"/>
      <c r="O32" s="283"/>
      <c r="P32" s="283"/>
      <c r="Q32" s="283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296"/>
      <c r="AD32" s="296"/>
      <c r="AE32" s="296"/>
      <c r="AF32" s="296"/>
      <c r="AG32" s="296"/>
      <c r="AH32" s="296"/>
      <c r="AI32" s="296"/>
      <c r="AJ32" s="296"/>
    </row>
    <row r="33" ht="16.5" customHeight="1">
      <c r="A33" s="297" t="str">
        <f>'試算-SLOT'!A33</f>
        <v>ARS</v>
      </c>
      <c r="B33" s="308" t="str">
        <f>'試算-SLOT'!B33</f>
        <v>$</v>
      </c>
      <c r="C33" s="13" t="str">
        <f>'試算-SLOT'!C33</f>
        <v>阿根廷披索</v>
      </c>
      <c r="D33" s="13" t="str">
        <f>IF('試算-SLOT'!D33=1,"",'試算-SLOT'!D33)</f>
        <v/>
      </c>
      <c r="E33" s="299">
        <v>0.05</v>
      </c>
      <c r="F33" s="300">
        <v>2.0</v>
      </c>
      <c r="G33" s="300">
        <v>5.0</v>
      </c>
      <c r="H33" s="300">
        <v>12.0</v>
      </c>
      <c r="I33" s="300">
        <v>17.0</v>
      </c>
      <c r="J33" s="283"/>
      <c r="K33" s="283"/>
      <c r="L33" s="283"/>
      <c r="M33" s="283"/>
      <c r="N33" s="283"/>
      <c r="O33" s="283"/>
      <c r="P33" s="283"/>
      <c r="Q33" s="283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296"/>
      <c r="AD33" s="296"/>
      <c r="AE33" s="296"/>
      <c r="AF33" s="296"/>
      <c r="AG33" s="296"/>
      <c r="AH33" s="296"/>
      <c r="AI33" s="296"/>
      <c r="AJ33" s="296"/>
    </row>
    <row r="34" ht="16.5" customHeight="1">
      <c r="A34" s="313" t="str">
        <f>'試算-SLOT'!A34</f>
        <v>NGN</v>
      </c>
      <c r="B34" s="314" t="str">
        <f>'試算-SLOT'!B34</f>
        <v>₦</v>
      </c>
      <c r="C34" s="315" t="str">
        <f>'試算-SLOT'!C34</f>
        <v>奈及利亞奈拉</v>
      </c>
      <c r="D34" s="13" t="str">
        <f>IF('試算-SLOT'!D34=1,"",'試算-SLOT'!D34)</f>
        <v/>
      </c>
      <c r="E34" s="316">
        <v>0.1</v>
      </c>
      <c r="F34" s="319">
        <v>2.0</v>
      </c>
      <c r="G34" s="317">
        <v>4.0</v>
      </c>
      <c r="H34" s="317">
        <v>9.0</v>
      </c>
      <c r="I34" s="317">
        <v>17.0</v>
      </c>
      <c r="J34" s="283"/>
      <c r="K34" s="283"/>
      <c r="L34" s="283"/>
      <c r="M34" s="283"/>
      <c r="N34" s="283"/>
      <c r="O34" s="283"/>
      <c r="P34" s="283"/>
      <c r="Q34" s="283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296"/>
      <c r="AD34" s="296"/>
      <c r="AE34" s="296"/>
      <c r="AF34" s="296"/>
      <c r="AG34" s="296"/>
      <c r="AH34" s="296"/>
      <c r="AI34" s="296"/>
      <c r="AJ34" s="296"/>
    </row>
    <row r="35" ht="16.5" customHeight="1">
      <c r="A35" s="313" t="str">
        <f>'試算-SLOT'!A35</f>
        <v>KES</v>
      </c>
      <c r="B35" s="314" t="str">
        <f>'試算-SLOT'!B35</f>
        <v>KSh</v>
      </c>
      <c r="C35" s="315" t="str">
        <f>'試算-SLOT'!C35</f>
        <v>肯亞先令</v>
      </c>
      <c r="D35" s="13" t="str">
        <f>IF('試算-SLOT'!D35=1,"",'試算-SLOT'!D35)</f>
        <v/>
      </c>
      <c r="E35" s="316">
        <v>0.025</v>
      </c>
      <c r="F35" s="318">
        <v>3.0</v>
      </c>
      <c r="G35" s="315">
        <v>7.0</v>
      </c>
      <c r="H35" s="315">
        <v>12.0</v>
      </c>
      <c r="I35" s="315">
        <v>16.0</v>
      </c>
      <c r="J35" s="283"/>
      <c r="K35" s="283"/>
      <c r="L35" s="283"/>
      <c r="M35" s="283"/>
      <c r="N35" s="283"/>
      <c r="O35" s="283"/>
      <c r="P35" s="283"/>
      <c r="Q35" s="283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296"/>
      <c r="AD35" s="296"/>
      <c r="AE35" s="296"/>
      <c r="AF35" s="296"/>
      <c r="AG35" s="296"/>
      <c r="AH35" s="296"/>
      <c r="AI35" s="296"/>
      <c r="AJ35" s="296"/>
    </row>
    <row r="36" ht="16.5" customHeight="1">
      <c r="A36" s="313" t="str">
        <f>'試算-SLOT'!A36</f>
        <v>ZAR</v>
      </c>
      <c r="B36" s="314" t="str">
        <f>'試算-SLOT'!B36</f>
        <v>R</v>
      </c>
      <c r="C36" s="315" t="str">
        <f>'試算-SLOT'!C36</f>
        <v>南非鍰</v>
      </c>
      <c r="D36" s="13" t="str">
        <f>IF('試算-SLOT'!D36=1,"",'試算-SLOT'!D36)</f>
        <v/>
      </c>
      <c r="E36" s="316">
        <v>0.002</v>
      </c>
      <c r="F36" s="315">
        <v>4.0</v>
      </c>
      <c r="G36" s="315">
        <v>8.0</v>
      </c>
      <c r="H36" s="315">
        <v>13.0</v>
      </c>
      <c r="I36" s="315">
        <v>17.0</v>
      </c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296"/>
      <c r="AD36" s="296"/>
      <c r="AE36" s="296"/>
      <c r="AF36" s="296"/>
      <c r="AG36" s="296"/>
      <c r="AH36" s="296"/>
      <c r="AI36" s="296"/>
      <c r="AJ36" s="296"/>
    </row>
    <row r="37" ht="16.5" customHeight="1">
      <c r="A37" s="313" t="str">
        <f>'試算-SLOT'!A37</f>
        <v>TRY</v>
      </c>
      <c r="B37" s="314" t="str">
        <f>'試算-SLOT'!B37</f>
        <v>₺</v>
      </c>
      <c r="C37" s="315" t="str">
        <f>'試算-SLOT'!C37</f>
        <v>土耳其里拉</v>
      </c>
      <c r="D37" s="13" t="str">
        <f>IF('試算-SLOT'!D37=1,"",'試算-SLOT'!D37)</f>
        <v/>
      </c>
      <c r="E37" s="316">
        <v>0.005</v>
      </c>
      <c r="F37" s="315">
        <v>2.0</v>
      </c>
      <c r="G37" s="315">
        <v>7.0</v>
      </c>
      <c r="H37" s="315">
        <v>14.0</v>
      </c>
      <c r="I37" s="315">
        <v>16.0</v>
      </c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296"/>
      <c r="AD37" s="296"/>
      <c r="AE37" s="296"/>
      <c r="AF37" s="296"/>
      <c r="AG37" s="296"/>
      <c r="AH37" s="296"/>
      <c r="AI37" s="296"/>
      <c r="AJ37" s="296"/>
    </row>
    <row r="38" ht="16.5" customHeight="1">
      <c r="A38" s="313" t="str">
        <f>'試算-SLOT'!A38</f>
        <v>GBP</v>
      </c>
      <c r="B38" s="314" t="str">
        <f>'試算-SLOT'!B38</f>
        <v>£</v>
      </c>
      <c r="C38" s="315" t="str">
        <f>'試算-SLOT'!C38</f>
        <v>英鎊</v>
      </c>
      <c r="D38" s="13" t="str">
        <f>IF('試算-SLOT'!D38=1,"",'試算-SLOT'!D38)</f>
        <v/>
      </c>
      <c r="E38" s="316">
        <v>0.001</v>
      </c>
      <c r="F38" s="317">
        <v>4.0</v>
      </c>
      <c r="G38" s="317">
        <v>8.0</v>
      </c>
      <c r="H38" s="317">
        <v>9.0</v>
      </c>
      <c r="I38" s="317">
        <v>11.0</v>
      </c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296"/>
      <c r="AD38" s="296"/>
      <c r="AE38" s="296"/>
      <c r="AF38" s="296"/>
      <c r="AG38" s="296"/>
      <c r="AH38" s="296"/>
      <c r="AI38" s="296"/>
      <c r="AJ38" s="296"/>
    </row>
    <row r="39">
      <c r="A39" s="313" t="str">
        <f>'試算-SLOT'!A39</f>
        <v>NPR</v>
      </c>
      <c r="B39" s="314" t="str">
        <f>'試算-SLOT'!B39</f>
        <v>रू</v>
      </c>
      <c r="C39" s="315" t="str">
        <f>'試算-SLOT'!C39</f>
        <v>尼泊爾盧比</v>
      </c>
      <c r="D39" s="13" t="str">
        <f>IF('試算-SLOT'!D39=1,"",'試算-SLOT'!D39)</f>
        <v/>
      </c>
      <c r="E39" s="316">
        <v>0.05</v>
      </c>
      <c r="F39" s="317">
        <v>2.0</v>
      </c>
      <c r="G39" s="317">
        <v>5.0</v>
      </c>
      <c r="H39" s="317">
        <v>9.0</v>
      </c>
      <c r="I39" s="317">
        <v>15.0</v>
      </c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296"/>
      <c r="AD39" s="296"/>
      <c r="AE39" s="296"/>
      <c r="AF39" s="296"/>
      <c r="AG39" s="296"/>
      <c r="AH39" s="296"/>
      <c r="AI39" s="296"/>
      <c r="AJ39" s="296"/>
    </row>
    <row r="40">
      <c r="A40" s="313" t="str">
        <f>'試算-SLOT'!A40</f>
        <v>CHF</v>
      </c>
      <c r="B40" s="314" t="str">
        <f>'試算-SLOT'!B40</f>
        <v>CHF</v>
      </c>
      <c r="C40" s="315" t="str">
        <f>'試算-SLOT'!C40</f>
        <v>瑞士法郎</v>
      </c>
      <c r="D40" s="13" t="str">
        <f>IF('試算-SLOT'!D40=1,"",'試算-SLOT'!D40)</f>
        <v/>
      </c>
      <c r="E40" s="316">
        <v>0.001</v>
      </c>
      <c r="F40" s="315">
        <v>4.0</v>
      </c>
      <c r="G40" s="315">
        <v>8.0</v>
      </c>
      <c r="H40" s="315">
        <v>9.0</v>
      </c>
      <c r="I40" s="315">
        <v>11.0</v>
      </c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296"/>
      <c r="AD40" s="296"/>
      <c r="AE40" s="296"/>
      <c r="AF40" s="296"/>
      <c r="AG40" s="296"/>
      <c r="AH40" s="296"/>
      <c r="AI40" s="296"/>
      <c r="AJ40" s="296"/>
    </row>
    <row r="41">
      <c r="A41" s="313" t="str">
        <f>'試算-SLOT'!A41</f>
        <v>CAD</v>
      </c>
      <c r="B41" s="314" t="str">
        <f>'試算-SLOT'!B41</f>
        <v>$</v>
      </c>
      <c r="C41" s="315" t="str">
        <f>'試算-SLOT'!C41</f>
        <v>加幣</v>
      </c>
      <c r="D41" s="13" t="str">
        <f>IF('試算-SLOT'!D41=1,"",'試算-SLOT'!D41)</f>
        <v/>
      </c>
      <c r="E41" s="316">
        <v>0.001</v>
      </c>
      <c r="F41" s="317">
        <v>4.0</v>
      </c>
      <c r="G41" s="317">
        <v>8.0</v>
      </c>
      <c r="H41" s="317">
        <v>9.0</v>
      </c>
      <c r="I41" s="317">
        <v>13.0</v>
      </c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296"/>
      <c r="AD41" s="296"/>
      <c r="AE41" s="296"/>
      <c r="AF41" s="296"/>
      <c r="AG41" s="296"/>
      <c r="AH41" s="296"/>
      <c r="AI41" s="296"/>
      <c r="AJ41" s="296"/>
    </row>
    <row r="42">
      <c r="A42" s="313" t="str">
        <f>'試算-SLOT'!A42</f>
        <v>PEN</v>
      </c>
      <c r="B42" s="314" t="str">
        <f>'試算-SLOT'!B42</f>
        <v>PEN</v>
      </c>
      <c r="C42" s="315" t="str">
        <f>'試算-SLOT'!C42</f>
        <v>秘魯新索爾</v>
      </c>
      <c r="D42" s="13" t="str">
        <f>IF('試算-SLOT'!D42=1,"",'試算-SLOT'!D42)</f>
        <v/>
      </c>
      <c r="E42" s="316">
        <v>0.001</v>
      </c>
      <c r="F42" s="317">
        <v>4.0</v>
      </c>
      <c r="G42" s="317">
        <v>8.0</v>
      </c>
      <c r="H42" s="317">
        <v>9.0</v>
      </c>
      <c r="I42" s="317">
        <v>15.0</v>
      </c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296"/>
      <c r="AD42" s="296"/>
      <c r="AE42" s="296"/>
      <c r="AF42" s="296"/>
      <c r="AG42" s="296"/>
      <c r="AH42" s="296"/>
      <c r="AI42" s="296"/>
      <c r="AJ42" s="296"/>
    </row>
    <row r="43">
      <c r="A43" s="313" t="str">
        <f>'試算-SLOT'!A43</f>
        <v>AED</v>
      </c>
      <c r="B43" s="314" t="str">
        <f>'試算-SLOT'!B43</f>
        <v>AED</v>
      </c>
      <c r="C43" s="315" t="str">
        <f>'試算-SLOT'!C43</f>
        <v>阿聯迪拉姆</v>
      </c>
      <c r="D43" s="13" t="str">
        <f>IF('試算-SLOT'!D43=1,"",'試算-SLOT'!D43)</f>
        <v/>
      </c>
      <c r="E43" s="316">
        <v>0.001</v>
      </c>
      <c r="F43" s="317">
        <v>4.0</v>
      </c>
      <c r="G43" s="317">
        <v>8.0</v>
      </c>
      <c r="H43" s="317">
        <v>9.0</v>
      </c>
      <c r="I43" s="317">
        <v>15.0</v>
      </c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296"/>
      <c r="AD43" s="296"/>
      <c r="AE43" s="296"/>
      <c r="AF43" s="296"/>
      <c r="AG43" s="296"/>
      <c r="AH43" s="296"/>
      <c r="AI43" s="296"/>
      <c r="AJ43" s="296"/>
    </row>
    <row r="44">
      <c r="A44" s="313" t="str">
        <f>'試算-SLOT'!A44</f>
        <v>BND</v>
      </c>
      <c r="B44" s="314" t="str">
        <f>'試算-SLOT'!B44</f>
        <v>B$</v>
      </c>
      <c r="C44" s="315" t="str">
        <f>'試算-SLOT'!C44</f>
        <v>汶萊幣</v>
      </c>
      <c r="D44" s="13" t="str">
        <f>IF('試算-SLOT'!D44=1,"",'試算-SLOT'!D44)</f>
        <v/>
      </c>
      <c r="E44" s="316">
        <v>0.001</v>
      </c>
      <c r="F44" s="317">
        <v>4.0</v>
      </c>
      <c r="G44" s="317">
        <v>8.0</v>
      </c>
      <c r="H44" s="317">
        <v>9.0</v>
      </c>
      <c r="I44" s="317">
        <v>13.0</v>
      </c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296"/>
      <c r="AD44" s="296"/>
      <c r="AE44" s="296"/>
      <c r="AF44" s="296"/>
      <c r="AG44" s="296"/>
      <c r="AH44" s="296"/>
      <c r="AI44" s="296"/>
      <c r="AJ44" s="296"/>
    </row>
    <row r="45">
      <c r="A45" s="313" t="str">
        <f>'試算-SLOT'!A45</f>
        <v>COP</v>
      </c>
      <c r="B45" s="314" t="str">
        <f>'試算-SLOT'!B45</f>
        <v>$</v>
      </c>
      <c r="C45" s="315" t="str">
        <f>'試算-SLOT'!C45</f>
        <v>哥倫比亞披索</v>
      </c>
      <c r="D45" s="13" t="str">
        <f>IF('試算-SLOT'!D45=1,"",'試算-SLOT'!D45)</f>
        <v/>
      </c>
      <c r="E45" s="316">
        <v>1.0</v>
      </c>
      <c r="F45" s="317">
        <v>1.0</v>
      </c>
      <c r="G45" s="317">
        <v>4.0</v>
      </c>
      <c r="H45" s="317">
        <v>8.0</v>
      </c>
      <c r="I45" s="317">
        <v>15.0</v>
      </c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296"/>
      <c r="AD45" s="296"/>
      <c r="AE45" s="296"/>
      <c r="AF45" s="296"/>
      <c r="AG45" s="296"/>
      <c r="AH45" s="296"/>
      <c r="AI45" s="296"/>
      <c r="AJ45" s="296"/>
    </row>
    <row r="46">
      <c r="A46" s="313" t="str">
        <f>'試算-SLOT'!A46</f>
        <v>VNDO</v>
      </c>
      <c r="B46" s="314" t="str">
        <f>'試算-SLOT'!B46</f>
        <v>₫</v>
      </c>
      <c r="C46" s="315" t="str">
        <f>'試算-SLOT'!C46</f>
        <v>越南盾</v>
      </c>
      <c r="D46" s="13" t="str">
        <f>IF('試算-SLOT'!D46=1,"",'試算-SLOT'!D46)</f>
        <v/>
      </c>
      <c r="E46" s="316">
        <v>5.0</v>
      </c>
      <c r="F46" s="315">
        <v>2.0</v>
      </c>
      <c r="G46" s="315">
        <v>5.0</v>
      </c>
      <c r="H46" s="315">
        <v>12.0</v>
      </c>
      <c r="I46" s="317">
        <v>16.0</v>
      </c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/>
      <c r="AB46" s="312"/>
      <c r="AC46" s="296"/>
      <c r="AD46" s="296"/>
      <c r="AE46" s="296"/>
      <c r="AF46" s="296"/>
      <c r="AG46" s="296"/>
      <c r="AH46" s="296"/>
      <c r="AI46" s="296"/>
      <c r="AJ46" s="296"/>
    </row>
    <row r="47">
      <c r="A47" s="313" t="str">
        <f>'試算-SLOT'!A47</f>
        <v>MYRC</v>
      </c>
      <c r="B47" s="314" t="str">
        <f>'試算-SLOT'!B47</f>
        <v>RM</v>
      </c>
      <c r="C47" s="315" t="str">
        <f>'試算-SLOT'!C47</f>
        <v>馬來西亞令吉</v>
      </c>
      <c r="D47" s="13">
        <f>IF('試算-SLOT'!D47=1,"",'試算-SLOT'!D47)</f>
        <v>0.01</v>
      </c>
      <c r="E47" s="299">
        <v>0.05</v>
      </c>
      <c r="F47" s="300">
        <v>2.0</v>
      </c>
      <c r="G47" s="300">
        <v>5.0</v>
      </c>
      <c r="H47" s="300">
        <v>12.0</v>
      </c>
      <c r="I47" s="300">
        <v>16.0</v>
      </c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  <c r="AJ47" s="312"/>
    </row>
    <row r="48">
      <c r="A48" s="313" t="str">
        <f>'試算-SLOT'!A48</f>
        <v>XSD</v>
      </c>
      <c r="B48" s="314" t="str">
        <f>'試算-SLOT'!B48</f>
        <v/>
      </c>
      <c r="C48" s="315" t="str">
        <f>'試算-SLOT'!C48</f>
        <v>星幣</v>
      </c>
      <c r="D48" s="13" t="str">
        <f>IF('試算-SLOT'!D48=1,"",'試算-SLOT'!D48)</f>
        <v/>
      </c>
      <c r="E48" s="299">
        <v>1.0</v>
      </c>
      <c r="F48" s="300">
        <v>1.0</v>
      </c>
      <c r="G48" s="300">
        <v>4.0</v>
      </c>
      <c r="H48" s="300">
        <v>9.0</v>
      </c>
      <c r="I48" s="300">
        <v>15.0</v>
      </c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312"/>
    </row>
    <row r="49">
      <c r="A49" s="313" t="str">
        <f>'試算-SLOT'!A49</f>
        <v>DZD</v>
      </c>
      <c r="B49" s="314" t="str">
        <f>'試算-SLOT'!B49</f>
        <v>دج</v>
      </c>
      <c r="C49" s="315" t="str">
        <f>'試算-SLOT'!C49</f>
        <v>阿爾及利亞第納爾</v>
      </c>
      <c r="D49" s="13" t="str">
        <f>IF('試算-SLOT'!D49=1,"",'試算-SLOT'!D49)</f>
        <v/>
      </c>
      <c r="E49" s="299">
        <v>0.02</v>
      </c>
      <c r="F49" s="300">
        <v>1.0</v>
      </c>
      <c r="G49" s="300">
        <v>4.0</v>
      </c>
      <c r="H49" s="300">
        <v>9.0</v>
      </c>
      <c r="I49" s="300">
        <v>16.0</v>
      </c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312"/>
    </row>
    <row r="50">
      <c r="A50" s="313" t="str">
        <f>'試算-SLOT'!A50</f>
        <v>MAD</v>
      </c>
      <c r="B50" s="314" t="str">
        <f>'試算-SLOT'!B50</f>
        <v>DH</v>
      </c>
      <c r="C50" s="315" t="str">
        <f>'試算-SLOT'!C50</f>
        <v>摩洛哥迪拉姆</v>
      </c>
      <c r="D50" s="13" t="str">
        <f>IF('試算-SLOT'!D50=1,"",'試算-SLOT'!D50)</f>
        <v/>
      </c>
      <c r="E50" s="299">
        <v>0.001</v>
      </c>
      <c r="F50" s="300">
        <v>4.0</v>
      </c>
      <c r="G50" s="300">
        <v>8.0</v>
      </c>
      <c r="H50" s="300">
        <v>9.0</v>
      </c>
      <c r="I50" s="300">
        <v>16.0</v>
      </c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  <c r="AH50" s="312"/>
      <c r="AI50" s="312"/>
      <c r="AJ50" s="312"/>
    </row>
    <row r="51">
      <c r="A51" s="313" t="str">
        <f>'試算-SLOT'!A51</f>
        <v>FRF</v>
      </c>
      <c r="B51" s="314" t="str">
        <f>'試算-SLOT'!B51</f>
        <v>₣</v>
      </c>
      <c r="C51" s="315" t="str">
        <f>'試算-SLOT'!C51</f>
        <v>法國法郎</v>
      </c>
      <c r="D51" s="13" t="str">
        <f>IF('試算-SLOT'!D51=1,"",'試算-SLOT'!D51)</f>
        <v/>
      </c>
      <c r="E51" s="299">
        <v>0.001</v>
      </c>
      <c r="F51" s="300">
        <v>4.0</v>
      </c>
      <c r="G51" s="300">
        <v>8.0</v>
      </c>
      <c r="H51" s="300">
        <v>9.0</v>
      </c>
      <c r="I51" s="300">
        <v>16.0</v>
      </c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2"/>
    </row>
    <row r="52">
      <c r="A52" s="313" t="str">
        <f>'試算-SLOT'!A52</f>
        <v>GHS</v>
      </c>
      <c r="B52" s="314" t="str">
        <f>'試算-SLOT'!B52</f>
        <v>Gp</v>
      </c>
      <c r="C52" s="315" t="str">
        <f>'試算-SLOT'!C52</f>
        <v>迦納塞地</v>
      </c>
      <c r="D52" s="13" t="str">
        <f>IF('試算-SLOT'!D52=1,"",'試算-SLOT'!D52)</f>
        <v/>
      </c>
      <c r="E52" s="299">
        <v>0.001</v>
      </c>
      <c r="F52" s="300">
        <v>4.0</v>
      </c>
      <c r="G52" s="300">
        <v>8.0</v>
      </c>
      <c r="H52" s="300">
        <v>9.0</v>
      </c>
      <c r="I52" s="300">
        <v>16.0</v>
      </c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</row>
    <row r="53">
      <c r="A53" s="297" t="str">
        <f>'試算-SLOT'!A53</f>
        <v>RCC</v>
      </c>
      <c r="B53" s="298" t="str">
        <f>'試算-SLOT'!B53</f>
        <v/>
      </c>
      <c r="C53" s="13" t="str">
        <f>'試算-SLOT'!C53</f>
        <v>RCC幣</v>
      </c>
      <c r="D53" s="13" t="str">
        <f>IF('試算-SLOT'!D53=1,"",'試算-SLOT'!D53)</f>
        <v/>
      </c>
      <c r="E53" s="299">
        <v>0.001</v>
      </c>
      <c r="F53" s="300">
        <v>4.0</v>
      </c>
      <c r="G53" s="300">
        <v>8.0</v>
      </c>
      <c r="H53" s="300">
        <v>9.0</v>
      </c>
      <c r="I53" s="300">
        <v>12.0</v>
      </c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</row>
    <row r="54">
      <c r="A54" s="313" t="str">
        <f>'試算-SLOT'!A54</f>
        <v>KBB</v>
      </c>
      <c r="B54" s="314" t="str">
        <f>'試算-SLOT'!B54</f>
        <v/>
      </c>
      <c r="C54" s="315" t="str">
        <f>'試算-SLOT'!C54</f>
        <v>爸幣</v>
      </c>
      <c r="D54" s="315" t="str">
        <f>IF('試算-SLOT'!D54=1,"",'試算-SLOT'!D54)</f>
        <v/>
      </c>
      <c r="E54" s="316">
        <v>0.05</v>
      </c>
      <c r="F54" s="319">
        <v>1.0</v>
      </c>
      <c r="G54" s="317">
        <v>4.0</v>
      </c>
      <c r="H54" s="317">
        <v>9.0</v>
      </c>
      <c r="I54" s="317">
        <v>16.0</v>
      </c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  <c r="Z54" s="312"/>
      <c r="AA54" s="312"/>
      <c r="AB54" s="312"/>
      <c r="AC54" s="312"/>
      <c r="AD54" s="312"/>
      <c r="AE54" s="312"/>
      <c r="AF54" s="312"/>
      <c r="AG54" s="312"/>
      <c r="AH54" s="312"/>
      <c r="AI54" s="312"/>
      <c r="AJ54" s="312"/>
    </row>
    <row r="55">
      <c r="A55" s="313" t="str">
        <f>'試算-SLOT'!A55</f>
        <v>XSMY</v>
      </c>
      <c r="B55" s="314" t="str">
        <f>'試算-SLOT'!B55</f>
        <v/>
      </c>
      <c r="C55" s="315" t="str">
        <f>'試算-SLOT'!C55</f>
        <v>星城馬來西亞</v>
      </c>
      <c r="D55" s="13" t="str">
        <f>IF('試算-SLOT'!D55=1,"",'試算-SLOT'!D55)</f>
        <v/>
      </c>
      <c r="E55" s="299">
        <v>1.0</v>
      </c>
      <c r="F55" s="300">
        <v>1.0</v>
      </c>
      <c r="G55" s="300">
        <v>4.0</v>
      </c>
      <c r="H55" s="300">
        <v>9.0</v>
      </c>
      <c r="I55" s="300">
        <v>15.0</v>
      </c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</row>
    <row r="56">
      <c r="A56" s="312"/>
      <c r="B56" s="312"/>
      <c r="C56" s="312"/>
      <c r="D56" s="312"/>
      <c r="E56" s="320"/>
      <c r="F56" s="312"/>
      <c r="G56" s="312"/>
      <c r="H56" s="312"/>
      <c r="I56" s="321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</row>
    <row r="57">
      <c r="A57" s="322"/>
      <c r="B57" s="322"/>
      <c r="C57" s="322"/>
      <c r="D57" s="322"/>
      <c r="E57" s="323"/>
      <c r="F57" s="322"/>
      <c r="G57" s="322"/>
      <c r="H57" s="322"/>
      <c r="I57" s="322"/>
      <c r="J57" s="324"/>
      <c r="K57" s="324"/>
      <c r="L57" s="324"/>
      <c r="M57" s="324"/>
      <c r="N57" s="324"/>
      <c r="O57" s="324"/>
      <c r="P57" s="324"/>
      <c r="Q57" s="324"/>
      <c r="R57" s="324"/>
      <c r="S57" s="322"/>
      <c r="T57" s="324"/>
      <c r="U57" s="324"/>
      <c r="V57" s="324"/>
      <c r="W57" s="324"/>
      <c r="X57" s="324"/>
      <c r="Y57" s="324"/>
      <c r="Z57" s="324"/>
      <c r="AA57" s="324"/>
      <c r="AB57" s="283"/>
      <c r="AC57" s="283"/>
      <c r="AD57" s="283"/>
      <c r="AE57" s="283"/>
      <c r="AF57" s="283"/>
      <c r="AG57" s="283"/>
      <c r="AH57" s="283"/>
      <c r="AI57" s="283"/>
      <c r="AJ57" s="283"/>
    </row>
    <row r="58">
      <c r="A58" s="291" t="str">
        <f t="shared" ref="A58:I58" si="1">A5</f>
        <v>貨幣簡稱</v>
      </c>
      <c r="B58" s="292" t="str">
        <f t="shared" si="1"/>
        <v>貨幣符號</v>
      </c>
      <c r="C58" s="13" t="str">
        <f t="shared" si="1"/>
        <v>中文名稱</v>
      </c>
      <c r="D58" s="292" t="str">
        <f t="shared" si="1"/>
        <v>貨幣轉換</v>
      </c>
      <c r="E58" s="293" t="str">
        <f t="shared" si="1"/>
        <v>Denom</v>
      </c>
      <c r="F58" s="294" t="str">
        <f t="shared" si="1"/>
        <v>籌碼1</v>
      </c>
      <c r="G58" s="294" t="str">
        <f t="shared" si="1"/>
        <v>籌碼2</v>
      </c>
      <c r="H58" s="294" t="str">
        <f t="shared" si="1"/>
        <v>籌碼3</v>
      </c>
      <c r="I58" s="294" t="str">
        <f t="shared" si="1"/>
        <v>籌碼4</v>
      </c>
      <c r="J58" s="283"/>
      <c r="K58" s="283"/>
      <c r="L58" s="283"/>
      <c r="M58" s="283"/>
      <c r="N58" s="283"/>
      <c r="O58" s="283"/>
      <c r="P58" s="283"/>
      <c r="Q58" s="283"/>
      <c r="R58" s="284"/>
      <c r="S58" s="295" t="s">
        <v>71</v>
      </c>
      <c r="T58" s="283"/>
      <c r="U58" s="283"/>
      <c r="V58" s="283"/>
      <c r="W58" s="283"/>
      <c r="X58" s="283"/>
      <c r="Y58" s="283"/>
      <c r="Z58" s="283"/>
      <c r="AA58" s="283"/>
      <c r="AB58" s="283"/>
      <c r="AC58" s="296"/>
      <c r="AD58" s="296"/>
      <c r="AE58" s="296"/>
      <c r="AF58" s="296"/>
      <c r="AG58" s="296"/>
      <c r="AH58" s="296"/>
      <c r="AI58" s="296"/>
      <c r="AJ58" s="296"/>
    </row>
    <row r="59">
      <c r="A59" s="297" t="str">
        <f t="shared" ref="A59:E59" si="2">A6</f>
        <v>THB</v>
      </c>
      <c r="B59" s="13" t="str">
        <f t="shared" si="2"/>
        <v>฿</v>
      </c>
      <c r="C59" s="13" t="str">
        <f t="shared" si="2"/>
        <v>泰銖</v>
      </c>
      <c r="D59" s="16" t="str">
        <f t="shared" si="2"/>
        <v/>
      </c>
      <c r="E59" s="299">
        <f t="shared" si="2"/>
        <v>0.005</v>
      </c>
      <c r="F59" s="325">
        <f t="shared" ref="F59:I59" si="3">HLOOKUP(F6,$F$1:$AI$2,2) * $D$1 * $E59</f>
        <v>1</v>
      </c>
      <c r="G59" s="325">
        <f t="shared" si="3"/>
        <v>10</v>
      </c>
      <c r="H59" s="325">
        <f t="shared" si="3"/>
        <v>100</v>
      </c>
      <c r="I59" s="325">
        <f t="shared" si="3"/>
        <v>500</v>
      </c>
      <c r="J59" s="283"/>
      <c r="K59" s="283"/>
      <c r="L59" s="283"/>
      <c r="M59" s="283"/>
      <c r="N59" s="283"/>
      <c r="O59" s="283"/>
      <c r="P59" s="283"/>
      <c r="Q59" s="283"/>
      <c r="R59" s="284"/>
      <c r="S59" s="287"/>
      <c r="T59" s="283"/>
      <c r="U59" s="283"/>
      <c r="V59" s="283"/>
      <c r="W59" s="283"/>
      <c r="X59" s="283"/>
      <c r="Y59" s="283"/>
      <c r="Z59" s="283"/>
      <c r="AA59" s="283"/>
      <c r="AB59" s="283"/>
      <c r="AC59" s="296"/>
      <c r="AD59" s="296"/>
      <c r="AE59" s="296"/>
      <c r="AF59" s="296"/>
      <c r="AG59" s="296"/>
      <c r="AH59" s="296"/>
      <c r="AI59" s="296"/>
      <c r="AJ59" s="296"/>
    </row>
    <row r="60">
      <c r="A60" s="297" t="str">
        <f t="shared" ref="A60:E60" si="4">A7</f>
        <v>HKD</v>
      </c>
      <c r="B60" s="13" t="str">
        <f t="shared" si="4"/>
        <v>HK$</v>
      </c>
      <c r="C60" s="13" t="str">
        <f t="shared" si="4"/>
        <v>港幣</v>
      </c>
      <c r="D60" s="16" t="str">
        <f t="shared" si="4"/>
        <v/>
      </c>
      <c r="E60" s="299">
        <f t="shared" si="4"/>
        <v>0.001</v>
      </c>
      <c r="F60" s="325">
        <f t="shared" ref="F60:I60" si="5">HLOOKUP(F7,$F$1:$AI$2,2) * $D$1 * $E60</f>
        <v>1</v>
      </c>
      <c r="G60" s="325">
        <f t="shared" si="5"/>
        <v>5</v>
      </c>
      <c r="H60" s="325">
        <f t="shared" si="5"/>
        <v>50</v>
      </c>
      <c r="I60" s="325">
        <f t="shared" si="5"/>
        <v>150</v>
      </c>
      <c r="J60" s="283"/>
      <c r="K60" s="283"/>
      <c r="L60" s="283"/>
      <c r="M60" s="283"/>
      <c r="N60" s="283"/>
      <c r="O60" s="283"/>
      <c r="P60" s="283"/>
      <c r="Q60" s="283"/>
      <c r="R60" s="284"/>
      <c r="S60" s="287"/>
      <c r="T60" s="283"/>
      <c r="U60" s="283"/>
      <c r="V60" s="283"/>
      <c r="W60" s="283"/>
      <c r="X60" s="283"/>
      <c r="Y60" s="283"/>
      <c r="Z60" s="283"/>
      <c r="AA60" s="283"/>
      <c r="AB60" s="283"/>
      <c r="AC60" s="296"/>
      <c r="AD60" s="296"/>
      <c r="AE60" s="296"/>
      <c r="AF60" s="296"/>
      <c r="AG60" s="296"/>
      <c r="AH60" s="296"/>
      <c r="AI60" s="296"/>
      <c r="AJ60" s="296"/>
    </row>
    <row r="61">
      <c r="A61" s="297" t="str">
        <f t="shared" ref="A61:E61" si="6">A8</f>
        <v>INR</v>
      </c>
      <c r="B61" s="13" t="str">
        <f t="shared" si="6"/>
        <v>₹</v>
      </c>
      <c r="C61" s="13" t="str">
        <f t="shared" si="6"/>
        <v>印度盧比</v>
      </c>
      <c r="D61" s="16" t="str">
        <f t="shared" si="6"/>
        <v/>
      </c>
      <c r="E61" s="299">
        <f t="shared" si="6"/>
        <v>0.01</v>
      </c>
      <c r="F61" s="325">
        <f t="shared" ref="F61:I61" si="7">HLOOKUP(F8,$F$1:$AI$2,2) * $D$1 * $E61</f>
        <v>2</v>
      </c>
      <c r="G61" s="325">
        <f t="shared" si="7"/>
        <v>10</v>
      </c>
      <c r="H61" s="325">
        <f t="shared" si="7"/>
        <v>100</v>
      </c>
      <c r="I61" s="325">
        <f t="shared" si="7"/>
        <v>1500</v>
      </c>
      <c r="J61" s="326"/>
      <c r="K61" s="326"/>
      <c r="L61" s="326"/>
      <c r="M61" s="326"/>
      <c r="N61" s="326"/>
      <c r="O61" s="326"/>
      <c r="P61" s="326"/>
      <c r="Q61" s="326"/>
      <c r="R61" s="327"/>
      <c r="S61" s="287"/>
      <c r="T61" s="326"/>
      <c r="U61" s="326"/>
      <c r="V61" s="326"/>
      <c r="W61" s="326"/>
      <c r="X61" s="326"/>
      <c r="Y61" s="326"/>
      <c r="Z61" s="283"/>
      <c r="AA61" s="283"/>
      <c r="AB61" s="283"/>
      <c r="AC61" s="296"/>
      <c r="AD61" s="296"/>
      <c r="AE61" s="296"/>
      <c r="AF61" s="296"/>
      <c r="AG61" s="296"/>
      <c r="AH61" s="296"/>
      <c r="AI61" s="296"/>
      <c r="AJ61" s="296"/>
    </row>
    <row r="62">
      <c r="A62" s="297" t="str">
        <f t="shared" ref="A62:E62" si="8">A9</f>
        <v>IDR</v>
      </c>
      <c r="B62" s="13" t="str">
        <f t="shared" si="8"/>
        <v>Rp</v>
      </c>
      <c r="C62" s="13" t="str">
        <f t="shared" si="8"/>
        <v>印尼盧比(K)</v>
      </c>
      <c r="D62" s="16">
        <f t="shared" si="8"/>
        <v>1000</v>
      </c>
      <c r="E62" s="299">
        <f t="shared" si="8"/>
        <v>0.001</v>
      </c>
      <c r="F62" s="325">
        <f t="shared" ref="F62:I62" si="9">HLOOKUP(F9,$F$1:$AI$2,2) * $D$1 * $E62</f>
        <v>1</v>
      </c>
      <c r="G62" s="325">
        <f t="shared" si="9"/>
        <v>5</v>
      </c>
      <c r="H62" s="325">
        <f t="shared" si="9"/>
        <v>50</v>
      </c>
      <c r="I62" s="325">
        <f t="shared" si="9"/>
        <v>200</v>
      </c>
      <c r="J62" s="326"/>
      <c r="K62" s="326"/>
      <c r="L62" s="326"/>
      <c r="M62" s="326"/>
      <c r="N62" s="326"/>
      <c r="O62" s="326"/>
      <c r="P62" s="326"/>
      <c r="Q62" s="326"/>
      <c r="R62" s="327"/>
      <c r="S62" s="287"/>
      <c r="T62" s="326"/>
      <c r="U62" s="326"/>
      <c r="V62" s="326"/>
      <c r="W62" s="326"/>
      <c r="X62" s="326"/>
      <c r="Y62" s="326"/>
      <c r="Z62" s="283"/>
      <c r="AA62" s="283"/>
      <c r="AB62" s="283"/>
      <c r="AC62" s="296"/>
      <c r="AD62" s="296"/>
      <c r="AE62" s="296"/>
      <c r="AF62" s="296"/>
      <c r="AG62" s="296"/>
      <c r="AH62" s="296"/>
      <c r="AI62" s="296"/>
      <c r="AJ62" s="296"/>
    </row>
    <row r="63">
      <c r="A63" s="297" t="str">
        <f t="shared" ref="A63:E63" si="10">A10</f>
        <v>VND</v>
      </c>
      <c r="B63" s="13" t="str">
        <f t="shared" si="10"/>
        <v>₫</v>
      </c>
      <c r="C63" s="13" t="str">
        <f t="shared" si="10"/>
        <v>越南盾(K)</v>
      </c>
      <c r="D63" s="16">
        <f t="shared" si="10"/>
        <v>1000</v>
      </c>
      <c r="E63" s="299">
        <f t="shared" si="10"/>
        <v>0.005</v>
      </c>
      <c r="F63" s="325">
        <f t="shared" ref="F63:I63" si="11">HLOOKUP(F10,$F$1:$AI$2,2) * $D$1 * $E63</f>
        <v>1</v>
      </c>
      <c r="G63" s="325">
        <f t="shared" si="11"/>
        <v>10</v>
      </c>
      <c r="H63" s="325">
        <f t="shared" si="11"/>
        <v>100</v>
      </c>
      <c r="I63" s="325">
        <f t="shared" si="11"/>
        <v>500</v>
      </c>
      <c r="J63" s="326"/>
      <c r="K63" s="326"/>
      <c r="L63" s="326"/>
      <c r="M63" s="326"/>
      <c r="N63" s="326"/>
      <c r="O63" s="326"/>
      <c r="P63" s="326"/>
      <c r="Q63" s="326"/>
      <c r="R63" s="327"/>
      <c r="S63" s="287"/>
      <c r="T63" s="326"/>
      <c r="U63" s="326"/>
      <c r="V63" s="326"/>
      <c r="W63" s="326"/>
      <c r="X63" s="326"/>
      <c r="Y63" s="326"/>
      <c r="Z63" s="283"/>
      <c r="AA63" s="283"/>
      <c r="AB63" s="283"/>
      <c r="AC63" s="296"/>
      <c r="AD63" s="296"/>
      <c r="AE63" s="296"/>
      <c r="AF63" s="296"/>
      <c r="AG63" s="296"/>
      <c r="AH63" s="296"/>
      <c r="AI63" s="296"/>
      <c r="AJ63" s="296"/>
    </row>
    <row r="64">
      <c r="A64" s="297" t="str">
        <f t="shared" ref="A64:E64" si="12">A11</f>
        <v>MYR</v>
      </c>
      <c r="B64" s="13" t="str">
        <f t="shared" si="12"/>
        <v>RM</v>
      </c>
      <c r="C64" s="13" t="str">
        <f t="shared" si="12"/>
        <v>馬來西亞令吉</v>
      </c>
      <c r="D64" s="16" t="str">
        <f t="shared" si="12"/>
        <v/>
      </c>
      <c r="E64" s="299">
        <f t="shared" si="12"/>
        <v>0.001</v>
      </c>
      <c r="F64" s="325">
        <f t="shared" ref="F64:I64" si="13">HLOOKUP(F11,$F$1:$AI$2,2) * $D$1 * $E64</f>
        <v>1</v>
      </c>
      <c r="G64" s="325">
        <f t="shared" si="13"/>
        <v>5</v>
      </c>
      <c r="H64" s="325">
        <f t="shared" si="13"/>
        <v>10</v>
      </c>
      <c r="I64" s="325">
        <f t="shared" si="13"/>
        <v>100</v>
      </c>
      <c r="J64" s="326"/>
      <c r="K64" s="326"/>
      <c r="L64" s="326"/>
      <c r="M64" s="326"/>
      <c r="N64" s="326"/>
      <c r="O64" s="326"/>
      <c r="P64" s="326"/>
      <c r="Q64" s="326"/>
      <c r="R64" s="327"/>
      <c r="S64" s="287"/>
      <c r="T64" s="326"/>
      <c r="U64" s="326"/>
      <c r="V64" s="326"/>
      <c r="W64" s="326"/>
      <c r="X64" s="326"/>
      <c r="Y64" s="326"/>
      <c r="Z64" s="283"/>
      <c r="AA64" s="283"/>
      <c r="AB64" s="283"/>
      <c r="AC64" s="296"/>
      <c r="AD64" s="296"/>
      <c r="AE64" s="296"/>
      <c r="AF64" s="296"/>
      <c r="AG64" s="296"/>
      <c r="AH64" s="296"/>
      <c r="AI64" s="296"/>
      <c r="AJ64" s="296"/>
    </row>
    <row r="65">
      <c r="A65" s="297" t="str">
        <f t="shared" ref="A65:E65" si="14">A12</f>
        <v>SGD</v>
      </c>
      <c r="B65" s="13" t="str">
        <f t="shared" si="14"/>
        <v>S$</v>
      </c>
      <c r="C65" s="13" t="str">
        <f t="shared" si="14"/>
        <v>新加坡幣</v>
      </c>
      <c r="D65" s="16" t="str">
        <f t="shared" si="14"/>
        <v/>
      </c>
      <c r="E65" s="328">
        <f t="shared" si="14"/>
        <v>0.001</v>
      </c>
      <c r="F65" s="325">
        <f t="shared" ref="F65:I65" si="15">HLOOKUP(F12,$F$1:$AI$2,2) * $D$1 * $E65</f>
        <v>1</v>
      </c>
      <c r="G65" s="325">
        <f t="shared" si="15"/>
        <v>5</v>
      </c>
      <c r="H65" s="325">
        <f t="shared" si="15"/>
        <v>10</v>
      </c>
      <c r="I65" s="325">
        <f t="shared" si="15"/>
        <v>25</v>
      </c>
      <c r="J65" s="326"/>
      <c r="K65" s="326"/>
      <c r="L65" s="326"/>
      <c r="M65" s="326"/>
      <c r="N65" s="326"/>
      <c r="O65" s="326"/>
      <c r="P65" s="326"/>
      <c r="Q65" s="326"/>
      <c r="R65" s="327"/>
      <c r="S65" s="287"/>
      <c r="T65" s="326"/>
      <c r="U65" s="326"/>
      <c r="V65" s="326"/>
      <c r="W65" s="326"/>
      <c r="X65" s="326"/>
      <c r="Y65" s="326"/>
      <c r="Z65" s="283"/>
      <c r="AA65" s="283"/>
      <c r="AB65" s="283"/>
      <c r="AC65" s="296"/>
      <c r="AD65" s="296"/>
      <c r="AE65" s="296"/>
      <c r="AF65" s="296"/>
      <c r="AG65" s="296"/>
      <c r="AH65" s="296"/>
      <c r="AI65" s="296"/>
      <c r="AJ65" s="296"/>
    </row>
    <row r="66">
      <c r="A66" s="297" t="str">
        <f t="shared" ref="A66:E66" si="16">A13</f>
        <v>USD</v>
      </c>
      <c r="B66" s="13" t="str">
        <f t="shared" si="16"/>
        <v>$</v>
      </c>
      <c r="C66" s="13" t="str">
        <f t="shared" si="16"/>
        <v>美元</v>
      </c>
      <c r="D66" s="16" t="str">
        <f t="shared" si="16"/>
        <v/>
      </c>
      <c r="E66" s="328">
        <f t="shared" si="16"/>
        <v>0.001</v>
      </c>
      <c r="F66" s="325">
        <f t="shared" ref="F66:I66" si="17">HLOOKUP(F13,$F$1:$AI$2,2) * $D$1 * $E66</f>
        <v>1</v>
      </c>
      <c r="G66" s="325">
        <f t="shared" si="17"/>
        <v>5</v>
      </c>
      <c r="H66" s="325">
        <f t="shared" si="17"/>
        <v>10</v>
      </c>
      <c r="I66" s="325">
        <f t="shared" si="17"/>
        <v>20</v>
      </c>
      <c r="J66" s="326"/>
      <c r="K66" s="326"/>
      <c r="L66" s="326"/>
      <c r="M66" s="326"/>
      <c r="N66" s="326"/>
      <c r="O66" s="326"/>
      <c r="P66" s="326"/>
      <c r="Q66" s="326"/>
      <c r="R66" s="327"/>
      <c r="S66" s="287"/>
      <c r="T66" s="326"/>
      <c r="U66" s="326"/>
      <c r="V66" s="326"/>
      <c r="W66" s="326"/>
      <c r="X66" s="326"/>
      <c r="Y66" s="326"/>
      <c r="Z66" s="283"/>
      <c r="AA66" s="283"/>
      <c r="AB66" s="283"/>
      <c r="AC66" s="296"/>
      <c r="AD66" s="296"/>
      <c r="AE66" s="296"/>
      <c r="AF66" s="296"/>
      <c r="AG66" s="296"/>
      <c r="AH66" s="296"/>
      <c r="AI66" s="296"/>
      <c r="AJ66" s="296"/>
    </row>
    <row r="67">
      <c r="A67" s="297" t="str">
        <f t="shared" ref="A67:E67" si="18">A14</f>
        <v>BDT</v>
      </c>
      <c r="B67" s="13" t="str">
        <f t="shared" si="18"/>
        <v>৳</v>
      </c>
      <c r="C67" s="13" t="str">
        <f t="shared" si="18"/>
        <v>孟加拉塔卡</v>
      </c>
      <c r="D67" s="16" t="str">
        <f t="shared" si="18"/>
        <v/>
      </c>
      <c r="E67" s="299">
        <f t="shared" si="18"/>
        <v>0.02</v>
      </c>
      <c r="F67" s="325">
        <f t="shared" ref="F67:I67" si="19">HLOOKUP(F14,$F$1:$AI$2,2) * $D$1 * $E67</f>
        <v>2</v>
      </c>
      <c r="G67" s="325">
        <f t="shared" si="19"/>
        <v>20</v>
      </c>
      <c r="H67" s="325">
        <f t="shared" si="19"/>
        <v>200</v>
      </c>
      <c r="I67" s="325">
        <f t="shared" si="19"/>
        <v>2000</v>
      </c>
      <c r="J67" s="326"/>
      <c r="K67" s="326"/>
      <c r="L67" s="326"/>
      <c r="M67" s="326"/>
      <c r="N67" s="326"/>
      <c r="O67" s="326"/>
      <c r="P67" s="326"/>
      <c r="Q67" s="326"/>
      <c r="R67" s="327"/>
      <c r="S67" s="287"/>
      <c r="T67" s="326"/>
      <c r="U67" s="326"/>
      <c r="V67" s="326"/>
      <c r="W67" s="326"/>
      <c r="X67" s="326"/>
      <c r="Y67" s="326"/>
      <c r="Z67" s="283"/>
      <c r="AA67" s="283"/>
      <c r="AB67" s="283"/>
      <c r="AC67" s="296"/>
      <c r="AD67" s="296"/>
      <c r="AE67" s="296"/>
      <c r="AF67" s="296"/>
      <c r="AG67" s="296"/>
      <c r="AH67" s="296"/>
      <c r="AI67" s="296"/>
      <c r="AJ67" s="296"/>
    </row>
    <row r="68">
      <c r="A68" s="297" t="str">
        <f t="shared" ref="A68:E68" si="20">A15</f>
        <v>PKR</v>
      </c>
      <c r="B68" s="13" t="str">
        <f t="shared" si="20"/>
        <v>₨</v>
      </c>
      <c r="C68" s="13" t="str">
        <f t="shared" si="20"/>
        <v>巴基斯坦盧比</v>
      </c>
      <c r="D68" s="16" t="str">
        <f t="shared" si="20"/>
        <v/>
      </c>
      <c r="E68" s="299">
        <f t="shared" si="20"/>
        <v>0.05</v>
      </c>
      <c r="F68" s="325">
        <f t="shared" ref="F68:I68" si="21">HLOOKUP(F15,$F$1:$AI$2,2) * $D$1 * $E68</f>
        <v>10</v>
      </c>
      <c r="G68" s="325">
        <f t="shared" si="21"/>
        <v>100</v>
      </c>
      <c r="H68" s="325">
        <f t="shared" si="21"/>
        <v>1000</v>
      </c>
      <c r="I68" s="325">
        <f t="shared" si="21"/>
        <v>5000</v>
      </c>
      <c r="J68" s="326"/>
      <c r="K68" s="326"/>
      <c r="L68" s="326"/>
      <c r="M68" s="326"/>
      <c r="N68" s="326"/>
      <c r="O68" s="326"/>
      <c r="P68" s="326"/>
      <c r="Q68" s="326"/>
      <c r="R68" s="327"/>
      <c r="S68" s="287"/>
      <c r="T68" s="326"/>
      <c r="U68" s="326"/>
      <c r="V68" s="326"/>
      <c r="W68" s="326"/>
      <c r="X68" s="326"/>
      <c r="Y68" s="326"/>
      <c r="Z68" s="283"/>
      <c r="AA68" s="283"/>
      <c r="AB68" s="283"/>
      <c r="AC68" s="296"/>
      <c r="AD68" s="296"/>
      <c r="AE68" s="296"/>
      <c r="AF68" s="296"/>
      <c r="AG68" s="296"/>
      <c r="AH68" s="296"/>
      <c r="AI68" s="296"/>
      <c r="AJ68" s="296"/>
    </row>
    <row r="69">
      <c r="A69" s="297" t="str">
        <f t="shared" ref="A69:E69" si="22">A16</f>
        <v>MMK</v>
      </c>
      <c r="B69" s="13" t="str">
        <f t="shared" si="22"/>
        <v>K</v>
      </c>
      <c r="C69" s="13" t="str">
        <f t="shared" si="22"/>
        <v>緬甸元(K)</v>
      </c>
      <c r="D69" s="16">
        <f t="shared" si="22"/>
        <v>1000</v>
      </c>
      <c r="E69" s="328">
        <f t="shared" si="22"/>
        <v>0.001</v>
      </c>
      <c r="F69" s="325">
        <f t="shared" ref="F69:I69" si="23">HLOOKUP(F16,$F$1:$AI$2,2) * $D$1 * $E69</f>
        <v>1</v>
      </c>
      <c r="G69" s="325">
        <f t="shared" si="23"/>
        <v>5</v>
      </c>
      <c r="H69" s="325">
        <f t="shared" si="23"/>
        <v>10</v>
      </c>
      <c r="I69" s="325">
        <f t="shared" si="23"/>
        <v>40</v>
      </c>
      <c r="J69" s="326"/>
      <c r="K69" s="326"/>
      <c r="L69" s="326"/>
      <c r="M69" s="326"/>
      <c r="N69" s="326"/>
      <c r="O69" s="326"/>
      <c r="P69" s="326"/>
      <c r="Q69" s="326"/>
      <c r="R69" s="327"/>
      <c r="S69" s="287"/>
      <c r="T69" s="326"/>
      <c r="U69" s="326"/>
      <c r="V69" s="326"/>
      <c r="W69" s="326"/>
      <c r="X69" s="326"/>
      <c r="Y69" s="326"/>
      <c r="Z69" s="283"/>
      <c r="AA69" s="283"/>
      <c r="AB69" s="283"/>
      <c r="AC69" s="296"/>
      <c r="AD69" s="296"/>
      <c r="AE69" s="296"/>
      <c r="AF69" s="296"/>
      <c r="AG69" s="296"/>
      <c r="AH69" s="296"/>
      <c r="AI69" s="296"/>
      <c r="AJ69" s="296"/>
    </row>
    <row r="70">
      <c r="A70" s="297" t="str">
        <f t="shared" ref="A70:E70" si="24">A17</f>
        <v>MMH</v>
      </c>
      <c r="B70" s="13" t="str">
        <f t="shared" si="24"/>
        <v>K</v>
      </c>
      <c r="C70" s="13" t="str">
        <f t="shared" si="24"/>
        <v>緬甸元(H)</v>
      </c>
      <c r="D70" s="16">
        <f t="shared" si="24"/>
        <v>100</v>
      </c>
      <c r="E70" s="328">
        <f t="shared" si="24"/>
        <v>0.01</v>
      </c>
      <c r="F70" s="325">
        <f t="shared" ref="F70:I70" si="25">HLOOKUP(F17,$F$1:$AI$2,2) * $D$1 * $E70</f>
        <v>1</v>
      </c>
      <c r="G70" s="325">
        <f t="shared" si="25"/>
        <v>10</v>
      </c>
      <c r="H70" s="325">
        <f t="shared" si="25"/>
        <v>100</v>
      </c>
      <c r="I70" s="325">
        <f t="shared" si="25"/>
        <v>400</v>
      </c>
      <c r="J70" s="326"/>
      <c r="K70" s="326"/>
      <c r="L70" s="326"/>
      <c r="M70" s="326"/>
      <c r="N70" s="326"/>
      <c r="O70" s="326"/>
      <c r="P70" s="326"/>
      <c r="Q70" s="326"/>
      <c r="R70" s="327"/>
      <c r="S70" s="287"/>
      <c r="T70" s="326"/>
      <c r="U70" s="326"/>
      <c r="V70" s="326"/>
      <c r="W70" s="326"/>
      <c r="X70" s="326"/>
      <c r="Y70" s="326"/>
      <c r="Z70" s="283"/>
      <c r="AA70" s="283"/>
      <c r="AB70" s="283"/>
      <c r="AC70" s="296"/>
      <c r="AD70" s="296"/>
      <c r="AE70" s="296"/>
      <c r="AF70" s="296"/>
      <c r="AG70" s="296"/>
      <c r="AH70" s="296"/>
      <c r="AI70" s="296"/>
      <c r="AJ70" s="296"/>
    </row>
    <row r="71">
      <c r="A71" s="297" t="str">
        <f t="shared" ref="A71:E71" si="26">A18</f>
        <v>PHP</v>
      </c>
      <c r="B71" s="13" t="str">
        <f t="shared" si="26"/>
        <v>₱</v>
      </c>
      <c r="C71" s="13" t="str">
        <f t="shared" si="26"/>
        <v>菲律賓披索</v>
      </c>
      <c r="D71" s="16" t="str">
        <f t="shared" si="26"/>
        <v/>
      </c>
      <c r="E71" s="299">
        <f t="shared" si="26"/>
        <v>0.01</v>
      </c>
      <c r="F71" s="325">
        <f t="shared" ref="F71:I71" si="27">HLOOKUP(F18,$F$1:$AI$2,2) * $D$1 * $E71</f>
        <v>1</v>
      </c>
      <c r="G71" s="325">
        <f t="shared" si="27"/>
        <v>10</v>
      </c>
      <c r="H71" s="325">
        <f t="shared" si="27"/>
        <v>100</v>
      </c>
      <c r="I71" s="325">
        <f t="shared" si="27"/>
        <v>1000</v>
      </c>
      <c r="J71" s="326"/>
      <c r="K71" s="326"/>
      <c r="L71" s="326"/>
      <c r="M71" s="326"/>
      <c r="N71" s="326"/>
      <c r="O71" s="326"/>
      <c r="P71" s="326"/>
      <c r="Q71" s="326"/>
      <c r="R71" s="327"/>
      <c r="S71" s="3"/>
      <c r="T71" s="326"/>
      <c r="U71" s="326"/>
      <c r="V71" s="326"/>
      <c r="W71" s="326"/>
      <c r="X71" s="326"/>
      <c r="Y71" s="326"/>
      <c r="Z71" s="283"/>
      <c r="AA71" s="283"/>
      <c r="AB71" s="283"/>
      <c r="AC71" s="296"/>
      <c r="AD71" s="296"/>
      <c r="AE71" s="296"/>
      <c r="AF71" s="296"/>
      <c r="AG71" s="296"/>
      <c r="AH71" s="296"/>
      <c r="AI71" s="296"/>
      <c r="AJ71" s="296"/>
    </row>
    <row r="72">
      <c r="A72" s="297" t="str">
        <f t="shared" ref="A72:E72" si="28">A19</f>
        <v>CNY</v>
      </c>
      <c r="B72" s="13" t="str">
        <f t="shared" si="28"/>
        <v>￥</v>
      </c>
      <c r="C72" s="13" t="str">
        <f t="shared" si="28"/>
        <v>人民幣</v>
      </c>
      <c r="D72" s="16" t="str">
        <f t="shared" si="28"/>
        <v/>
      </c>
      <c r="E72" s="299">
        <f t="shared" si="28"/>
        <v>0.001</v>
      </c>
      <c r="F72" s="325">
        <f t="shared" ref="F72:I72" si="29">HLOOKUP(F19,$F$1:$AI$2,2) * $D$1 * $E72</f>
        <v>1</v>
      </c>
      <c r="G72" s="325">
        <f t="shared" si="29"/>
        <v>5</v>
      </c>
      <c r="H72" s="325">
        <f t="shared" si="29"/>
        <v>10</v>
      </c>
      <c r="I72" s="325">
        <f t="shared" si="29"/>
        <v>100</v>
      </c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283"/>
      <c r="AA72" s="283"/>
      <c r="AB72" s="283"/>
      <c r="AC72" s="296"/>
      <c r="AD72" s="296"/>
      <c r="AE72" s="296"/>
      <c r="AF72" s="296"/>
      <c r="AG72" s="296"/>
      <c r="AH72" s="296"/>
      <c r="AI72" s="296"/>
      <c r="AJ72" s="296"/>
    </row>
    <row r="73">
      <c r="A73" s="297" t="str">
        <f t="shared" ref="A73:E73" si="30">A20</f>
        <v>MXN</v>
      </c>
      <c r="B73" s="13" t="str">
        <f t="shared" si="30"/>
        <v>Mex$</v>
      </c>
      <c r="C73" s="13" t="str">
        <f t="shared" si="30"/>
        <v>墨⻄哥披索</v>
      </c>
      <c r="D73" s="16" t="str">
        <f t="shared" si="30"/>
        <v/>
      </c>
      <c r="E73" s="328">
        <f t="shared" si="30"/>
        <v>0.002</v>
      </c>
      <c r="F73" s="325">
        <f t="shared" ref="F73:I73" si="31">HLOOKUP(F20,$F$1:$AI$2,2) * $D$1 * $E73</f>
        <v>2</v>
      </c>
      <c r="G73" s="325">
        <f t="shared" si="31"/>
        <v>10</v>
      </c>
      <c r="H73" s="325">
        <f t="shared" si="31"/>
        <v>50</v>
      </c>
      <c r="I73" s="325">
        <f t="shared" si="31"/>
        <v>300</v>
      </c>
      <c r="J73" s="326"/>
      <c r="K73" s="326"/>
      <c r="L73" s="326"/>
      <c r="M73" s="326"/>
      <c r="N73" s="326"/>
      <c r="O73" s="326"/>
      <c r="P73" s="326"/>
      <c r="Q73" s="326"/>
      <c r="R73" s="320"/>
      <c r="S73" s="320"/>
      <c r="T73" s="320"/>
      <c r="U73" s="320"/>
      <c r="V73" s="320"/>
      <c r="W73" s="320"/>
      <c r="X73" s="320"/>
      <c r="Y73" s="320"/>
      <c r="Z73" s="312"/>
      <c r="AA73" s="312"/>
      <c r="AB73" s="312"/>
      <c r="AC73" s="296"/>
      <c r="AD73" s="296"/>
      <c r="AE73" s="296"/>
      <c r="AF73" s="296"/>
      <c r="AG73" s="296"/>
      <c r="AH73" s="296"/>
      <c r="AI73" s="296"/>
      <c r="AJ73" s="296"/>
    </row>
    <row r="74">
      <c r="A74" s="297" t="str">
        <f t="shared" ref="A74:E74" si="32">A21</f>
        <v>BRL</v>
      </c>
      <c r="B74" s="13" t="str">
        <f t="shared" si="32"/>
        <v>R$</v>
      </c>
      <c r="C74" s="13" t="str">
        <f t="shared" si="32"/>
        <v>巴西雷亞爾</v>
      </c>
      <c r="D74" s="16" t="str">
        <f t="shared" si="32"/>
        <v/>
      </c>
      <c r="E74" s="299">
        <f t="shared" si="32"/>
        <v>0.001</v>
      </c>
      <c r="F74" s="325">
        <f t="shared" ref="F74:I74" si="33">HLOOKUP(F21,$F$1:$AI$2,2) * $D$1 * $E74</f>
        <v>1</v>
      </c>
      <c r="G74" s="325">
        <f t="shared" si="33"/>
        <v>5</v>
      </c>
      <c r="H74" s="325">
        <f t="shared" si="33"/>
        <v>10</v>
      </c>
      <c r="I74" s="325">
        <f t="shared" si="33"/>
        <v>100</v>
      </c>
      <c r="J74" s="326"/>
      <c r="K74" s="326"/>
      <c r="L74" s="326"/>
      <c r="M74" s="326"/>
      <c r="N74" s="326"/>
      <c r="O74" s="326"/>
      <c r="P74" s="326"/>
      <c r="Q74" s="326"/>
      <c r="R74" s="320"/>
      <c r="S74" s="320"/>
      <c r="T74" s="320"/>
      <c r="U74" s="320"/>
      <c r="V74" s="320"/>
      <c r="W74" s="320"/>
      <c r="X74" s="320"/>
      <c r="Y74" s="320"/>
      <c r="Z74" s="312"/>
      <c r="AA74" s="312"/>
      <c r="AB74" s="312"/>
      <c r="AC74" s="296"/>
      <c r="AD74" s="296"/>
      <c r="AE74" s="296"/>
      <c r="AF74" s="296"/>
      <c r="AG74" s="296"/>
      <c r="AH74" s="296"/>
      <c r="AI74" s="296"/>
      <c r="AJ74" s="296"/>
    </row>
    <row r="75">
      <c r="A75" s="297" t="str">
        <f t="shared" ref="A75:E75" si="34">A22</f>
        <v>AUD</v>
      </c>
      <c r="B75" s="13" t="str">
        <f t="shared" si="34"/>
        <v>A$</v>
      </c>
      <c r="C75" s="13" t="str">
        <f t="shared" si="34"/>
        <v>澳洲元</v>
      </c>
      <c r="D75" s="16" t="str">
        <f t="shared" si="34"/>
        <v/>
      </c>
      <c r="E75" s="316">
        <f t="shared" si="34"/>
        <v>0.001</v>
      </c>
      <c r="F75" s="329">
        <f t="shared" ref="F75:I75" si="35">HLOOKUP(F22,$F$1:$AI$2,2) * $D$1 * $E75</f>
        <v>1</v>
      </c>
      <c r="G75" s="329">
        <f t="shared" si="35"/>
        <v>5</v>
      </c>
      <c r="H75" s="329">
        <f t="shared" si="35"/>
        <v>10</v>
      </c>
      <c r="I75" s="329">
        <f t="shared" si="35"/>
        <v>25</v>
      </c>
      <c r="J75" s="326"/>
      <c r="K75" s="326"/>
      <c r="L75" s="326"/>
      <c r="M75" s="326"/>
      <c r="N75" s="326"/>
      <c r="O75" s="326"/>
      <c r="P75" s="326"/>
      <c r="Q75" s="326"/>
      <c r="R75" s="320"/>
      <c r="S75" s="320"/>
      <c r="T75" s="320"/>
      <c r="U75" s="320"/>
      <c r="V75" s="320"/>
      <c r="W75" s="320"/>
      <c r="X75" s="320"/>
      <c r="Y75" s="320"/>
      <c r="Z75" s="312"/>
      <c r="AA75" s="312"/>
      <c r="AB75" s="312"/>
      <c r="AC75" s="296"/>
      <c r="AD75" s="296"/>
      <c r="AE75" s="296"/>
      <c r="AF75" s="296"/>
      <c r="AG75" s="296"/>
      <c r="AH75" s="296"/>
      <c r="AI75" s="296"/>
      <c r="AJ75" s="296"/>
    </row>
    <row r="76">
      <c r="A76" s="297" t="str">
        <f t="shared" ref="A76:E76" si="36">A23</f>
        <v>JPY</v>
      </c>
      <c r="B76" s="13" t="str">
        <f t="shared" si="36"/>
        <v>￥</v>
      </c>
      <c r="C76" s="13" t="str">
        <f t="shared" si="36"/>
        <v>日圓</v>
      </c>
      <c r="D76" s="16" t="str">
        <f t="shared" si="36"/>
        <v/>
      </c>
      <c r="E76" s="316">
        <f t="shared" si="36"/>
        <v>0.025</v>
      </c>
      <c r="F76" s="330">
        <f t="shared" ref="F76:I76" si="37">HLOOKUP(F23,$F$1:$AI$2,2) * $D$1 * $E76</f>
        <v>5</v>
      </c>
      <c r="G76" s="329">
        <f t="shared" si="37"/>
        <v>100</v>
      </c>
      <c r="H76" s="329">
        <f t="shared" si="37"/>
        <v>500</v>
      </c>
      <c r="I76" s="329">
        <f t="shared" si="37"/>
        <v>2500</v>
      </c>
      <c r="J76" s="326"/>
      <c r="K76" s="326"/>
      <c r="L76" s="326"/>
      <c r="M76" s="326"/>
      <c r="N76" s="326"/>
      <c r="O76" s="326"/>
      <c r="P76" s="326"/>
      <c r="Q76" s="326"/>
      <c r="R76" s="320"/>
      <c r="S76" s="320"/>
      <c r="T76" s="320"/>
      <c r="U76" s="320"/>
      <c r="V76" s="320"/>
      <c r="W76" s="320"/>
      <c r="X76" s="320"/>
      <c r="Y76" s="320"/>
      <c r="Z76" s="312"/>
      <c r="AA76" s="312"/>
      <c r="AB76" s="312"/>
      <c r="AC76" s="296"/>
      <c r="AD76" s="296"/>
      <c r="AE76" s="296"/>
      <c r="AF76" s="296"/>
      <c r="AG76" s="296"/>
      <c r="AH76" s="296"/>
      <c r="AI76" s="296"/>
      <c r="AJ76" s="296"/>
    </row>
    <row r="77">
      <c r="A77" s="297" t="str">
        <f t="shared" ref="A77:E77" si="38">A24</f>
        <v>KRW</v>
      </c>
      <c r="B77" s="13" t="str">
        <f t="shared" si="38"/>
        <v>₩</v>
      </c>
      <c r="C77" s="13" t="str">
        <f t="shared" si="38"/>
        <v>韓圓</v>
      </c>
      <c r="D77" s="16" t="str">
        <f t="shared" si="38"/>
        <v/>
      </c>
      <c r="E77" s="316">
        <f t="shared" si="38"/>
        <v>0.25</v>
      </c>
      <c r="F77" s="330">
        <f t="shared" ref="F77:I77" si="39">HLOOKUP(F24,$F$1:$AI$2,2) * $D$1 * $E77</f>
        <v>50</v>
      </c>
      <c r="G77" s="329">
        <f t="shared" si="39"/>
        <v>500</v>
      </c>
      <c r="H77" s="329">
        <f t="shared" si="39"/>
        <v>5000</v>
      </c>
      <c r="I77" s="329">
        <f t="shared" si="39"/>
        <v>25000</v>
      </c>
      <c r="J77" s="326"/>
      <c r="K77" s="326"/>
      <c r="L77" s="326"/>
      <c r="M77" s="326"/>
      <c r="N77" s="326"/>
      <c r="O77" s="326"/>
      <c r="P77" s="326"/>
      <c r="Q77" s="326"/>
      <c r="R77" s="320"/>
      <c r="S77" s="320"/>
      <c r="T77" s="320"/>
      <c r="U77" s="320"/>
      <c r="V77" s="320"/>
      <c r="W77" s="320"/>
      <c r="X77" s="320"/>
      <c r="Y77" s="320"/>
      <c r="Z77" s="312"/>
      <c r="AA77" s="312"/>
      <c r="AB77" s="312"/>
      <c r="AC77" s="296"/>
      <c r="AD77" s="296"/>
      <c r="AE77" s="296"/>
      <c r="AF77" s="296"/>
      <c r="AG77" s="296"/>
      <c r="AH77" s="296"/>
      <c r="AI77" s="296"/>
      <c r="AJ77" s="296"/>
    </row>
    <row r="78">
      <c r="A78" s="297" t="str">
        <f t="shared" ref="A78:E78" si="40">A25</f>
        <v>CLP</v>
      </c>
      <c r="B78" s="13" t="str">
        <f t="shared" si="40"/>
        <v>$</v>
      </c>
      <c r="C78" s="13" t="str">
        <f t="shared" si="40"/>
        <v>智利披索</v>
      </c>
      <c r="D78" s="16" t="str">
        <f t="shared" si="40"/>
        <v/>
      </c>
      <c r="E78" s="316">
        <f t="shared" si="40"/>
        <v>0.1</v>
      </c>
      <c r="F78" s="330">
        <f t="shared" ref="F78:I78" si="41">HLOOKUP(F25,$F$1:$AI$2,2) * $D$1 * $E78</f>
        <v>20</v>
      </c>
      <c r="G78" s="329">
        <f t="shared" si="41"/>
        <v>200</v>
      </c>
      <c r="H78" s="329">
        <f t="shared" si="41"/>
        <v>2000</v>
      </c>
      <c r="I78" s="329">
        <f t="shared" si="41"/>
        <v>15000</v>
      </c>
      <c r="J78" s="326"/>
      <c r="K78" s="326"/>
      <c r="L78" s="326"/>
      <c r="M78" s="326"/>
      <c r="N78" s="326"/>
      <c r="O78" s="326"/>
      <c r="P78" s="326"/>
      <c r="Q78" s="326"/>
      <c r="R78" s="320"/>
      <c r="S78" s="320"/>
      <c r="T78" s="320"/>
      <c r="U78" s="320"/>
      <c r="V78" s="320"/>
      <c r="W78" s="320"/>
      <c r="X78" s="320"/>
      <c r="Y78" s="320"/>
      <c r="Z78" s="312"/>
      <c r="AA78" s="312"/>
      <c r="AB78" s="312"/>
      <c r="AC78" s="296"/>
      <c r="AD78" s="296"/>
      <c r="AE78" s="296"/>
      <c r="AF78" s="296"/>
      <c r="AG78" s="296"/>
      <c r="AH78" s="296"/>
      <c r="AI78" s="296"/>
      <c r="AJ78" s="296"/>
    </row>
    <row r="79">
      <c r="A79" s="297" t="str">
        <f t="shared" ref="A79:E79" si="42">A26</f>
        <v>MMKO</v>
      </c>
      <c r="B79" s="13" t="str">
        <f t="shared" si="42"/>
        <v>K</v>
      </c>
      <c r="C79" s="13" t="str">
        <f t="shared" si="42"/>
        <v>緬甸元</v>
      </c>
      <c r="D79" s="16" t="str">
        <f t="shared" si="42"/>
        <v/>
      </c>
      <c r="E79" s="316">
        <f t="shared" si="42"/>
        <v>0.25</v>
      </c>
      <c r="F79" s="330">
        <f t="shared" ref="F79:I79" si="43">HLOOKUP(F26,$F$1:$AI$2,2) * $D$1 * $E79</f>
        <v>50</v>
      </c>
      <c r="G79" s="329">
        <f t="shared" si="43"/>
        <v>500</v>
      </c>
      <c r="H79" s="329">
        <f t="shared" si="43"/>
        <v>5000</v>
      </c>
      <c r="I79" s="329">
        <f t="shared" si="43"/>
        <v>37500</v>
      </c>
      <c r="J79" s="326"/>
      <c r="K79" s="326"/>
      <c r="L79" s="326"/>
      <c r="M79" s="326"/>
      <c r="N79" s="326"/>
      <c r="O79" s="326"/>
      <c r="P79" s="326"/>
      <c r="Q79" s="326"/>
      <c r="R79" s="320"/>
      <c r="S79" s="320"/>
      <c r="T79" s="320"/>
      <c r="U79" s="320"/>
      <c r="V79" s="320"/>
      <c r="W79" s="320"/>
      <c r="X79" s="320"/>
      <c r="Y79" s="320"/>
      <c r="Z79" s="312"/>
      <c r="AA79" s="312"/>
      <c r="AB79" s="312"/>
      <c r="AC79" s="296"/>
      <c r="AD79" s="296"/>
      <c r="AE79" s="296"/>
      <c r="AF79" s="296"/>
      <c r="AG79" s="296"/>
      <c r="AH79" s="296"/>
      <c r="AI79" s="296"/>
      <c r="AJ79" s="296"/>
    </row>
    <row r="80">
      <c r="A80" s="297" t="str">
        <f t="shared" ref="A80:E80" si="44">A27</f>
        <v>IDRO</v>
      </c>
      <c r="B80" s="13" t="str">
        <f t="shared" si="44"/>
        <v>Rp</v>
      </c>
      <c r="C80" s="13" t="str">
        <f t="shared" si="44"/>
        <v>印尼盧比</v>
      </c>
      <c r="D80" s="16" t="str">
        <f t="shared" si="44"/>
        <v/>
      </c>
      <c r="E80" s="316">
        <f t="shared" si="44"/>
        <v>2</v>
      </c>
      <c r="F80" s="330">
        <f t="shared" ref="F80:I80" si="45">HLOOKUP(F27,$F$1:$AI$2,2) * $D$1 * $E80</f>
        <v>200</v>
      </c>
      <c r="G80" s="329">
        <f t="shared" si="45"/>
        <v>2000</v>
      </c>
      <c r="H80" s="329">
        <f t="shared" si="45"/>
        <v>20000</v>
      </c>
      <c r="I80" s="329">
        <f t="shared" si="45"/>
        <v>300000</v>
      </c>
      <c r="J80" s="326"/>
      <c r="K80" s="326"/>
      <c r="L80" s="326"/>
      <c r="M80" s="326"/>
      <c r="N80" s="326"/>
      <c r="O80" s="326"/>
      <c r="P80" s="326"/>
      <c r="Q80" s="326"/>
      <c r="R80" s="320"/>
      <c r="S80" s="320"/>
      <c r="T80" s="320"/>
      <c r="U80" s="320"/>
      <c r="V80" s="320"/>
      <c r="W80" s="320"/>
      <c r="X80" s="320"/>
      <c r="Y80" s="320"/>
      <c r="Z80" s="312"/>
      <c r="AA80" s="312"/>
      <c r="AB80" s="312"/>
      <c r="AC80" s="296"/>
      <c r="AD80" s="296"/>
      <c r="AE80" s="296"/>
      <c r="AF80" s="296"/>
      <c r="AG80" s="296"/>
      <c r="AH80" s="296"/>
      <c r="AI80" s="296"/>
      <c r="AJ80" s="296"/>
    </row>
    <row r="81" ht="16.5" customHeight="1">
      <c r="A81" s="297" t="str">
        <f t="shared" ref="A81:E81" si="46">A28</f>
        <v>RUB</v>
      </c>
      <c r="B81" s="13" t="str">
        <f t="shared" si="46"/>
        <v>₽</v>
      </c>
      <c r="C81" s="13" t="str">
        <f t="shared" si="46"/>
        <v>盧布</v>
      </c>
      <c r="D81" s="16" t="str">
        <f t="shared" si="46"/>
        <v/>
      </c>
      <c r="E81" s="316">
        <f t="shared" si="46"/>
        <v>0.02</v>
      </c>
      <c r="F81" s="325">
        <f t="shared" ref="F81:I81" si="47">HLOOKUP(F28,$F$1:$AI$2,2) * $D$1 * $E81</f>
        <v>2</v>
      </c>
      <c r="G81" s="325">
        <f t="shared" si="47"/>
        <v>20</v>
      </c>
      <c r="H81" s="325">
        <f t="shared" si="47"/>
        <v>200</v>
      </c>
      <c r="I81" s="325">
        <f t="shared" si="47"/>
        <v>2000</v>
      </c>
      <c r="J81" s="326"/>
      <c r="K81" s="326"/>
      <c r="L81" s="326"/>
      <c r="M81" s="326"/>
      <c r="N81" s="326"/>
      <c r="O81" s="326"/>
      <c r="P81" s="326"/>
      <c r="Q81" s="326"/>
      <c r="R81" s="320"/>
      <c r="S81" s="320"/>
      <c r="T81" s="320"/>
      <c r="U81" s="320"/>
      <c r="V81" s="320"/>
      <c r="W81" s="320"/>
      <c r="X81" s="320"/>
      <c r="Y81" s="320"/>
      <c r="Z81" s="312"/>
      <c r="AA81" s="312"/>
      <c r="AB81" s="312"/>
      <c r="AC81" s="296"/>
      <c r="AD81" s="296"/>
      <c r="AE81" s="296"/>
      <c r="AF81" s="296"/>
      <c r="AG81" s="296"/>
      <c r="AH81" s="296"/>
      <c r="AI81" s="296"/>
      <c r="AJ81" s="296"/>
    </row>
    <row r="82" ht="16.5" customHeight="1">
      <c r="A82" s="297" t="str">
        <f t="shared" ref="A82:E82" si="48">A29</f>
        <v>LKR</v>
      </c>
      <c r="B82" s="13" t="str">
        <f t="shared" si="48"/>
        <v>₨</v>
      </c>
      <c r="C82" s="13" t="str">
        <f t="shared" si="48"/>
        <v>斯里蘭卡盧比</v>
      </c>
      <c r="D82" s="16" t="str">
        <f t="shared" si="48"/>
        <v/>
      </c>
      <c r="E82" s="316">
        <f t="shared" si="48"/>
        <v>0.05</v>
      </c>
      <c r="F82" s="325">
        <f t="shared" ref="F82:I82" si="49">HLOOKUP(F29,$F$1:$AI$2,2) * $D$1 * $E82</f>
        <v>10</v>
      </c>
      <c r="G82" s="325">
        <f t="shared" si="49"/>
        <v>100</v>
      </c>
      <c r="H82" s="325">
        <f t="shared" si="49"/>
        <v>1000</v>
      </c>
      <c r="I82" s="325">
        <f t="shared" si="49"/>
        <v>5000</v>
      </c>
      <c r="J82" s="326"/>
      <c r="K82" s="326"/>
      <c r="L82" s="326"/>
      <c r="M82" s="326"/>
      <c r="N82" s="326"/>
      <c r="O82" s="326"/>
      <c r="P82" s="326"/>
      <c r="Q82" s="326"/>
      <c r="R82" s="320"/>
      <c r="S82" s="320"/>
      <c r="T82" s="320"/>
      <c r="U82" s="320"/>
      <c r="V82" s="320"/>
      <c r="W82" s="320"/>
      <c r="X82" s="320"/>
      <c r="Y82" s="320"/>
      <c r="Z82" s="312"/>
      <c r="AA82" s="312"/>
      <c r="AB82" s="312"/>
      <c r="AC82" s="296"/>
      <c r="AD82" s="296"/>
      <c r="AE82" s="296"/>
      <c r="AF82" s="296"/>
      <c r="AG82" s="296"/>
      <c r="AH82" s="296"/>
      <c r="AI82" s="296"/>
      <c r="AJ82" s="296"/>
    </row>
    <row r="83" ht="16.5" customHeight="1">
      <c r="A83" s="297" t="str">
        <f t="shared" ref="A83:E83" si="50">A30</f>
        <v>ETB</v>
      </c>
      <c r="B83" s="13" t="str">
        <f t="shared" si="50"/>
        <v>Br‎</v>
      </c>
      <c r="C83" s="13" t="str">
        <f t="shared" si="50"/>
        <v>衣索比亞比爾</v>
      </c>
      <c r="D83" s="16" t="str">
        <f t="shared" si="50"/>
        <v/>
      </c>
      <c r="E83" s="316">
        <f t="shared" si="50"/>
        <v>0.01</v>
      </c>
      <c r="F83" s="325">
        <f t="shared" ref="F83:I83" si="51">HLOOKUP(F30,$F$1:$AI$2,2) * $D$1 * $E83</f>
        <v>1</v>
      </c>
      <c r="G83" s="325">
        <f t="shared" si="51"/>
        <v>10</v>
      </c>
      <c r="H83" s="325">
        <f t="shared" si="51"/>
        <v>100</v>
      </c>
      <c r="I83" s="325">
        <f t="shared" si="51"/>
        <v>1000</v>
      </c>
      <c r="J83" s="326"/>
      <c r="K83" s="326"/>
      <c r="L83" s="326"/>
      <c r="M83" s="326"/>
      <c r="N83" s="326"/>
      <c r="O83" s="326"/>
      <c r="P83" s="326"/>
      <c r="Q83" s="326"/>
      <c r="R83" s="320"/>
      <c r="S83" s="320"/>
      <c r="T83" s="320"/>
      <c r="U83" s="320"/>
      <c r="V83" s="320"/>
      <c r="W83" s="320"/>
      <c r="X83" s="320"/>
      <c r="Y83" s="320"/>
      <c r="Z83" s="312"/>
      <c r="AA83" s="312"/>
      <c r="AB83" s="312"/>
      <c r="AC83" s="296"/>
      <c r="AD83" s="296"/>
      <c r="AE83" s="296"/>
      <c r="AF83" s="296"/>
      <c r="AG83" s="296"/>
      <c r="AH83" s="296"/>
      <c r="AI83" s="296"/>
      <c r="AJ83" s="296"/>
    </row>
    <row r="84" ht="16.5" customHeight="1">
      <c r="A84" s="297" t="str">
        <f t="shared" ref="A84:E84" si="52">A31</f>
        <v>UGX</v>
      </c>
      <c r="B84" s="13" t="str">
        <f t="shared" si="52"/>
        <v>USh</v>
      </c>
      <c r="C84" s="13" t="str">
        <f t="shared" si="52"/>
        <v>烏干達先令</v>
      </c>
      <c r="D84" s="16" t="str">
        <f t="shared" si="52"/>
        <v/>
      </c>
      <c r="E84" s="316">
        <f t="shared" si="52"/>
        <v>0.5</v>
      </c>
      <c r="F84" s="330">
        <f t="shared" ref="F84:I84" si="53">HLOOKUP(F31,$F$1:$AI$2,2) * $D$1 * $E84</f>
        <v>50</v>
      </c>
      <c r="G84" s="329">
        <f t="shared" si="53"/>
        <v>500</v>
      </c>
      <c r="H84" s="329">
        <f t="shared" si="53"/>
        <v>5000</v>
      </c>
      <c r="I84" s="329">
        <f t="shared" si="53"/>
        <v>50000</v>
      </c>
      <c r="J84" s="326"/>
      <c r="K84" s="326"/>
      <c r="L84" s="326"/>
      <c r="M84" s="326"/>
      <c r="N84" s="326"/>
      <c r="O84" s="326"/>
      <c r="P84" s="326"/>
      <c r="Q84" s="326"/>
      <c r="R84" s="320"/>
      <c r="S84" s="320"/>
      <c r="T84" s="320"/>
      <c r="U84" s="320"/>
      <c r="V84" s="320"/>
      <c r="W84" s="320"/>
      <c r="X84" s="320"/>
      <c r="Y84" s="320"/>
      <c r="Z84" s="312"/>
      <c r="AA84" s="312"/>
      <c r="AB84" s="312"/>
      <c r="AC84" s="296"/>
      <c r="AD84" s="296"/>
      <c r="AE84" s="296"/>
      <c r="AF84" s="296"/>
      <c r="AG84" s="296"/>
      <c r="AH84" s="296"/>
      <c r="AI84" s="296"/>
      <c r="AJ84" s="296"/>
    </row>
    <row r="85" ht="16.5" customHeight="1">
      <c r="A85" s="297" t="str">
        <f t="shared" ref="A85:E85" si="54">A32</f>
        <v>EUR</v>
      </c>
      <c r="B85" s="13" t="str">
        <f t="shared" si="54"/>
        <v>€</v>
      </c>
      <c r="C85" s="13" t="str">
        <f t="shared" si="54"/>
        <v>歐元</v>
      </c>
      <c r="D85" s="16" t="str">
        <f t="shared" si="54"/>
        <v/>
      </c>
      <c r="E85" s="316">
        <f t="shared" si="54"/>
        <v>0.001</v>
      </c>
      <c r="F85" s="330">
        <f t="shared" ref="F85:I85" si="55">HLOOKUP(F32,$F$1:$AI$2,2) * $D$1 * $E85</f>
        <v>1</v>
      </c>
      <c r="G85" s="325">
        <f t="shared" si="55"/>
        <v>5</v>
      </c>
      <c r="H85" s="325">
        <f t="shared" si="55"/>
        <v>10</v>
      </c>
      <c r="I85" s="325">
        <f t="shared" si="55"/>
        <v>20</v>
      </c>
      <c r="J85" s="326"/>
      <c r="K85" s="326"/>
      <c r="L85" s="326"/>
      <c r="M85" s="326"/>
      <c r="N85" s="326"/>
      <c r="O85" s="326"/>
      <c r="P85" s="326"/>
      <c r="Q85" s="326"/>
      <c r="R85" s="320"/>
      <c r="S85" s="320"/>
      <c r="T85" s="320"/>
      <c r="U85" s="320"/>
      <c r="V85" s="320"/>
      <c r="W85" s="320"/>
      <c r="X85" s="320"/>
      <c r="Y85" s="320"/>
      <c r="Z85" s="312"/>
      <c r="AA85" s="312"/>
      <c r="AB85" s="312"/>
      <c r="AC85" s="296"/>
      <c r="AD85" s="296"/>
      <c r="AE85" s="296"/>
      <c r="AF85" s="296"/>
      <c r="AG85" s="296"/>
      <c r="AH85" s="296"/>
      <c r="AI85" s="296"/>
      <c r="AJ85" s="296"/>
    </row>
    <row r="86" ht="16.5" customHeight="1">
      <c r="A86" s="297" t="str">
        <f t="shared" ref="A86:E86" si="56">A33</f>
        <v>ARS</v>
      </c>
      <c r="B86" s="13" t="str">
        <f t="shared" si="56"/>
        <v>$</v>
      </c>
      <c r="C86" s="13" t="str">
        <f t="shared" si="56"/>
        <v>阿根廷披索</v>
      </c>
      <c r="D86" s="16" t="str">
        <f t="shared" si="56"/>
        <v/>
      </c>
      <c r="E86" s="316">
        <f t="shared" si="56"/>
        <v>0.05</v>
      </c>
      <c r="F86" s="325">
        <f t="shared" ref="F86:I86" si="57">HLOOKUP(F33,$F$1:$AI$2,2) * $D$1 * $E86</f>
        <v>10</v>
      </c>
      <c r="G86" s="325">
        <f t="shared" si="57"/>
        <v>100</v>
      </c>
      <c r="H86" s="325">
        <f t="shared" si="57"/>
        <v>1000</v>
      </c>
      <c r="I86" s="325">
        <f t="shared" si="57"/>
        <v>7500</v>
      </c>
      <c r="J86" s="326"/>
      <c r="K86" s="326"/>
      <c r="L86" s="326"/>
      <c r="M86" s="326"/>
      <c r="N86" s="326"/>
      <c r="O86" s="326"/>
      <c r="P86" s="326"/>
      <c r="Q86" s="326"/>
      <c r="R86" s="320"/>
      <c r="S86" s="320"/>
      <c r="T86" s="320"/>
      <c r="U86" s="320"/>
      <c r="V86" s="320"/>
      <c r="W86" s="320"/>
      <c r="X86" s="320"/>
      <c r="Y86" s="320"/>
      <c r="Z86" s="312"/>
      <c r="AA86" s="312"/>
      <c r="AB86" s="312"/>
      <c r="AC86" s="296"/>
      <c r="AD86" s="296"/>
      <c r="AE86" s="296"/>
      <c r="AF86" s="296"/>
      <c r="AG86" s="296"/>
      <c r="AH86" s="296"/>
      <c r="AI86" s="296"/>
      <c r="AJ86" s="296"/>
    </row>
    <row r="87" ht="16.5" customHeight="1">
      <c r="A87" s="297" t="str">
        <f t="shared" ref="A87:E87" si="58">A34</f>
        <v>NGN</v>
      </c>
      <c r="B87" s="13" t="str">
        <f t="shared" si="58"/>
        <v>₦</v>
      </c>
      <c r="C87" s="13" t="str">
        <f t="shared" si="58"/>
        <v>奈及利亞奈拉</v>
      </c>
      <c r="D87" s="16" t="str">
        <f t="shared" si="58"/>
        <v/>
      </c>
      <c r="E87" s="316">
        <f t="shared" si="58"/>
        <v>0.1</v>
      </c>
      <c r="F87" s="330">
        <f t="shared" ref="F87:I87" si="59">HLOOKUP(F34,$F$1:$AI$2,2) * $D$1 * $E87</f>
        <v>20</v>
      </c>
      <c r="G87" s="329">
        <f t="shared" si="59"/>
        <v>100</v>
      </c>
      <c r="H87" s="329">
        <f t="shared" si="59"/>
        <v>1000</v>
      </c>
      <c r="I87" s="329">
        <f t="shared" si="59"/>
        <v>15000</v>
      </c>
      <c r="J87" s="326"/>
      <c r="K87" s="326"/>
      <c r="L87" s="326"/>
      <c r="M87" s="326"/>
      <c r="N87" s="326"/>
      <c r="O87" s="326"/>
      <c r="P87" s="326"/>
      <c r="Q87" s="326"/>
      <c r="R87" s="320"/>
      <c r="S87" s="320"/>
      <c r="T87" s="320"/>
      <c r="U87" s="320"/>
      <c r="V87" s="320"/>
      <c r="W87" s="320"/>
      <c r="X87" s="320"/>
      <c r="Y87" s="320"/>
      <c r="Z87" s="312"/>
      <c r="AA87" s="312"/>
      <c r="AB87" s="312"/>
      <c r="AC87" s="296"/>
      <c r="AD87" s="296"/>
      <c r="AE87" s="296"/>
      <c r="AF87" s="296"/>
      <c r="AG87" s="296"/>
      <c r="AH87" s="296"/>
      <c r="AI87" s="296"/>
      <c r="AJ87" s="296"/>
    </row>
    <row r="88" ht="16.5" customHeight="1">
      <c r="A88" s="297" t="str">
        <f t="shared" ref="A88:E88" si="60">A35</f>
        <v>KES</v>
      </c>
      <c r="B88" s="13" t="str">
        <f t="shared" si="60"/>
        <v>KSh</v>
      </c>
      <c r="C88" s="13" t="str">
        <f t="shared" si="60"/>
        <v>肯亞先令</v>
      </c>
      <c r="D88" s="16" t="str">
        <f t="shared" si="60"/>
        <v/>
      </c>
      <c r="E88" s="316">
        <f t="shared" si="60"/>
        <v>0.025</v>
      </c>
      <c r="F88" s="330">
        <f t="shared" ref="F88:I88" si="61">HLOOKUP(F35,$F$1:$AI$2,2) * $D$1 * $E88</f>
        <v>10</v>
      </c>
      <c r="G88" s="329">
        <f t="shared" si="61"/>
        <v>100</v>
      </c>
      <c r="H88" s="329">
        <f t="shared" si="61"/>
        <v>500</v>
      </c>
      <c r="I88" s="329">
        <f t="shared" si="61"/>
        <v>2500</v>
      </c>
      <c r="J88" s="326"/>
      <c r="K88" s="326"/>
      <c r="L88" s="326"/>
      <c r="M88" s="326"/>
      <c r="N88" s="326"/>
      <c r="O88" s="326"/>
      <c r="P88" s="326"/>
      <c r="Q88" s="326"/>
      <c r="R88" s="320"/>
      <c r="S88" s="320"/>
      <c r="T88" s="320"/>
      <c r="U88" s="320"/>
      <c r="V88" s="320"/>
      <c r="W88" s="320"/>
      <c r="X88" s="320"/>
      <c r="Y88" s="320"/>
      <c r="Z88" s="312"/>
      <c r="AA88" s="312"/>
      <c r="AB88" s="312"/>
      <c r="AC88" s="296"/>
      <c r="AD88" s="296"/>
      <c r="AE88" s="296"/>
      <c r="AF88" s="296"/>
      <c r="AG88" s="296"/>
      <c r="AH88" s="296"/>
      <c r="AI88" s="296"/>
      <c r="AJ88" s="296"/>
    </row>
    <row r="89" ht="16.5" customHeight="1">
      <c r="A89" s="297" t="str">
        <f t="shared" ref="A89:E89" si="62">A36</f>
        <v>ZAR</v>
      </c>
      <c r="B89" s="13" t="str">
        <f t="shared" si="62"/>
        <v>R</v>
      </c>
      <c r="C89" s="13" t="str">
        <f t="shared" si="62"/>
        <v>南非鍰</v>
      </c>
      <c r="D89" s="16" t="str">
        <f t="shared" si="62"/>
        <v/>
      </c>
      <c r="E89" s="316">
        <f t="shared" si="62"/>
        <v>0.002</v>
      </c>
      <c r="F89" s="329">
        <f t="shared" ref="F89:I89" si="63">HLOOKUP(F36,$F$1:$AI$2,2) * $D$1 * $E89</f>
        <v>2</v>
      </c>
      <c r="G89" s="329">
        <f t="shared" si="63"/>
        <v>10</v>
      </c>
      <c r="H89" s="329">
        <f t="shared" si="63"/>
        <v>50</v>
      </c>
      <c r="I89" s="329">
        <f t="shared" si="63"/>
        <v>300</v>
      </c>
      <c r="J89" s="326"/>
      <c r="K89" s="326"/>
      <c r="L89" s="326"/>
      <c r="M89" s="326"/>
      <c r="N89" s="326"/>
      <c r="O89" s="326"/>
      <c r="P89" s="326"/>
      <c r="Q89" s="326"/>
      <c r="R89" s="320"/>
      <c r="S89" s="320"/>
      <c r="T89" s="320"/>
      <c r="U89" s="320"/>
      <c r="V89" s="320"/>
      <c r="W89" s="320"/>
      <c r="X89" s="320"/>
      <c r="Y89" s="320"/>
      <c r="Z89" s="312"/>
      <c r="AA89" s="312"/>
      <c r="AB89" s="312"/>
      <c r="AC89" s="296"/>
      <c r="AD89" s="296"/>
      <c r="AE89" s="296"/>
      <c r="AF89" s="296"/>
      <c r="AG89" s="296"/>
      <c r="AH89" s="296"/>
      <c r="AI89" s="296"/>
      <c r="AJ89" s="296"/>
    </row>
    <row r="90" ht="16.5" customHeight="1">
      <c r="A90" s="297" t="str">
        <f t="shared" ref="A90:E90" si="64">A37</f>
        <v>TRY</v>
      </c>
      <c r="B90" s="13" t="str">
        <f t="shared" si="64"/>
        <v>₺</v>
      </c>
      <c r="C90" s="13" t="str">
        <f t="shared" si="64"/>
        <v>土耳其里拉</v>
      </c>
      <c r="D90" s="16" t="str">
        <f t="shared" si="64"/>
        <v/>
      </c>
      <c r="E90" s="316">
        <f t="shared" si="64"/>
        <v>0.005</v>
      </c>
      <c r="F90" s="329">
        <f t="shared" ref="F90:I90" si="65">HLOOKUP(F37,$F$1:$AI$2,2) * $D$1 * $E90</f>
        <v>1</v>
      </c>
      <c r="G90" s="329">
        <f t="shared" si="65"/>
        <v>20</v>
      </c>
      <c r="H90" s="329">
        <f t="shared" si="65"/>
        <v>200</v>
      </c>
      <c r="I90" s="329">
        <f t="shared" si="65"/>
        <v>500</v>
      </c>
      <c r="J90" s="326"/>
      <c r="K90" s="326"/>
      <c r="L90" s="326"/>
      <c r="M90" s="326"/>
      <c r="N90" s="326"/>
      <c r="O90" s="326"/>
      <c r="P90" s="326"/>
      <c r="Q90" s="326"/>
      <c r="R90" s="320"/>
      <c r="S90" s="320"/>
      <c r="T90" s="320"/>
      <c r="U90" s="320"/>
      <c r="V90" s="320"/>
      <c r="W90" s="320"/>
      <c r="X90" s="320"/>
      <c r="Y90" s="320"/>
      <c r="Z90" s="312"/>
      <c r="AA90" s="312"/>
      <c r="AB90" s="312"/>
      <c r="AC90" s="296"/>
      <c r="AD90" s="296"/>
      <c r="AE90" s="296"/>
      <c r="AF90" s="296"/>
      <c r="AG90" s="296"/>
      <c r="AH90" s="296"/>
      <c r="AI90" s="296"/>
      <c r="AJ90" s="296"/>
    </row>
    <row r="91" ht="16.5" customHeight="1">
      <c r="A91" s="297" t="str">
        <f t="shared" ref="A91:E91" si="66">A38</f>
        <v>GBP</v>
      </c>
      <c r="B91" s="13" t="str">
        <f t="shared" si="66"/>
        <v>£</v>
      </c>
      <c r="C91" s="13" t="str">
        <f t="shared" si="66"/>
        <v>英鎊</v>
      </c>
      <c r="D91" s="16" t="str">
        <f t="shared" si="66"/>
        <v/>
      </c>
      <c r="E91" s="316">
        <f t="shared" si="66"/>
        <v>0.001</v>
      </c>
      <c r="F91" s="329">
        <f t="shared" ref="F91:I91" si="67">HLOOKUP(F38,$F$1:$AI$2,2) * $D$1 * $E91</f>
        <v>1</v>
      </c>
      <c r="G91" s="329">
        <f t="shared" si="67"/>
        <v>5</v>
      </c>
      <c r="H91" s="329">
        <f t="shared" si="67"/>
        <v>10</v>
      </c>
      <c r="I91" s="329">
        <f t="shared" si="67"/>
        <v>15</v>
      </c>
      <c r="J91" s="326"/>
      <c r="K91" s="326"/>
      <c r="L91" s="326"/>
      <c r="M91" s="326"/>
      <c r="N91" s="326"/>
      <c r="O91" s="326"/>
      <c r="P91" s="326"/>
      <c r="Q91" s="326"/>
      <c r="R91" s="320"/>
      <c r="S91" s="320"/>
      <c r="T91" s="320"/>
      <c r="U91" s="320"/>
      <c r="V91" s="320"/>
      <c r="W91" s="320"/>
      <c r="X91" s="320"/>
      <c r="Y91" s="320"/>
      <c r="Z91" s="312"/>
      <c r="AA91" s="312"/>
      <c r="AB91" s="312"/>
      <c r="AC91" s="296"/>
      <c r="AD91" s="296"/>
      <c r="AE91" s="296"/>
      <c r="AF91" s="296"/>
      <c r="AG91" s="296"/>
      <c r="AH91" s="296"/>
      <c r="AI91" s="296"/>
      <c r="AJ91" s="296"/>
    </row>
    <row r="92" ht="16.5" customHeight="1">
      <c r="A92" s="297" t="str">
        <f t="shared" ref="A92:E92" si="68">A39</f>
        <v>NPR</v>
      </c>
      <c r="B92" s="13" t="str">
        <f t="shared" si="68"/>
        <v>रू</v>
      </c>
      <c r="C92" s="13" t="str">
        <f t="shared" si="68"/>
        <v>尼泊爾盧比</v>
      </c>
      <c r="D92" s="16" t="str">
        <f t="shared" si="68"/>
        <v/>
      </c>
      <c r="E92" s="316">
        <f t="shared" si="68"/>
        <v>0.05</v>
      </c>
      <c r="F92" s="329">
        <f t="shared" ref="F92:I92" si="69">HLOOKUP(F39,$F$1:$AI$2,2) * $D$1 * $E92</f>
        <v>10</v>
      </c>
      <c r="G92" s="329">
        <f t="shared" si="69"/>
        <v>100</v>
      </c>
      <c r="H92" s="329">
        <f t="shared" si="69"/>
        <v>500</v>
      </c>
      <c r="I92" s="329">
        <f t="shared" si="69"/>
        <v>2500</v>
      </c>
      <c r="J92" s="326"/>
      <c r="K92" s="326"/>
      <c r="L92" s="326"/>
      <c r="M92" s="326"/>
      <c r="N92" s="326"/>
      <c r="O92" s="326"/>
      <c r="P92" s="326"/>
      <c r="Q92" s="326"/>
      <c r="R92" s="320"/>
      <c r="S92" s="320"/>
      <c r="T92" s="320"/>
      <c r="U92" s="320"/>
      <c r="V92" s="320"/>
      <c r="W92" s="320"/>
      <c r="X92" s="320"/>
      <c r="Y92" s="320"/>
      <c r="Z92" s="312"/>
      <c r="AA92" s="312"/>
      <c r="AB92" s="312"/>
      <c r="AC92" s="296"/>
      <c r="AD92" s="296"/>
      <c r="AE92" s="296"/>
      <c r="AF92" s="296"/>
      <c r="AG92" s="296"/>
      <c r="AH92" s="296"/>
      <c r="AI92" s="296"/>
      <c r="AJ92" s="296"/>
    </row>
    <row r="93" ht="16.5" customHeight="1">
      <c r="A93" s="297" t="str">
        <f t="shared" ref="A93:E93" si="70">A40</f>
        <v>CHF</v>
      </c>
      <c r="B93" s="13" t="str">
        <f t="shared" si="70"/>
        <v>CHF</v>
      </c>
      <c r="C93" s="13" t="str">
        <f t="shared" si="70"/>
        <v>瑞士法郎</v>
      </c>
      <c r="D93" s="16" t="str">
        <f t="shared" si="70"/>
        <v/>
      </c>
      <c r="E93" s="316">
        <f t="shared" si="70"/>
        <v>0.001</v>
      </c>
      <c r="F93" s="329">
        <f t="shared" ref="F93:I93" si="71">HLOOKUP(F40,$F$1:$AI$2,2) * $D$1 * $E93</f>
        <v>1</v>
      </c>
      <c r="G93" s="329">
        <f t="shared" si="71"/>
        <v>5</v>
      </c>
      <c r="H93" s="329">
        <f t="shared" si="71"/>
        <v>10</v>
      </c>
      <c r="I93" s="329">
        <f t="shared" si="71"/>
        <v>15</v>
      </c>
      <c r="J93" s="326"/>
      <c r="K93" s="326"/>
      <c r="L93" s="326"/>
      <c r="M93" s="326"/>
      <c r="N93" s="326"/>
      <c r="O93" s="326"/>
      <c r="P93" s="326"/>
      <c r="Q93" s="326"/>
      <c r="R93" s="320"/>
      <c r="S93" s="320"/>
      <c r="T93" s="320"/>
      <c r="U93" s="320"/>
      <c r="V93" s="320"/>
      <c r="W93" s="320"/>
      <c r="X93" s="320"/>
      <c r="Y93" s="320"/>
      <c r="Z93" s="312"/>
      <c r="AA93" s="312"/>
      <c r="AB93" s="312"/>
      <c r="AC93" s="296"/>
      <c r="AD93" s="296"/>
      <c r="AE93" s="296"/>
      <c r="AF93" s="296"/>
      <c r="AG93" s="296"/>
      <c r="AH93" s="296"/>
      <c r="AI93" s="296"/>
      <c r="AJ93" s="296"/>
    </row>
    <row r="94" ht="16.5" customHeight="1">
      <c r="A94" s="297" t="str">
        <f t="shared" ref="A94:E94" si="72">A41</f>
        <v>CAD</v>
      </c>
      <c r="B94" s="13" t="str">
        <f t="shared" si="72"/>
        <v>$</v>
      </c>
      <c r="C94" s="13" t="str">
        <f t="shared" si="72"/>
        <v>加幣</v>
      </c>
      <c r="D94" s="16" t="str">
        <f t="shared" si="72"/>
        <v/>
      </c>
      <c r="E94" s="316">
        <f t="shared" si="72"/>
        <v>0.001</v>
      </c>
      <c r="F94" s="329">
        <f t="shared" ref="F94:I94" si="73">HLOOKUP(F41,$F$1:$AI$2,2) * $D$1 * $E94</f>
        <v>1</v>
      </c>
      <c r="G94" s="329">
        <f t="shared" si="73"/>
        <v>5</v>
      </c>
      <c r="H94" s="329">
        <f t="shared" si="73"/>
        <v>10</v>
      </c>
      <c r="I94" s="329">
        <f t="shared" si="73"/>
        <v>25</v>
      </c>
      <c r="J94" s="326"/>
      <c r="K94" s="326"/>
      <c r="L94" s="326"/>
      <c r="M94" s="326"/>
      <c r="N94" s="326"/>
      <c r="O94" s="326"/>
      <c r="P94" s="326"/>
      <c r="Q94" s="326"/>
      <c r="R94" s="320"/>
      <c r="S94" s="320"/>
      <c r="T94" s="320"/>
      <c r="U94" s="320"/>
      <c r="V94" s="320"/>
      <c r="W94" s="320"/>
      <c r="X94" s="320"/>
      <c r="Y94" s="320"/>
      <c r="Z94" s="312"/>
      <c r="AA94" s="312"/>
      <c r="AB94" s="312"/>
      <c r="AC94" s="296"/>
      <c r="AD94" s="296"/>
      <c r="AE94" s="296"/>
      <c r="AF94" s="296"/>
      <c r="AG94" s="296"/>
      <c r="AH94" s="296"/>
      <c r="AI94" s="296"/>
      <c r="AJ94" s="296"/>
    </row>
    <row r="95" ht="16.5" customHeight="1">
      <c r="A95" s="297" t="str">
        <f t="shared" ref="A95:E95" si="74">A42</f>
        <v>PEN</v>
      </c>
      <c r="B95" s="13" t="str">
        <f t="shared" si="74"/>
        <v>PEN</v>
      </c>
      <c r="C95" s="13" t="str">
        <f t="shared" si="74"/>
        <v>秘魯新索爾</v>
      </c>
      <c r="D95" s="16" t="str">
        <f t="shared" si="74"/>
        <v/>
      </c>
      <c r="E95" s="316">
        <f t="shared" si="74"/>
        <v>0.001</v>
      </c>
      <c r="F95" s="329">
        <f t="shared" ref="F95:I95" si="75">HLOOKUP(F42,$F$1:$AI$2,2) * $D$1 * $E95</f>
        <v>1</v>
      </c>
      <c r="G95" s="329">
        <f t="shared" si="75"/>
        <v>5</v>
      </c>
      <c r="H95" s="329">
        <f t="shared" si="75"/>
        <v>10</v>
      </c>
      <c r="I95" s="329">
        <f t="shared" si="75"/>
        <v>50</v>
      </c>
      <c r="J95" s="326"/>
      <c r="K95" s="326"/>
      <c r="L95" s="326"/>
      <c r="M95" s="326"/>
      <c r="N95" s="326"/>
      <c r="O95" s="326"/>
      <c r="P95" s="326"/>
      <c r="Q95" s="326"/>
      <c r="R95" s="320"/>
      <c r="S95" s="320"/>
      <c r="T95" s="320"/>
      <c r="U95" s="320"/>
      <c r="V95" s="320"/>
      <c r="W95" s="320"/>
      <c r="X95" s="320"/>
      <c r="Y95" s="320"/>
      <c r="Z95" s="312"/>
      <c r="AA95" s="312"/>
      <c r="AB95" s="312"/>
      <c r="AC95" s="296"/>
      <c r="AD95" s="296"/>
      <c r="AE95" s="296"/>
      <c r="AF95" s="296"/>
      <c r="AG95" s="296"/>
      <c r="AH95" s="296"/>
      <c r="AI95" s="296"/>
      <c r="AJ95" s="296"/>
    </row>
    <row r="96" ht="16.5" customHeight="1">
      <c r="A96" s="297" t="str">
        <f t="shared" ref="A96:E96" si="76">A43</f>
        <v>AED</v>
      </c>
      <c r="B96" s="13" t="str">
        <f t="shared" si="76"/>
        <v>AED</v>
      </c>
      <c r="C96" s="13" t="str">
        <f t="shared" si="76"/>
        <v>阿聯迪拉姆</v>
      </c>
      <c r="D96" s="16" t="str">
        <f t="shared" si="76"/>
        <v/>
      </c>
      <c r="E96" s="316">
        <f t="shared" si="76"/>
        <v>0.001</v>
      </c>
      <c r="F96" s="329">
        <f t="shared" ref="F96:I96" si="77">HLOOKUP(F43,$F$1:$AI$2,2) * $D$1 * $E96</f>
        <v>1</v>
      </c>
      <c r="G96" s="329">
        <f t="shared" si="77"/>
        <v>5</v>
      </c>
      <c r="H96" s="329">
        <f t="shared" si="77"/>
        <v>10</v>
      </c>
      <c r="I96" s="329">
        <f t="shared" si="77"/>
        <v>50</v>
      </c>
      <c r="J96" s="326"/>
      <c r="K96" s="326"/>
      <c r="L96" s="326"/>
      <c r="M96" s="326"/>
      <c r="N96" s="326"/>
      <c r="O96" s="326"/>
      <c r="P96" s="326"/>
      <c r="Q96" s="326"/>
      <c r="R96" s="320"/>
      <c r="S96" s="320"/>
      <c r="T96" s="320"/>
      <c r="U96" s="320"/>
      <c r="V96" s="320"/>
      <c r="W96" s="320"/>
      <c r="X96" s="320"/>
      <c r="Y96" s="320"/>
      <c r="Z96" s="312"/>
      <c r="AA96" s="312"/>
      <c r="AB96" s="312"/>
      <c r="AC96" s="296"/>
      <c r="AD96" s="296"/>
      <c r="AE96" s="296"/>
      <c r="AF96" s="296"/>
      <c r="AG96" s="296"/>
      <c r="AH96" s="296"/>
      <c r="AI96" s="296"/>
      <c r="AJ96" s="296"/>
    </row>
    <row r="97" ht="16.5" customHeight="1">
      <c r="A97" s="297" t="str">
        <f t="shared" ref="A97:E97" si="78">A44</f>
        <v>BND</v>
      </c>
      <c r="B97" s="13" t="str">
        <f t="shared" si="78"/>
        <v>B$</v>
      </c>
      <c r="C97" s="13" t="str">
        <f t="shared" si="78"/>
        <v>汶萊幣</v>
      </c>
      <c r="D97" s="16" t="str">
        <f t="shared" si="78"/>
        <v/>
      </c>
      <c r="E97" s="316">
        <f t="shared" si="78"/>
        <v>0.001</v>
      </c>
      <c r="F97" s="329">
        <f t="shared" ref="F97:I97" si="79">HLOOKUP(F44,$F$1:$AI$2,2) * $D$1 * $E97</f>
        <v>1</v>
      </c>
      <c r="G97" s="329">
        <f t="shared" si="79"/>
        <v>5</v>
      </c>
      <c r="H97" s="329">
        <f t="shared" si="79"/>
        <v>10</v>
      </c>
      <c r="I97" s="329">
        <f t="shared" si="79"/>
        <v>25</v>
      </c>
      <c r="J97" s="326"/>
      <c r="K97" s="326"/>
      <c r="L97" s="326"/>
      <c r="M97" s="326"/>
      <c r="N97" s="326"/>
      <c r="O97" s="326"/>
      <c r="P97" s="326"/>
      <c r="Q97" s="326"/>
      <c r="R97" s="320"/>
      <c r="S97" s="320"/>
      <c r="T97" s="320"/>
      <c r="U97" s="320"/>
      <c r="V97" s="320"/>
      <c r="W97" s="320"/>
      <c r="X97" s="320"/>
      <c r="Y97" s="320"/>
      <c r="Z97" s="312"/>
      <c r="AA97" s="312"/>
      <c r="AB97" s="312"/>
      <c r="AC97" s="296"/>
      <c r="AD97" s="296"/>
      <c r="AE97" s="296"/>
      <c r="AF97" s="296"/>
      <c r="AG97" s="296"/>
      <c r="AH97" s="296"/>
      <c r="AI97" s="296"/>
      <c r="AJ97" s="296"/>
    </row>
    <row r="98" ht="16.5" customHeight="1">
      <c r="A98" s="297" t="str">
        <f t="shared" ref="A98:E98" si="80">A45</f>
        <v>COP</v>
      </c>
      <c r="B98" s="13" t="str">
        <f t="shared" si="80"/>
        <v>$</v>
      </c>
      <c r="C98" s="13" t="str">
        <f t="shared" si="80"/>
        <v>哥倫比亞披索</v>
      </c>
      <c r="D98" s="16" t="str">
        <f t="shared" si="80"/>
        <v/>
      </c>
      <c r="E98" s="316">
        <f t="shared" si="80"/>
        <v>1</v>
      </c>
      <c r="F98" s="329">
        <f t="shared" ref="F98:I98" si="81">HLOOKUP(F45,$F$1:$AI$2,2) * $D$1 * $E98</f>
        <v>100</v>
      </c>
      <c r="G98" s="329">
        <f t="shared" si="81"/>
        <v>1000</v>
      </c>
      <c r="H98" s="329">
        <f t="shared" si="81"/>
        <v>5000</v>
      </c>
      <c r="I98" s="329">
        <f t="shared" si="81"/>
        <v>50000</v>
      </c>
      <c r="J98" s="326"/>
      <c r="K98" s="326"/>
      <c r="L98" s="326"/>
      <c r="M98" s="326"/>
      <c r="N98" s="326"/>
      <c r="O98" s="326"/>
      <c r="P98" s="326"/>
      <c r="Q98" s="326"/>
      <c r="R98" s="320"/>
      <c r="S98" s="320"/>
      <c r="T98" s="320"/>
      <c r="U98" s="320"/>
      <c r="V98" s="320"/>
      <c r="W98" s="320"/>
      <c r="X98" s="320"/>
      <c r="Y98" s="320"/>
      <c r="Z98" s="312"/>
      <c r="AA98" s="312"/>
      <c r="AB98" s="312"/>
      <c r="AC98" s="296"/>
      <c r="AD98" s="296"/>
      <c r="AE98" s="296"/>
      <c r="AF98" s="296"/>
      <c r="AG98" s="296"/>
      <c r="AH98" s="296"/>
      <c r="AI98" s="296"/>
      <c r="AJ98" s="296"/>
    </row>
    <row r="99" ht="16.5" customHeight="1">
      <c r="A99" s="297" t="str">
        <f t="shared" ref="A99:E99" si="82">A46</f>
        <v>VNDO</v>
      </c>
      <c r="B99" s="13" t="str">
        <f t="shared" si="82"/>
        <v>₫</v>
      </c>
      <c r="C99" s="13" t="str">
        <f t="shared" si="82"/>
        <v>越南盾</v>
      </c>
      <c r="D99" s="16" t="str">
        <f t="shared" si="82"/>
        <v/>
      </c>
      <c r="E99" s="316">
        <f t="shared" si="82"/>
        <v>5</v>
      </c>
      <c r="F99" s="329">
        <f t="shared" ref="F99:I99" si="83">HLOOKUP(F46,$F$1:$AI$2,2) * $D$1 * $E99</f>
        <v>1000</v>
      </c>
      <c r="G99" s="329">
        <f t="shared" si="83"/>
        <v>10000</v>
      </c>
      <c r="H99" s="329">
        <f t="shared" si="83"/>
        <v>100000</v>
      </c>
      <c r="I99" s="329">
        <f t="shared" si="83"/>
        <v>500000</v>
      </c>
      <c r="J99" s="326"/>
      <c r="K99" s="326"/>
      <c r="L99" s="326"/>
      <c r="M99" s="326"/>
      <c r="N99" s="326"/>
      <c r="O99" s="326"/>
      <c r="P99" s="326"/>
      <c r="Q99" s="326"/>
      <c r="R99" s="320"/>
      <c r="S99" s="320"/>
      <c r="T99" s="320"/>
      <c r="U99" s="320"/>
      <c r="V99" s="320"/>
      <c r="W99" s="320"/>
      <c r="X99" s="320"/>
      <c r="Y99" s="320"/>
      <c r="Z99" s="312"/>
      <c r="AA99" s="312"/>
      <c r="AB99" s="312"/>
      <c r="AC99" s="296"/>
      <c r="AD99" s="296"/>
      <c r="AE99" s="296"/>
      <c r="AF99" s="296"/>
      <c r="AG99" s="296"/>
      <c r="AH99" s="296"/>
      <c r="AI99" s="296"/>
      <c r="AJ99" s="296"/>
    </row>
    <row r="100" ht="16.5" customHeight="1">
      <c r="A100" s="297" t="str">
        <f t="shared" ref="A100:E100" si="84">A47</f>
        <v>MYRC</v>
      </c>
      <c r="B100" s="13" t="str">
        <f t="shared" si="84"/>
        <v>RM</v>
      </c>
      <c r="C100" s="13" t="str">
        <f t="shared" si="84"/>
        <v>馬來西亞令吉</v>
      </c>
      <c r="D100" s="16">
        <f t="shared" si="84"/>
        <v>0.01</v>
      </c>
      <c r="E100" s="316">
        <f t="shared" si="84"/>
        <v>0.05</v>
      </c>
      <c r="F100" s="329">
        <f t="shared" ref="F100:I100" si="85">HLOOKUP(F47,$F$1:$AI$2,2) * $D$1 * $E100</f>
        <v>10</v>
      </c>
      <c r="G100" s="329">
        <f t="shared" si="85"/>
        <v>100</v>
      </c>
      <c r="H100" s="329">
        <f t="shared" si="85"/>
        <v>1000</v>
      </c>
      <c r="I100" s="329">
        <f t="shared" si="85"/>
        <v>5000</v>
      </c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283"/>
      <c r="AC100" s="283"/>
      <c r="AD100" s="283"/>
      <c r="AE100" s="283"/>
      <c r="AF100" s="283"/>
      <c r="AG100" s="283"/>
      <c r="AH100" s="283"/>
      <c r="AI100" s="283"/>
      <c r="AJ100" s="283"/>
    </row>
    <row r="101" ht="16.5" customHeight="1">
      <c r="A101" s="297" t="str">
        <f t="shared" ref="A101:E101" si="86">A48</f>
        <v>XSD</v>
      </c>
      <c r="B101" s="13" t="str">
        <f t="shared" si="86"/>
        <v/>
      </c>
      <c r="C101" s="13" t="str">
        <f t="shared" si="86"/>
        <v>星幣</v>
      </c>
      <c r="D101" s="16" t="str">
        <f t="shared" si="86"/>
        <v/>
      </c>
      <c r="E101" s="316">
        <f t="shared" si="86"/>
        <v>1</v>
      </c>
      <c r="F101" s="329">
        <f t="shared" ref="F101:I101" si="87">HLOOKUP(F48,$F$1:$AI$2,2) * $D$1 * $E101</f>
        <v>100</v>
      </c>
      <c r="G101" s="329">
        <f t="shared" si="87"/>
        <v>1000</v>
      </c>
      <c r="H101" s="329">
        <f t="shared" si="87"/>
        <v>10000</v>
      </c>
      <c r="I101" s="329">
        <f t="shared" si="87"/>
        <v>50000</v>
      </c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53"/>
      <c r="AA101" s="172"/>
      <c r="AB101" s="283"/>
      <c r="AC101" s="296"/>
      <c r="AD101" s="296"/>
      <c r="AE101" s="296"/>
      <c r="AF101" s="296"/>
      <c r="AG101" s="296"/>
      <c r="AH101" s="296"/>
      <c r="AI101" s="296"/>
      <c r="AJ101" s="296"/>
    </row>
    <row r="102" ht="16.5" customHeight="1">
      <c r="A102" s="297" t="str">
        <f t="shared" ref="A102:E102" si="88">A49</f>
        <v>DZD</v>
      </c>
      <c r="B102" s="13" t="str">
        <f t="shared" si="88"/>
        <v>دج</v>
      </c>
      <c r="C102" s="13" t="str">
        <f t="shared" si="88"/>
        <v>阿爾及利亞第納爾</v>
      </c>
      <c r="D102" s="16" t="str">
        <f t="shared" si="88"/>
        <v/>
      </c>
      <c r="E102" s="316">
        <f t="shared" si="88"/>
        <v>0.02</v>
      </c>
      <c r="F102" s="329">
        <f t="shared" ref="F102:I102" si="89">HLOOKUP(F49,$F$1:$AI$2,2) * $D$1 * $E102</f>
        <v>2</v>
      </c>
      <c r="G102" s="329">
        <f t="shared" si="89"/>
        <v>20</v>
      </c>
      <c r="H102" s="329">
        <f t="shared" si="89"/>
        <v>200</v>
      </c>
      <c r="I102" s="329">
        <f t="shared" si="89"/>
        <v>2000</v>
      </c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53"/>
      <c r="AA102" s="172"/>
      <c r="AB102" s="283"/>
      <c r="AC102" s="296"/>
      <c r="AD102" s="296"/>
      <c r="AE102" s="296"/>
      <c r="AF102" s="296"/>
      <c r="AG102" s="296"/>
      <c r="AH102" s="296"/>
      <c r="AI102" s="296"/>
      <c r="AJ102" s="296"/>
    </row>
    <row r="103" ht="16.5" customHeight="1">
      <c r="A103" s="297" t="str">
        <f t="shared" ref="A103:E103" si="90">A50</f>
        <v>MAD</v>
      </c>
      <c r="B103" s="13" t="str">
        <f t="shared" si="90"/>
        <v>DH</v>
      </c>
      <c r="C103" s="13" t="str">
        <f t="shared" si="90"/>
        <v>摩洛哥迪拉姆</v>
      </c>
      <c r="D103" s="16" t="str">
        <f t="shared" si="90"/>
        <v/>
      </c>
      <c r="E103" s="316">
        <f t="shared" si="90"/>
        <v>0.001</v>
      </c>
      <c r="F103" s="329">
        <f t="shared" ref="F103:I103" si="91">HLOOKUP(F50,$F$1:$AI$2,2) * $D$1 * $E103</f>
        <v>1</v>
      </c>
      <c r="G103" s="329">
        <f t="shared" si="91"/>
        <v>5</v>
      </c>
      <c r="H103" s="329">
        <f t="shared" si="91"/>
        <v>10</v>
      </c>
      <c r="I103" s="329">
        <f t="shared" si="91"/>
        <v>100</v>
      </c>
      <c r="J103" s="283"/>
      <c r="K103" s="283"/>
      <c r="L103" s="283"/>
      <c r="M103" s="283"/>
      <c r="N103" s="283"/>
      <c r="O103" s="283"/>
      <c r="P103" s="283"/>
      <c r="Q103" s="283"/>
      <c r="R103" s="283"/>
      <c r="S103" s="172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96"/>
      <c r="AD103" s="296"/>
      <c r="AE103" s="296"/>
      <c r="AF103" s="296"/>
      <c r="AG103" s="296"/>
      <c r="AH103" s="296"/>
      <c r="AI103" s="296"/>
      <c r="AJ103" s="296"/>
    </row>
    <row r="104" ht="16.5" customHeight="1">
      <c r="A104" s="297" t="str">
        <f t="shared" ref="A104:E104" si="92">A51</f>
        <v>FRF</v>
      </c>
      <c r="B104" s="13" t="str">
        <f t="shared" si="92"/>
        <v>₣</v>
      </c>
      <c r="C104" s="13" t="str">
        <f t="shared" si="92"/>
        <v>法國法郎</v>
      </c>
      <c r="D104" s="16" t="str">
        <f t="shared" si="92"/>
        <v/>
      </c>
      <c r="E104" s="316">
        <f t="shared" si="92"/>
        <v>0.001</v>
      </c>
      <c r="F104" s="329">
        <f t="shared" ref="F104:I104" si="93">HLOOKUP(F51,$F$1:$AI$2,2) * $D$1 * $E104</f>
        <v>1</v>
      </c>
      <c r="G104" s="329">
        <f t="shared" si="93"/>
        <v>5</v>
      </c>
      <c r="H104" s="329">
        <f t="shared" si="93"/>
        <v>10</v>
      </c>
      <c r="I104" s="329">
        <f t="shared" si="93"/>
        <v>100</v>
      </c>
      <c r="J104" s="283"/>
      <c r="K104" s="283"/>
      <c r="L104" s="283"/>
      <c r="M104" s="283"/>
      <c r="N104" s="283"/>
      <c r="O104" s="283"/>
      <c r="P104" s="283"/>
      <c r="Q104" s="283"/>
      <c r="R104" s="283"/>
      <c r="S104" s="172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96"/>
      <c r="AD104" s="296"/>
      <c r="AE104" s="296"/>
      <c r="AF104" s="296"/>
      <c r="AG104" s="296"/>
      <c r="AH104" s="296"/>
      <c r="AI104" s="296"/>
      <c r="AJ104" s="296"/>
    </row>
    <row r="105" ht="16.5" customHeight="1">
      <c r="A105" s="297" t="str">
        <f t="shared" ref="A105:E105" si="94">A52</f>
        <v>GHS</v>
      </c>
      <c r="B105" s="13" t="str">
        <f t="shared" si="94"/>
        <v>Gp</v>
      </c>
      <c r="C105" s="13" t="str">
        <f t="shared" si="94"/>
        <v>迦納塞地</v>
      </c>
      <c r="D105" s="16" t="str">
        <f t="shared" si="94"/>
        <v/>
      </c>
      <c r="E105" s="316">
        <f t="shared" si="94"/>
        <v>0.001</v>
      </c>
      <c r="F105" s="329">
        <f t="shared" ref="F105:I105" si="95">HLOOKUP(F52,$F$1:$AI$2,2) * $D$1 * $E105</f>
        <v>1</v>
      </c>
      <c r="G105" s="329">
        <f t="shared" si="95"/>
        <v>5</v>
      </c>
      <c r="H105" s="329">
        <f t="shared" si="95"/>
        <v>10</v>
      </c>
      <c r="I105" s="329">
        <f t="shared" si="95"/>
        <v>100</v>
      </c>
      <c r="J105" s="283"/>
      <c r="K105" s="283"/>
      <c r="L105" s="283"/>
      <c r="M105" s="283"/>
      <c r="N105" s="283"/>
      <c r="O105" s="283"/>
      <c r="P105" s="283"/>
      <c r="Q105" s="283"/>
      <c r="R105" s="283"/>
      <c r="S105" s="172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96"/>
      <c r="AD105" s="296"/>
      <c r="AE105" s="296"/>
      <c r="AF105" s="296"/>
      <c r="AG105" s="296"/>
      <c r="AH105" s="296"/>
      <c r="AI105" s="296"/>
      <c r="AJ105" s="296"/>
    </row>
    <row r="106" ht="16.5" customHeight="1">
      <c r="A106" s="297" t="str">
        <f t="shared" ref="A106:E106" si="96">A53</f>
        <v>RCC</v>
      </c>
      <c r="B106" s="13" t="str">
        <f t="shared" si="96"/>
        <v/>
      </c>
      <c r="C106" s="13" t="str">
        <f t="shared" si="96"/>
        <v>RCC幣</v>
      </c>
      <c r="D106" s="16" t="str">
        <f t="shared" si="96"/>
        <v/>
      </c>
      <c r="E106" s="328">
        <f t="shared" si="96"/>
        <v>0.001</v>
      </c>
      <c r="F106" s="325">
        <f t="shared" ref="F106:I106" si="97">HLOOKUP(F53,$F$1:$AI$2,2) * $D$1 * $E106</f>
        <v>1</v>
      </c>
      <c r="G106" s="325">
        <f t="shared" si="97"/>
        <v>5</v>
      </c>
      <c r="H106" s="325">
        <f t="shared" si="97"/>
        <v>10</v>
      </c>
      <c r="I106" s="325">
        <f t="shared" si="97"/>
        <v>20</v>
      </c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96"/>
      <c r="AD106" s="296"/>
      <c r="AE106" s="296"/>
      <c r="AF106" s="296"/>
      <c r="AG106" s="296"/>
      <c r="AH106" s="296"/>
      <c r="AI106" s="296"/>
      <c r="AJ106" s="296"/>
    </row>
    <row r="107" ht="16.5" customHeight="1">
      <c r="A107" s="297" t="str">
        <f t="shared" ref="A107:E107" si="98">A54</f>
        <v>KBB</v>
      </c>
      <c r="B107" s="13" t="str">
        <f t="shared" si="98"/>
        <v/>
      </c>
      <c r="C107" s="13" t="str">
        <f t="shared" si="98"/>
        <v>爸幣</v>
      </c>
      <c r="D107" s="16" t="str">
        <f t="shared" si="98"/>
        <v/>
      </c>
      <c r="E107" s="328">
        <f t="shared" si="98"/>
        <v>0.05</v>
      </c>
      <c r="F107" s="325">
        <f t="shared" ref="F107:I107" si="99">HLOOKUP(F54,$F$1:$AI$2,2) * $D$1 * $E107</f>
        <v>5</v>
      </c>
      <c r="G107" s="325">
        <f t="shared" si="99"/>
        <v>50</v>
      </c>
      <c r="H107" s="325">
        <f t="shared" si="99"/>
        <v>500</v>
      </c>
      <c r="I107" s="325">
        <f t="shared" si="99"/>
        <v>5000</v>
      </c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96"/>
      <c r="AD107" s="296"/>
      <c r="AE107" s="296"/>
      <c r="AF107" s="296"/>
      <c r="AG107" s="296"/>
      <c r="AH107" s="296"/>
      <c r="AI107" s="296"/>
      <c r="AJ107" s="296"/>
    </row>
    <row r="108" ht="16.5" customHeight="1">
      <c r="A108" s="297" t="str">
        <f t="shared" ref="A108:E108" si="100">A55</f>
        <v>XSMY</v>
      </c>
      <c r="B108" s="13" t="str">
        <f t="shared" si="100"/>
        <v/>
      </c>
      <c r="C108" s="13" t="str">
        <f t="shared" si="100"/>
        <v>星城馬來西亞</v>
      </c>
      <c r="D108" s="16" t="str">
        <f t="shared" si="100"/>
        <v/>
      </c>
      <c r="E108" s="328">
        <f t="shared" si="100"/>
        <v>1</v>
      </c>
      <c r="F108" s="325">
        <f t="shared" ref="F108:I108" si="101">HLOOKUP(F55,$F$1:$AI$2,2) * $D$1 * $E108</f>
        <v>100</v>
      </c>
      <c r="G108" s="325">
        <f t="shared" si="101"/>
        <v>1000</v>
      </c>
      <c r="H108" s="325">
        <f t="shared" si="101"/>
        <v>10000</v>
      </c>
      <c r="I108" s="325">
        <f t="shared" si="101"/>
        <v>50000</v>
      </c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96"/>
      <c r="AD108" s="296"/>
      <c r="AE108" s="296"/>
      <c r="AF108" s="296"/>
      <c r="AG108" s="296"/>
      <c r="AH108" s="296"/>
      <c r="AI108" s="296"/>
      <c r="AJ108" s="296"/>
    </row>
    <row r="109" ht="16.5" customHeight="1">
      <c r="A109" s="331"/>
      <c r="B109" s="331"/>
      <c r="C109" s="331"/>
      <c r="D109" s="332"/>
      <c r="E109" s="333"/>
      <c r="F109" s="332"/>
      <c r="G109" s="332"/>
      <c r="H109" s="332"/>
      <c r="I109" s="334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96"/>
      <c r="AD109" s="296"/>
      <c r="AE109" s="296"/>
      <c r="AF109" s="296"/>
      <c r="AG109" s="296"/>
      <c r="AH109" s="296"/>
      <c r="AI109" s="296"/>
      <c r="AJ109" s="296"/>
    </row>
    <row r="110" ht="16.5" customHeight="1">
      <c r="A110" s="331"/>
      <c r="B110" s="331"/>
      <c r="C110" s="331"/>
      <c r="D110" s="332"/>
      <c r="E110" s="333"/>
      <c r="F110" s="335"/>
      <c r="G110" s="332"/>
      <c r="H110" s="332"/>
      <c r="I110" s="334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96"/>
      <c r="AD110" s="296"/>
      <c r="AE110" s="296"/>
      <c r="AF110" s="296"/>
      <c r="AG110" s="296"/>
      <c r="AH110" s="296"/>
      <c r="AI110" s="296"/>
      <c r="AJ110" s="296"/>
    </row>
    <row r="111" ht="16.5" customHeight="1">
      <c r="A111" s="331"/>
      <c r="B111" s="331"/>
      <c r="C111" s="331"/>
      <c r="D111" s="332"/>
      <c r="E111" s="333"/>
      <c r="F111" s="335"/>
      <c r="G111" s="332"/>
      <c r="H111" s="332"/>
      <c r="I111" s="334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96"/>
      <c r="AD111" s="296"/>
      <c r="AE111" s="296"/>
      <c r="AF111" s="296"/>
      <c r="AG111" s="296"/>
      <c r="AH111" s="296"/>
      <c r="AI111" s="296"/>
      <c r="AJ111" s="296"/>
    </row>
    <row r="112" ht="16.5" customHeight="1">
      <c r="A112" s="331"/>
      <c r="B112" s="331"/>
      <c r="C112" s="331"/>
      <c r="D112" s="332"/>
      <c r="E112" s="333"/>
      <c r="F112" s="335"/>
      <c r="G112" s="332"/>
      <c r="H112" s="332"/>
      <c r="I112" s="334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96"/>
      <c r="AD112" s="296"/>
      <c r="AE112" s="296"/>
      <c r="AF112" s="296"/>
      <c r="AG112" s="296"/>
      <c r="AH112" s="296"/>
      <c r="AI112" s="296"/>
      <c r="AJ112" s="296"/>
    </row>
    <row r="113" ht="16.5" customHeight="1">
      <c r="A113" s="331"/>
      <c r="B113" s="331"/>
      <c r="C113" s="331"/>
      <c r="D113" s="332"/>
      <c r="E113" s="333"/>
      <c r="F113" s="335"/>
      <c r="G113" s="332"/>
      <c r="H113" s="332"/>
      <c r="I113" s="334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96"/>
      <c r="AD113" s="296"/>
      <c r="AE113" s="296"/>
      <c r="AF113" s="296"/>
      <c r="AG113" s="296"/>
      <c r="AH113" s="296"/>
      <c r="AI113" s="296"/>
      <c r="AJ113" s="296"/>
    </row>
    <row r="114" ht="16.5" customHeight="1">
      <c r="A114" s="331"/>
      <c r="B114" s="331"/>
      <c r="C114" s="331"/>
      <c r="D114" s="332"/>
      <c r="E114" s="333"/>
      <c r="F114" s="335"/>
      <c r="G114" s="332"/>
      <c r="H114" s="332"/>
      <c r="I114" s="334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96"/>
      <c r="AD114" s="296"/>
      <c r="AE114" s="296"/>
      <c r="AF114" s="296"/>
      <c r="AG114" s="296"/>
      <c r="AH114" s="296"/>
      <c r="AI114" s="296"/>
      <c r="AJ114" s="296"/>
    </row>
    <row r="115" ht="16.5" customHeight="1">
      <c r="A115" s="331"/>
      <c r="B115" s="331"/>
      <c r="C115" s="331"/>
      <c r="D115" s="332"/>
      <c r="E115" s="333"/>
      <c r="F115" s="336"/>
      <c r="G115" s="336"/>
      <c r="H115" s="336"/>
      <c r="I115" s="336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96"/>
      <c r="AD115" s="296"/>
      <c r="AE115" s="296"/>
      <c r="AF115" s="296"/>
      <c r="AG115" s="296"/>
      <c r="AH115" s="296"/>
      <c r="AI115" s="296"/>
      <c r="AJ115" s="296"/>
    </row>
    <row r="116" ht="16.5" customHeight="1">
      <c r="A116" s="331"/>
      <c r="B116" s="331"/>
      <c r="C116" s="331"/>
      <c r="D116" s="332"/>
      <c r="E116" s="333"/>
      <c r="F116" s="336"/>
      <c r="G116" s="336"/>
      <c r="H116" s="336"/>
      <c r="I116" s="336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96"/>
      <c r="AD116" s="296"/>
      <c r="AE116" s="296"/>
      <c r="AF116" s="296"/>
      <c r="AG116" s="296"/>
      <c r="AH116" s="296"/>
      <c r="AI116" s="296"/>
      <c r="AJ116" s="296"/>
    </row>
    <row r="117" ht="16.5" customHeight="1">
      <c r="A117" s="331"/>
      <c r="B117" s="331"/>
      <c r="C117" s="331"/>
      <c r="D117" s="332"/>
      <c r="E117" s="333"/>
      <c r="F117" s="336"/>
      <c r="G117" s="336"/>
      <c r="H117" s="336"/>
      <c r="I117" s="336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96"/>
      <c r="AD117" s="296"/>
      <c r="AE117" s="296"/>
      <c r="AF117" s="296"/>
      <c r="AG117" s="296"/>
      <c r="AH117" s="296"/>
      <c r="AI117" s="296"/>
      <c r="AJ117" s="296"/>
    </row>
    <row r="118" ht="16.5" customHeight="1">
      <c r="A118" s="331"/>
      <c r="B118" s="331"/>
      <c r="C118" s="331"/>
      <c r="D118" s="332"/>
      <c r="E118" s="333"/>
      <c r="F118" s="335"/>
      <c r="G118" s="332"/>
      <c r="H118" s="332"/>
      <c r="I118" s="334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96"/>
      <c r="AD118" s="296"/>
      <c r="AE118" s="296"/>
      <c r="AF118" s="296"/>
      <c r="AG118" s="296"/>
      <c r="AH118" s="296"/>
      <c r="AI118" s="296"/>
      <c r="AJ118" s="296"/>
    </row>
    <row r="119" ht="16.5" customHeight="1">
      <c r="A119" s="331"/>
      <c r="B119" s="331"/>
      <c r="C119" s="331"/>
      <c r="D119" s="336"/>
      <c r="E119" s="337"/>
      <c r="F119" s="336"/>
      <c r="G119" s="336"/>
      <c r="H119" s="336"/>
      <c r="I119" s="336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96"/>
      <c r="AD119" s="296"/>
      <c r="AE119" s="296"/>
      <c r="AF119" s="296"/>
      <c r="AG119" s="296"/>
      <c r="AH119" s="296"/>
      <c r="AI119" s="296"/>
      <c r="AJ119" s="296"/>
    </row>
    <row r="120" ht="16.5" customHeight="1">
      <c r="A120" s="331"/>
      <c r="B120" s="331"/>
      <c r="C120" s="331"/>
      <c r="D120" s="332"/>
      <c r="E120" s="333"/>
      <c r="F120" s="336"/>
      <c r="G120" s="336"/>
      <c r="H120" s="336"/>
      <c r="I120" s="336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96"/>
      <c r="AD120" s="296"/>
      <c r="AE120" s="296"/>
      <c r="AF120" s="296"/>
      <c r="AG120" s="296"/>
      <c r="AH120" s="296"/>
      <c r="AI120" s="296"/>
      <c r="AJ120" s="296"/>
    </row>
    <row r="121" ht="16.5" customHeight="1">
      <c r="A121" s="331"/>
      <c r="B121" s="331"/>
      <c r="C121" s="331"/>
      <c r="D121" s="332"/>
      <c r="E121" s="333"/>
      <c r="F121" s="335"/>
      <c r="G121" s="332"/>
      <c r="H121" s="332"/>
      <c r="I121" s="332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96"/>
      <c r="AD121" s="296"/>
      <c r="AE121" s="296"/>
      <c r="AF121" s="296"/>
      <c r="AG121" s="296"/>
      <c r="AH121" s="296"/>
      <c r="AI121" s="296"/>
      <c r="AJ121" s="296"/>
    </row>
    <row r="122" ht="16.5" customHeight="1">
      <c r="A122" s="331"/>
      <c r="B122" s="331"/>
      <c r="C122" s="331"/>
      <c r="D122" s="332"/>
      <c r="E122" s="333"/>
      <c r="F122" s="335"/>
      <c r="G122" s="332"/>
      <c r="H122" s="332"/>
      <c r="I122" s="332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96"/>
      <c r="AD122" s="296"/>
      <c r="AE122" s="296"/>
      <c r="AF122" s="296"/>
      <c r="AG122" s="296"/>
      <c r="AH122" s="296"/>
      <c r="AI122" s="296"/>
      <c r="AJ122" s="296"/>
    </row>
    <row r="123" ht="16.5" customHeight="1">
      <c r="A123" s="331"/>
      <c r="B123" s="331"/>
      <c r="C123" s="331"/>
      <c r="D123" s="332"/>
      <c r="E123" s="333"/>
      <c r="F123" s="332"/>
      <c r="G123" s="332"/>
      <c r="H123" s="332"/>
      <c r="I123" s="332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96"/>
      <c r="AD123" s="296"/>
      <c r="AE123" s="296"/>
      <c r="AF123" s="296"/>
      <c r="AG123" s="296"/>
      <c r="AH123" s="296"/>
      <c r="AI123" s="296"/>
      <c r="AJ123" s="296"/>
    </row>
    <row r="124" ht="16.5" customHeight="1">
      <c r="A124" s="331"/>
      <c r="B124" s="331"/>
      <c r="C124" s="331"/>
      <c r="D124" s="332"/>
      <c r="E124" s="333"/>
      <c r="F124" s="332"/>
      <c r="G124" s="332"/>
      <c r="H124" s="332"/>
      <c r="I124" s="332"/>
    </row>
    <row r="125" ht="16.5" customHeight="1">
      <c r="A125" s="331"/>
      <c r="B125" s="331"/>
      <c r="C125" s="331"/>
      <c r="D125" s="332"/>
      <c r="E125" s="333"/>
      <c r="F125" s="332"/>
      <c r="G125" s="332"/>
      <c r="H125" s="332"/>
      <c r="I125" s="332"/>
    </row>
    <row r="126" ht="16.5" customHeight="1">
      <c r="A126" s="331"/>
      <c r="B126" s="331"/>
      <c r="C126" s="331"/>
      <c r="D126" s="332"/>
      <c r="E126" s="333"/>
      <c r="F126" s="332"/>
      <c r="G126" s="332"/>
      <c r="H126" s="332"/>
      <c r="I126" s="332"/>
    </row>
    <row r="127" ht="16.5" customHeight="1">
      <c r="A127" s="331"/>
      <c r="B127" s="331"/>
      <c r="C127" s="331"/>
      <c r="D127" s="332"/>
      <c r="E127" s="333"/>
      <c r="F127" s="332"/>
      <c r="G127" s="332"/>
      <c r="H127" s="332"/>
      <c r="I127" s="332"/>
    </row>
    <row r="128" ht="16.5" customHeight="1">
      <c r="A128" s="331"/>
      <c r="B128" s="331"/>
      <c r="C128" s="331"/>
      <c r="D128" s="332"/>
      <c r="E128" s="333"/>
      <c r="F128" s="332"/>
      <c r="G128" s="332"/>
      <c r="H128" s="332"/>
      <c r="I128" s="332"/>
    </row>
    <row r="129" ht="16.5" customHeight="1">
      <c r="A129" s="331"/>
      <c r="B129" s="331"/>
      <c r="C129" s="331"/>
      <c r="D129" s="332"/>
      <c r="E129" s="333"/>
      <c r="F129" s="332"/>
      <c r="G129" s="332"/>
      <c r="H129" s="332"/>
      <c r="I129" s="332"/>
    </row>
    <row r="130" ht="16.5" customHeight="1">
      <c r="A130" s="331"/>
      <c r="B130" s="331"/>
      <c r="C130" s="331"/>
      <c r="D130" s="332"/>
      <c r="E130" s="333"/>
      <c r="F130" s="332"/>
      <c r="G130" s="332"/>
      <c r="H130" s="332"/>
      <c r="I130" s="332"/>
    </row>
    <row r="131" ht="16.5" customHeight="1">
      <c r="A131" s="331"/>
      <c r="B131" s="331"/>
      <c r="C131" s="331"/>
      <c r="D131" s="332"/>
      <c r="E131" s="333"/>
      <c r="F131" s="332"/>
      <c r="G131" s="332"/>
      <c r="H131" s="332"/>
      <c r="I131" s="332"/>
    </row>
    <row r="132" ht="16.5" customHeight="1">
      <c r="A132" s="331"/>
      <c r="B132" s="331"/>
      <c r="C132" s="331"/>
      <c r="D132" s="332"/>
      <c r="E132" s="333"/>
      <c r="F132" s="332"/>
      <c r="G132" s="332"/>
      <c r="H132" s="332"/>
      <c r="I132" s="332"/>
    </row>
    <row r="133" ht="16.5" customHeight="1">
      <c r="A133" s="331"/>
      <c r="B133" s="331"/>
      <c r="C133" s="331"/>
      <c r="D133" s="332"/>
      <c r="E133" s="333"/>
      <c r="F133" s="332"/>
      <c r="G133" s="332"/>
      <c r="H133" s="332"/>
      <c r="I133" s="332"/>
    </row>
    <row r="134" ht="16.5" customHeight="1">
      <c r="A134" s="331"/>
      <c r="B134" s="331"/>
      <c r="C134" s="331"/>
      <c r="D134" s="332"/>
      <c r="E134" s="333"/>
      <c r="F134" s="332"/>
      <c r="G134" s="332"/>
      <c r="H134" s="332"/>
      <c r="I134" s="332"/>
    </row>
    <row r="135" ht="16.5" customHeight="1">
      <c r="A135" s="332"/>
      <c r="B135" s="332"/>
      <c r="C135" s="332"/>
      <c r="D135" s="332"/>
      <c r="E135" s="333"/>
      <c r="F135" s="332"/>
      <c r="G135" s="332"/>
      <c r="H135" s="332"/>
      <c r="I135" s="332"/>
    </row>
    <row r="136" ht="16.5" customHeight="1">
      <c r="A136" s="332"/>
      <c r="B136" s="332"/>
      <c r="C136" s="332"/>
      <c r="D136" s="332"/>
      <c r="E136" s="333"/>
      <c r="F136" s="332"/>
      <c r="G136" s="332"/>
      <c r="H136" s="332"/>
      <c r="I136" s="332"/>
    </row>
    <row r="137" ht="16.5" customHeight="1">
      <c r="A137" s="332"/>
      <c r="B137" s="332"/>
      <c r="C137" s="332"/>
      <c r="D137" s="332"/>
      <c r="E137" s="333"/>
      <c r="F137" s="332"/>
      <c r="G137" s="332"/>
      <c r="H137" s="332"/>
      <c r="I137" s="332"/>
    </row>
    <row r="138" ht="16.5" customHeight="1">
      <c r="A138" s="332"/>
      <c r="B138" s="332"/>
      <c r="C138" s="332"/>
      <c r="D138" s="332"/>
      <c r="E138" s="333"/>
      <c r="F138" s="332"/>
      <c r="G138" s="332"/>
      <c r="H138" s="332"/>
      <c r="I138" s="332"/>
    </row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</sheetData>
  <mergeCells count="8">
    <mergeCell ref="A1:A2"/>
    <mergeCell ref="B1:B2"/>
    <mergeCell ref="C1:C2"/>
    <mergeCell ref="D1:D2"/>
    <mergeCell ref="E1:E2"/>
    <mergeCell ref="A3:AA3"/>
    <mergeCell ref="S5:S18"/>
    <mergeCell ref="S58:S7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2023-08-25T03:52:46Z</dcterms:created>
  <dc:creator>楊鎧瑞</dc:creator>
</cp:coreProperties>
</file>